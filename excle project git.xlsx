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5C45103F7FE4BBC8/Desktop/"/>
    </mc:Choice>
  </mc:AlternateContent>
  <xr:revisionPtr revIDLastSave="3" documentId="8_{FAB1A824-9805-407C-8A3A-A6987A43C8A5}" xr6:coauthVersionLast="47" xr6:coauthVersionMax="47" xr10:uidLastSave="{7CB3C446-72F8-472D-9A23-5EBF6594C04E}"/>
  <bookViews>
    <workbookView xWindow="-108" yWindow="-108" windowWidth="23256" windowHeight="12456" firstSheet="13" activeTab="19" xr2:uid="{B070037E-B8E8-4ACF-ADE4-284FF5EDBF99}"/>
  </bookViews>
  <sheets>
    <sheet name="daseboard" sheetId="1" r:id="rId1"/>
    <sheet name="Sheet15" sheetId="15" r:id="rId2"/>
    <sheet name="Sheet16" sheetId="16" r:id="rId3"/>
    <sheet name="Sheet17" sheetId="17" r:id="rId4"/>
    <sheet name="Sheet3" sheetId="3" r:id="rId5"/>
    <sheet name="Sheet4" sheetId="4" r:id="rId6"/>
    <sheet name="Sheet5" sheetId="5" r:id="rId7"/>
    <sheet name="Sheet6" sheetId="6" r:id="rId8"/>
    <sheet name="Sheet7" sheetId="7" r:id="rId9"/>
    <sheet name="Sheet8" sheetId="8" r:id="rId10"/>
    <sheet name="Sheet9" sheetId="9" r:id="rId11"/>
    <sheet name="Sheet10" sheetId="10" r:id="rId12"/>
    <sheet name="sheet11" sheetId="13" r:id="rId13"/>
    <sheet name="Sheet14" sheetId="14" r:id="rId14"/>
    <sheet name="Sheet18" sheetId="18" r:id="rId15"/>
    <sheet name="Sheet22" sheetId="22" r:id="rId16"/>
    <sheet name="Sheet23" sheetId="23" r:id="rId17"/>
    <sheet name="Sheet25" sheetId="25" r:id="rId18"/>
    <sheet name="Sheet26" sheetId="26" r:id="rId19"/>
    <sheet name="table" sheetId="2" r:id="rId20"/>
  </sheets>
  <definedNames>
    <definedName name="Slicer_Department">#N/A</definedName>
    <definedName name="Slicer_Employee_ID">#N/A</definedName>
    <definedName name="Slicer_Hours_Spent">#N/A</definedName>
    <definedName name="Slicer_Performance_Rating">#N/A</definedName>
    <definedName name="Slicer_Remote_Work">#N/A</definedName>
    <definedName name="Slicer_Task_Status">#N/A</definedName>
  </definedNames>
  <calcPr calcId="191029"/>
  <pivotCaches>
    <pivotCache cacheId="0"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01" i="2" l="1"/>
  <c r="N1501" i="2" s="1"/>
  <c r="M1500" i="2"/>
  <c r="N1500" i="2" s="1"/>
  <c r="M1499" i="2"/>
  <c r="N1499" i="2" s="1"/>
  <c r="M1498" i="2"/>
  <c r="N1498" i="2" s="1"/>
  <c r="M1497" i="2"/>
  <c r="N1497" i="2" s="1"/>
  <c r="M1496" i="2"/>
  <c r="N1496" i="2" s="1"/>
  <c r="M1495" i="2"/>
  <c r="N1495" i="2" s="1"/>
  <c r="M1494" i="2"/>
  <c r="N1494" i="2" s="1"/>
  <c r="M1493" i="2"/>
  <c r="N1493" i="2" s="1"/>
  <c r="M1492" i="2"/>
  <c r="N1492" i="2" s="1"/>
  <c r="M1491" i="2"/>
  <c r="N1491" i="2" s="1"/>
  <c r="M1490" i="2"/>
  <c r="N1490" i="2" s="1"/>
  <c r="M1489" i="2"/>
  <c r="N1489" i="2" s="1"/>
  <c r="M1488" i="2"/>
  <c r="N1488" i="2" s="1"/>
  <c r="M1487" i="2"/>
  <c r="N1487" i="2" s="1"/>
  <c r="M1486" i="2"/>
  <c r="N1486" i="2" s="1"/>
  <c r="M1485" i="2"/>
  <c r="N1485" i="2" s="1"/>
  <c r="M1484" i="2"/>
  <c r="N1484" i="2" s="1"/>
  <c r="M1483" i="2"/>
  <c r="N1483" i="2" s="1"/>
  <c r="M1482" i="2"/>
  <c r="N1482" i="2" s="1"/>
  <c r="M1481" i="2"/>
  <c r="N1481" i="2" s="1"/>
  <c r="M1480" i="2"/>
  <c r="N1480" i="2" s="1"/>
  <c r="M1479" i="2"/>
  <c r="N1479" i="2" s="1"/>
  <c r="M1478" i="2"/>
  <c r="N1478" i="2" s="1"/>
  <c r="M1477" i="2"/>
  <c r="N1477" i="2" s="1"/>
  <c r="M1476" i="2"/>
  <c r="N1476" i="2" s="1"/>
  <c r="M1475" i="2"/>
  <c r="N1475" i="2" s="1"/>
  <c r="M1474" i="2"/>
  <c r="N1474" i="2" s="1"/>
  <c r="M1473" i="2"/>
  <c r="N1473" i="2" s="1"/>
  <c r="M1472" i="2"/>
  <c r="N1472" i="2" s="1"/>
  <c r="M1471" i="2"/>
  <c r="N1471" i="2" s="1"/>
  <c r="M1470" i="2"/>
  <c r="N1470" i="2" s="1"/>
  <c r="M1469" i="2"/>
  <c r="N1469" i="2" s="1"/>
  <c r="M1468" i="2"/>
  <c r="N1468" i="2" s="1"/>
  <c r="M1467" i="2"/>
  <c r="N1467" i="2" s="1"/>
  <c r="M1466" i="2"/>
  <c r="N1466" i="2" s="1"/>
  <c r="M1465" i="2"/>
  <c r="N1465" i="2" s="1"/>
  <c r="M1464" i="2"/>
  <c r="N1464" i="2" s="1"/>
  <c r="M1463" i="2"/>
  <c r="N1463" i="2" s="1"/>
  <c r="M1462" i="2"/>
  <c r="N1462" i="2" s="1"/>
  <c r="M1461" i="2"/>
  <c r="N1461" i="2" s="1"/>
  <c r="M1460" i="2"/>
  <c r="N1460" i="2" s="1"/>
  <c r="M1459" i="2"/>
  <c r="N1459" i="2" s="1"/>
  <c r="M1458" i="2"/>
  <c r="N1458" i="2" s="1"/>
  <c r="M1457" i="2"/>
  <c r="N1457" i="2" s="1"/>
  <c r="M1456" i="2"/>
  <c r="N1456" i="2" s="1"/>
  <c r="M1455" i="2"/>
  <c r="N1455" i="2" s="1"/>
  <c r="M1454" i="2"/>
  <c r="N1454" i="2" s="1"/>
  <c r="M1453" i="2"/>
  <c r="N1453" i="2" s="1"/>
  <c r="M1452" i="2"/>
  <c r="N1452" i="2" s="1"/>
  <c r="M1451" i="2"/>
  <c r="N1451" i="2" s="1"/>
  <c r="M1450" i="2"/>
  <c r="N1450" i="2" s="1"/>
  <c r="M1449" i="2"/>
  <c r="N1449" i="2" s="1"/>
  <c r="M1448" i="2"/>
  <c r="N1448" i="2" s="1"/>
  <c r="M1447" i="2"/>
  <c r="N1447" i="2" s="1"/>
  <c r="M1446" i="2"/>
  <c r="N1446" i="2" s="1"/>
  <c r="M1445" i="2"/>
  <c r="N1445" i="2" s="1"/>
  <c r="M1444" i="2"/>
  <c r="N1444" i="2" s="1"/>
  <c r="M1443" i="2"/>
  <c r="N1443" i="2" s="1"/>
  <c r="M1442" i="2"/>
  <c r="N1442" i="2" s="1"/>
  <c r="M1441" i="2"/>
  <c r="N1441" i="2" s="1"/>
  <c r="M1440" i="2"/>
  <c r="N1440" i="2" s="1"/>
  <c r="M1439" i="2"/>
  <c r="N1439" i="2" s="1"/>
  <c r="M1438" i="2"/>
  <c r="N1438" i="2" s="1"/>
  <c r="M1437" i="2"/>
  <c r="N1437" i="2" s="1"/>
  <c r="M1436" i="2"/>
  <c r="N1436" i="2" s="1"/>
  <c r="M1435" i="2"/>
  <c r="N1435" i="2" s="1"/>
  <c r="M1434" i="2"/>
  <c r="N1434" i="2" s="1"/>
  <c r="M1433" i="2"/>
  <c r="N1433" i="2" s="1"/>
  <c r="M1432" i="2"/>
  <c r="N1432" i="2" s="1"/>
  <c r="M1431" i="2"/>
  <c r="N1431" i="2" s="1"/>
  <c r="M1430" i="2"/>
  <c r="N1430" i="2" s="1"/>
  <c r="M1429" i="2"/>
  <c r="N1429" i="2" s="1"/>
  <c r="M1428" i="2"/>
  <c r="N1428" i="2" s="1"/>
  <c r="M1427" i="2"/>
  <c r="N1427" i="2" s="1"/>
  <c r="M1426" i="2"/>
  <c r="N1426" i="2" s="1"/>
  <c r="M1425" i="2"/>
  <c r="N1425" i="2" s="1"/>
  <c r="M1424" i="2"/>
  <c r="N1424" i="2" s="1"/>
  <c r="M1423" i="2"/>
  <c r="N1423" i="2" s="1"/>
  <c r="M1422" i="2"/>
  <c r="N1422" i="2" s="1"/>
  <c r="M1421" i="2"/>
  <c r="N1421" i="2" s="1"/>
  <c r="M1420" i="2"/>
  <c r="N1420" i="2" s="1"/>
  <c r="M1419" i="2"/>
  <c r="N1419" i="2" s="1"/>
  <c r="M1418" i="2"/>
  <c r="N1418" i="2" s="1"/>
  <c r="M1417" i="2"/>
  <c r="N1417" i="2" s="1"/>
  <c r="M1416" i="2"/>
  <c r="N1416" i="2" s="1"/>
  <c r="M1415" i="2"/>
  <c r="N1415" i="2" s="1"/>
  <c r="M1414" i="2"/>
  <c r="N1414" i="2" s="1"/>
  <c r="M1413" i="2"/>
  <c r="N1413" i="2" s="1"/>
  <c r="M1412" i="2"/>
  <c r="N1412" i="2" s="1"/>
  <c r="M1411" i="2"/>
  <c r="N1411" i="2" s="1"/>
  <c r="M1410" i="2"/>
  <c r="N1410" i="2" s="1"/>
  <c r="M1409" i="2"/>
  <c r="N1409" i="2" s="1"/>
  <c r="M1408" i="2"/>
  <c r="N1408" i="2" s="1"/>
  <c r="M1407" i="2"/>
  <c r="N1407" i="2" s="1"/>
  <c r="M1406" i="2"/>
  <c r="N1406" i="2" s="1"/>
  <c r="M1405" i="2"/>
  <c r="N1405" i="2" s="1"/>
  <c r="M1404" i="2"/>
  <c r="N1404" i="2" s="1"/>
  <c r="M1403" i="2"/>
  <c r="N1403" i="2" s="1"/>
  <c r="M1402" i="2"/>
  <c r="N1402" i="2" s="1"/>
  <c r="M1401" i="2"/>
  <c r="N1401" i="2" s="1"/>
  <c r="M1400" i="2"/>
  <c r="N1400" i="2" s="1"/>
  <c r="M1399" i="2"/>
  <c r="N1399" i="2" s="1"/>
  <c r="M1398" i="2"/>
  <c r="N1398" i="2" s="1"/>
  <c r="M1397" i="2"/>
  <c r="N1397" i="2" s="1"/>
  <c r="M1396" i="2"/>
  <c r="N1396" i="2" s="1"/>
  <c r="M1395" i="2"/>
  <c r="N1395" i="2" s="1"/>
  <c r="M1394" i="2"/>
  <c r="N1394" i="2" s="1"/>
  <c r="M1393" i="2"/>
  <c r="N1393" i="2" s="1"/>
  <c r="M1392" i="2"/>
  <c r="N1392" i="2" s="1"/>
  <c r="M1391" i="2"/>
  <c r="N1391" i="2" s="1"/>
  <c r="M1390" i="2"/>
  <c r="N1390" i="2" s="1"/>
  <c r="M1389" i="2"/>
  <c r="N1389" i="2" s="1"/>
  <c r="M1388" i="2"/>
  <c r="N1388" i="2" s="1"/>
  <c r="M1387" i="2"/>
  <c r="N1387" i="2" s="1"/>
  <c r="M1386" i="2"/>
  <c r="N1386" i="2" s="1"/>
  <c r="M1385" i="2"/>
  <c r="N1385" i="2" s="1"/>
  <c r="M1384" i="2"/>
  <c r="N1384" i="2" s="1"/>
  <c r="M1383" i="2"/>
  <c r="N1383" i="2" s="1"/>
  <c r="M1382" i="2"/>
  <c r="N1382" i="2" s="1"/>
  <c r="M1381" i="2"/>
  <c r="N1381" i="2" s="1"/>
  <c r="M1380" i="2"/>
  <c r="N1380" i="2" s="1"/>
  <c r="M1379" i="2"/>
  <c r="N1379" i="2" s="1"/>
  <c r="M1378" i="2"/>
  <c r="N1378" i="2" s="1"/>
  <c r="M1377" i="2"/>
  <c r="N1377" i="2" s="1"/>
  <c r="M1376" i="2"/>
  <c r="N1376" i="2" s="1"/>
  <c r="M1375" i="2"/>
  <c r="N1375" i="2" s="1"/>
  <c r="M1374" i="2"/>
  <c r="N1374" i="2" s="1"/>
  <c r="M1373" i="2"/>
  <c r="N1373" i="2" s="1"/>
  <c r="M1372" i="2"/>
  <c r="N1372" i="2" s="1"/>
  <c r="M1371" i="2"/>
  <c r="N1371" i="2" s="1"/>
  <c r="M1370" i="2"/>
  <c r="N1370" i="2" s="1"/>
  <c r="M1369" i="2"/>
  <c r="N1369" i="2" s="1"/>
  <c r="M1368" i="2"/>
  <c r="N1368" i="2" s="1"/>
  <c r="M1367" i="2"/>
  <c r="N1367" i="2" s="1"/>
  <c r="M1366" i="2"/>
  <c r="N1366" i="2" s="1"/>
  <c r="M1365" i="2"/>
  <c r="N1365" i="2" s="1"/>
  <c r="M1364" i="2"/>
  <c r="N1364" i="2" s="1"/>
  <c r="M1363" i="2"/>
  <c r="N1363" i="2" s="1"/>
  <c r="M1362" i="2"/>
  <c r="N1362" i="2" s="1"/>
  <c r="M1361" i="2"/>
  <c r="N1361" i="2" s="1"/>
  <c r="M1360" i="2"/>
  <c r="N1360" i="2" s="1"/>
  <c r="M1359" i="2"/>
  <c r="N1359" i="2" s="1"/>
  <c r="M1358" i="2"/>
  <c r="N1358" i="2" s="1"/>
  <c r="M1357" i="2"/>
  <c r="N1357" i="2" s="1"/>
  <c r="M1356" i="2"/>
  <c r="N1356" i="2" s="1"/>
  <c r="M1355" i="2"/>
  <c r="N1355" i="2" s="1"/>
  <c r="M1354" i="2"/>
  <c r="N1354" i="2" s="1"/>
  <c r="M1353" i="2"/>
  <c r="N1353" i="2" s="1"/>
  <c r="M1352" i="2"/>
  <c r="N1352" i="2" s="1"/>
  <c r="M1351" i="2"/>
  <c r="N1351" i="2" s="1"/>
  <c r="M1350" i="2"/>
  <c r="N1350" i="2" s="1"/>
  <c r="M1349" i="2"/>
  <c r="N1349" i="2" s="1"/>
  <c r="M1348" i="2"/>
  <c r="N1348" i="2" s="1"/>
  <c r="M1347" i="2"/>
  <c r="N1347" i="2" s="1"/>
  <c r="M1346" i="2"/>
  <c r="N1346" i="2" s="1"/>
  <c r="M1345" i="2"/>
  <c r="N1345" i="2" s="1"/>
  <c r="M1344" i="2"/>
  <c r="N1344" i="2" s="1"/>
  <c r="M1343" i="2"/>
  <c r="N1343" i="2" s="1"/>
  <c r="M1342" i="2"/>
  <c r="N1342" i="2" s="1"/>
  <c r="M1341" i="2"/>
  <c r="N1341" i="2" s="1"/>
  <c r="M1340" i="2"/>
  <c r="N1340" i="2" s="1"/>
  <c r="M1339" i="2"/>
  <c r="N1339" i="2" s="1"/>
  <c r="M1338" i="2"/>
  <c r="N1338" i="2" s="1"/>
  <c r="M1337" i="2"/>
  <c r="N1337" i="2" s="1"/>
  <c r="M1336" i="2"/>
  <c r="N1336" i="2" s="1"/>
  <c r="M1335" i="2"/>
  <c r="N1335" i="2" s="1"/>
  <c r="M1334" i="2"/>
  <c r="N1334" i="2" s="1"/>
  <c r="M1333" i="2"/>
  <c r="N1333" i="2" s="1"/>
  <c r="M1332" i="2"/>
  <c r="N1332" i="2" s="1"/>
  <c r="M1331" i="2"/>
  <c r="N1331" i="2" s="1"/>
  <c r="M1330" i="2"/>
  <c r="N1330" i="2" s="1"/>
  <c r="M1329" i="2"/>
  <c r="N1329" i="2" s="1"/>
  <c r="M1328" i="2"/>
  <c r="N1328" i="2" s="1"/>
  <c r="M1327" i="2"/>
  <c r="N1327" i="2" s="1"/>
  <c r="M1326" i="2"/>
  <c r="N1326" i="2" s="1"/>
  <c r="M1325" i="2"/>
  <c r="N1325" i="2" s="1"/>
  <c r="M1324" i="2"/>
  <c r="N1324" i="2" s="1"/>
  <c r="M1323" i="2"/>
  <c r="N1323" i="2" s="1"/>
  <c r="M1322" i="2"/>
  <c r="N1322" i="2" s="1"/>
  <c r="M1321" i="2"/>
  <c r="N1321" i="2" s="1"/>
  <c r="M1320" i="2"/>
  <c r="N1320" i="2" s="1"/>
  <c r="M1319" i="2"/>
  <c r="N1319" i="2" s="1"/>
  <c r="M1318" i="2"/>
  <c r="N1318" i="2" s="1"/>
  <c r="M1317" i="2"/>
  <c r="N1317" i="2" s="1"/>
  <c r="M1316" i="2"/>
  <c r="N1316" i="2" s="1"/>
  <c r="M1315" i="2"/>
  <c r="N1315" i="2" s="1"/>
  <c r="M1314" i="2"/>
  <c r="N1314" i="2" s="1"/>
  <c r="M1313" i="2"/>
  <c r="N1313" i="2" s="1"/>
  <c r="M1312" i="2"/>
  <c r="N1312" i="2" s="1"/>
  <c r="M1311" i="2"/>
  <c r="N1311" i="2" s="1"/>
  <c r="M1310" i="2"/>
  <c r="N1310" i="2" s="1"/>
  <c r="M1309" i="2"/>
  <c r="N1309" i="2" s="1"/>
  <c r="M1308" i="2"/>
  <c r="N1308" i="2" s="1"/>
  <c r="M1307" i="2"/>
  <c r="N1307" i="2" s="1"/>
  <c r="M1306" i="2"/>
  <c r="N1306" i="2" s="1"/>
  <c r="M1305" i="2"/>
  <c r="N1305" i="2" s="1"/>
  <c r="M1304" i="2"/>
  <c r="N1304" i="2" s="1"/>
  <c r="M1303" i="2"/>
  <c r="N1303" i="2" s="1"/>
  <c r="M1302" i="2"/>
  <c r="N1302" i="2" s="1"/>
  <c r="M1301" i="2"/>
  <c r="N1301" i="2" s="1"/>
  <c r="M1300" i="2"/>
  <c r="N1300" i="2" s="1"/>
  <c r="M1299" i="2"/>
  <c r="N1299" i="2" s="1"/>
  <c r="M1298" i="2"/>
  <c r="N1298" i="2" s="1"/>
  <c r="M1297" i="2"/>
  <c r="N1297" i="2" s="1"/>
  <c r="M1296" i="2"/>
  <c r="N1296" i="2" s="1"/>
  <c r="M1295" i="2"/>
  <c r="N1295" i="2" s="1"/>
  <c r="M1294" i="2"/>
  <c r="N1294" i="2" s="1"/>
  <c r="M1293" i="2"/>
  <c r="N1293" i="2" s="1"/>
  <c r="M1292" i="2"/>
  <c r="N1292" i="2" s="1"/>
  <c r="M1291" i="2"/>
  <c r="N1291" i="2" s="1"/>
  <c r="M1290" i="2"/>
  <c r="N1290" i="2" s="1"/>
  <c r="M1289" i="2"/>
  <c r="N1289" i="2" s="1"/>
  <c r="M1288" i="2"/>
  <c r="N1288" i="2" s="1"/>
  <c r="M1287" i="2"/>
  <c r="N1287" i="2" s="1"/>
  <c r="M1286" i="2"/>
  <c r="N1286" i="2" s="1"/>
  <c r="M1285" i="2"/>
  <c r="N1285" i="2" s="1"/>
  <c r="M1284" i="2"/>
  <c r="N1284" i="2" s="1"/>
  <c r="M1283" i="2"/>
  <c r="N1283" i="2" s="1"/>
  <c r="M1282" i="2"/>
  <c r="N1282" i="2" s="1"/>
  <c r="M1281" i="2"/>
  <c r="N1281" i="2" s="1"/>
  <c r="M1280" i="2"/>
  <c r="N1280" i="2" s="1"/>
  <c r="M1279" i="2"/>
  <c r="N1279" i="2" s="1"/>
  <c r="M1278" i="2"/>
  <c r="N1278" i="2" s="1"/>
  <c r="M1277" i="2"/>
  <c r="N1277" i="2" s="1"/>
  <c r="M1276" i="2"/>
  <c r="N1276" i="2" s="1"/>
  <c r="M1275" i="2"/>
  <c r="N1275" i="2" s="1"/>
  <c r="M1274" i="2"/>
  <c r="N1274" i="2" s="1"/>
  <c r="M1273" i="2"/>
  <c r="N1273" i="2" s="1"/>
  <c r="M1272" i="2"/>
  <c r="N1272" i="2" s="1"/>
  <c r="M1271" i="2"/>
  <c r="N1271" i="2" s="1"/>
  <c r="M1270" i="2"/>
  <c r="N1270" i="2" s="1"/>
  <c r="M1269" i="2"/>
  <c r="N1269" i="2" s="1"/>
  <c r="M1268" i="2"/>
  <c r="N1268" i="2" s="1"/>
  <c r="M1267" i="2"/>
  <c r="N1267" i="2" s="1"/>
  <c r="M1266" i="2"/>
  <c r="N1266" i="2" s="1"/>
  <c r="M1265" i="2"/>
  <c r="N1265" i="2" s="1"/>
  <c r="M1264" i="2"/>
  <c r="N1264" i="2" s="1"/>
  <c r="M1263" i="2"/>
  <c r="N1263" i="2" s="1"/>
  <c r="M1262" i="2"/>
  <c r="N1262" i="2" s="1"/>
  <c r="M1261" i="2"/>
  <c r="N1261" i="2" s="1"/>
  <c r="M1260" i="2"/>
  <c r="N1260" i="2" s="1"/>
  <c r="M1259" i="2"/>
  <c r="N1259" i="2" s="1"/>
  <c r="M1258" i="2"/>
  <c r="N1258" i="2" s="1"/>
  <c r="M1257" i="2"/>
  <c r="N1257" i="2" s="1"/>
  <c r="M1256" i="2"/>
  <c r="N1256" i="2" s="1"/>
  <c r="M1255" i="2"/>
  <c r="N1255" i="2" s="1"/>
  <c r="M1254" i="2"/>
  <c r="N1254" i="2" s="1"/>
  <c r="M1253" i="2"/>
  <c r="N1253" i="2" s="1"/>
  <c r="M1252" i="2"/>
  <c r="N1252" i="2" s="1"/>
  <c r="M1251" i="2"/>
  <c r="N1251" i="2" s="1"/>
  <c r="M1250" i="2"/>
  <c r="N1250" i="2" s="1"/>
  <c r="M1249" i="2"/>
  <c r="N1249" i="2" s="1"/>
  <c r="M1248" i="2"/>
  <c r="N1248" i="2" s="1"/>
  <c r="M1247" i="2"/>
  <c r="N1247" i="2" s="1"/>
  <c r="M1246" i="2"/>
  <c r="N1246" i="2" s="1"/>
  <c r="M1245" i="2"/>
  <c r="N1245" i="2" s="1"/>
  <c r="M1244" i="2"/>
  <c r="N1244" i="2" s="1"/>
  <c r="M1243" i="2"/>
  <c r="N1243" i="2" s="1"/>
  <c r="M1242" i="2"/>
  <c r="N1242" i="2" s="1"/>
  <c r="M1241" i="2"/>
  <c r="N1241" i="2" s="1"/>
  <c r="M1240" i="2"/>
  <c r="N1240" i="2" s="1"/>
  <c r="M1239" i="2"/>
  <c r="N1239" i="2" s="1"/>
  <c r="M1238" i="2"/>
  <c r="N1238" i="2" s="1"/>
  <c r="M1237" i="2"/>
  <c r="N1237" i="2" s="1"/>
  <c r="M1236" i="2"/>
  <c r="N1236" i="2" s="1"/>
  <c r="M1235" i="2"/>
  <c r="N1235" i="2" s="1"/>
  <c r="M1234" i="2"/>
  <c r="N1234" i="2" s="1"/>
  <c r="M1233" i="2"/>
  <c r="N1233" i="2" s="1"/>
  <c r="M1232" i="2"/>
  <c r="N1232" i="2" s="1"/>
  <c r="M1231" i="2"/>
  <c r="N1231" i="2" s="1"/>
  <c r="M1230" i="2"/>
  <c r="N1230" i="2" s="1"/>
  <c r="M1229" i="2"/>
  <c r="N1229" i="2" s="1"/>
  <c r="M1228" i="2"/>
  <c r="N1228" i="2" s="1"/>
  <c r="M1227" i="2"/>
  <c r="N1227" i="2" s="1"/>
  <c r="M1226" i="2"/>
  <c r="N1226" i="2" s="1"/>
  <c r="M1225" i="2"/>
  <c r="N1225" i="2" s="1"/>
  <c r="M1224" i="2"/>
  <c r="N1224" i="2" s="1"/>
  <c r="M1223" i="2"/>
  <c r="N1223" i="2" s="1"/>
  <c r="M1222" i="2"/>
  <c r="N1222" i="2" s="1"/>
  <c r="M1221" i="2"/>
  <c r="N1221" i="2" s="1"/>
  <c r="M1220" i="2"/>
  <c r="N1220" i="2" s="1"/>
  <c r="M1219" i="2"/>
  <c r="N1219" i="2" s="1"/>
  <c r="M1218" i="2"/>
  <c r="N1218" i="2" s="1"/>
  <c r="M1217" i="2"/>
  <c r="N1217" i="2" s="1"/>
  <c r="M1216" i="2"/>
  <c r="N1216" i="2" s="1"/>
  <c r="M1215" i="2"/>
  <c r="N1215" i="2" s="1"/>
  <c r="M1214" i="2"/>
  <c r="N1214" i="2" s="1"/>
  <c r="M1213" i="2"/>
  <c r="N1213" i="2" s="1"/>
  <c r="M1212" i="2"/>
  <c r="N1212" i="2" s="1"/>
  <c r="M1211" i="2"/>
  <c r="N1211" i="2" s="1"/>
  <c r="M1210" i="2"/>
  <c r="N1210" i="2" s="1"/>
  <c r="M1209" i="2"/>
  <c r="N1209" i="2" s="1"/>
  <c r="M1208" i="2"/>
  <c r="N1208" i="2" s="1"/>
  <c r="M1207" i="2"/>
  <c r="N1207" i="2" s="1"/>
  <c r="M1206" i="2"/>
  <c r="N1206" i="2" s="1"/>
  <c r="M1205" i="2"/>
  <c r="N1205" i="2" s="1"/>
  <c r="M1204" i="2"/>
  <c r="N1204" i="2" s="1"/>
  <c r="M1203" i="2"/>
  <c r="N1203" i="2" s="1"/>
  <c r="M1202" i="2"/>
  <c r="N1202" i="2" s="1"/>
  <c r="M1201" i="2"/>
  <c r="N1201" i="2" s="1"/>
  <c r="M1200" i="2"/>
  <c r="N1200" i="2" s="1"/>
  <c r="M1199" i="2"/>
  <c r="N1199" i="2" s="1"/>
  <c r="M1198" i="2"/>
  <c r="N1198" i="2" s="1"/>
  <c r="M1197" i="2"/>
  <c r="N1197" i="2" s="1"/>
  <c r="M1196" i="2"/>
  <c r="N1196" i="2" s="1"/>
  <c r="M1195" i="2"/>
  <c r="N1195" i="2" s="1"/>
  <c r="M1194" i="2"/>
  <c r="N1194" i="2" s="1"/>
  <c r="M1193" i="2"/>
  <c r="N1193" i="2" s="1"/>
  <c r="M1192" i="2"/>
  <c r="N1192" i="2" s="1"/>
  <c r="M1191" i="2"/>
  <c r="N1191" i="2" s="1"/>
  <c r="M1190" i="2"/>
  <c r="N1190" i="2" s="1"/>
  <c r="M1189" i="2"/>
  <c r="N1189" i="2" s="1"/>
  <c r="M1188" i="2"/>
  <c r="N1188" i="2" s="1"/>
  <c r="M1187" i="2"/>
  <c r="N1187" i="2" s="1"/>
  <c r="M1186" i="2"/>
  <c r="N1186" i="2" s="1"/>
  <c r="M1185" i="2"/>
  <c r="N1185" i="2" s="1"/>
  <c r="M1184" i="2"/>
  <c r="N1184" i="2" s="1"/>
  <c r="M1183" i="2"/>
  <c r="N1183" i="2" s="1"/>
  <c r="M1182" i="2"/>
  <c r="N1182" i="2" s="1"/>
  <c r="M1181" i="2"/>
  <c r="N1181" i="2" s="1"/>
  <c r="M1180" i="2"/>
  <c r="N1180" i="2" s="1"/>
  <c r="M1179" i="2"/>
  <c r="N1179" i="2" s="1"/>
  <c r="M1178" i="2"/>
  <c r="N1178" i="2" s="1"/>
  <c r="M1177" i="2"/>
  <c r="N1177" i="2" s="1"/>
  <c r="M1176" i="2"/>
  <c r="N1176" i="2" s="1"/>
  <c r="M1175" i="2"/>
  <c r="N1175" i="2" s="1"/>
  <c r="M1174" i="2"/>
  <c r="N1174" i="2" s="1"/>
  <c r="M1173" i="2"/>
  <c r="N1173" i="2" s="1"/>
  <c r="M1172" i="2"/>
  <c r="N1172" i="2" s="1"/>
  <c r="M1171" i="2"/>
  <c r="N1171" i="2" s="1"/>
  <c r="M1170" i="2"/>
  <c r="N1170" i="2" s="1"/>
  <c r="M1169" i="2"/>
  <c r="N1169" i="2" s="1"/>
  <c r="M1168" i="2"/>
  <c r="N1168" i="2" s="1"/>
  <c r="M1167" i="2"/>
  <c r="N1167" i="2" s="1"/>
  <c r="M1166" i="2"/>
  <c r="N1166" i="2" s="1"/>
  <c r="M1165" i="2"/>
  <c r="N1165" i="2" s="1"/>
  <c r="M1164" i="2"/>
  <c r="N1164" i="2" s="1"/>
  <c r="M1163" i="2"/>
  <c r="N1163" i="2" s="1"/>
  <c r="M1162" i="2"/>
  <c r="N1162" i="2" s="1"/>
  <c r="M1161" i="2"/>
  <c r="N1161" i="2" s="1"/>
  <c r="M1160" i="2"/>
  <c r="N1160" i="2" s="1"/>
  <c r="M1159" i="2"/>
  <c r="N1159" i="2" s="1"/>
  <c r="M1158" i="2"/>
  <c r="N1158" i="2" s="1"/>
  <c r="M1157" i="2"/>
  <c r="N1157" i="2" s="1"/>
  <c r="M1156" i="2"/>
  <c r="N1156" i="2" s="1"/>
  <c r="M1155" i="2"/>
  <c r="N1155" i="2" s="1"/>
  <c r="M1154" i="2"/>
  <c r="N1154" i="2" s="1"/>
  <c r="M1153" i="2"/>
  <c r="N1153" i="2" s="1"/>
  <c r="M1152" i="2"/>
  <c r="N1152" i="2" s="1"/>
  <c r="M1151" i="2"/>
  <c r="N1151" i="2" s="1"/>
  <c r="M1150" i="2"/>
  <c r="N1150" i="2" s="1"/>
  <c r="M1149" i="2"/>
  <c r="N1149" i="2" s="1"/>
  <c r="M1148" i="2"/>
  <c r="N1148" i="2" s="1"/>
  <c r="M1147" i="2"/>
  <c r="N1147" i="2" s="1"/>
  <c r="M1146" i="2"/>
  <c r="N1146" i="2" s="1"/>
  <c r="M1145" i="2"/>
  <c r="N1145" i="2" s="1"/>
  <c r="M1144" i="2"/>
  <c r="N1144" i="2" s="1"/>
  <c r="M1143" i="2"/>
  <c r="N1143" i="2" s="1"/>
  <c r="M1142" i="2"/>
  <c r="N1142" i="2" s="1"/>
  <c r="M1141" i="2"/>
  <c r="N1141" i="2" s="1"/>
  <c r="M1140" i="2"/>
  <c r="N1140" i="2" s="1"/>
  <c r="M1139" i="2"/>
  <c r="N1139" i="2" s="1"/>
  <c r="M1138" i="2"/>
  <c r="N1138" i="2" s="1"/>
  <c r="M1137" i="2"/>
  <c r="N1137" i="2" s="1"/>
  <c r="M1136" i="2"/>
  <c r="N1136" i="2" s="1"/>
  <c r="M1135" i="2"/>
  <c r="N1135" i="2" s="1"/>
  <c r="M1134" i="2"/>
  <c r="N1134" i="2" s="1"/>
  <c r="M1133" i="2"/>
  <c r="N1133" i="2" s="1"/>
  <c r="M1132" i="2"/>
  <c r="N1132" i="2" s="1"/>
  <c r="M1131" i="2"/>
  <c r="N1131" i="2" s="1"/>
  <c r="M1130" i="2"/>
  <c r="N1130" i="2" s="1"/>
  <c r="M1129" i="2"/>
  <c r="N1129" i="2" s="1"/>
  <c r="M1128" i="2"/>
  <c r="N1128" i="2" s="1"/>
  <c r="M1127" i="2"/>
  <c r="N1127" i="2" s="1"/>
  <c r="M1126" i="2"/>
  <c r="N1126" i="2" s="1"/>
  <c r="M1125" i="2"/>
  <c r="N1125" i="2" s="1"/>
  <c r="M1124" i="2"/>
  <c r="N1124" i="2" s="1"/>
  <c r="M1123" i="2"/>
  <c r="N1123" i="2" s="1"/>
  <c r="M1122" i="2"/>
  <c r="N1122" i="2" s="1"/>
  <c r="M1121" i="2"/>
  <c r="N1121" i="2" s="1"/>
  <c r="M1120" i="2"/>
  <c r="N1120" i="2" s="1"/>
  <c r="M1119" i="2"/>
  <c r="N1119" i="2" s="1"/>
  <c r="M1118" i="2"/>
  <c r="N1118" i="2" s="1"/>
  <c r="M1117" i="2"/>
  <c r="N1117" i="2" s="1"/>
  <c r="M1116" i="2"/>
  <c r="N1116" i="2" s="1"/>
  <c r="M1115" i="2"/>
  <c r="N1115" i="2" s="1"/>
  <c r="M1114" i="2"/>
  <c r="N1114" i="2" s="1"/>
  <c r="M1113" i="2"/>
  <c r="N1113" i="2" s="1"/>
  <c r="M1112" i="2"/>
  <c r="N1112" i="2" s="1"/>
  <c r="M1111" i="2"/>
  <c r="N1111" i="2" s="1"/>
  <c r="M1110" i="2"/>
  <c r="N1110" i="2" s="1"/>
  <c r="M1109" i="2"/>
  <c r="N1109" i="2" s="1"/>
  <c r="M1108" i="2"/>
  <c r="N1108" i="2" s="1"/>
  <c r="M1107" i="2"/>
  <c r="N1107" i="2" s="1"/>
  <c r="M1106" i="2"/>
  <c r="N1106" i="2" s="1"/>
  <c r="M1105" i="2"/>
  <c r="N1105" i="2" s="1"/>
  <c r="M1104" i="2"/>
  <c r="N1104" i="2" s="1"/>
  <c r="M1103" i="2"/>
  <c r="N1103" i="2" s="1"/>
  <c r="M1102" i="2"/>
  <c r="N1102" i="2" s="1"/>
  <c r="M1101" i="2"/>
  <c r="N1101" i="2" s="1"/>
  <c r="M1100" i="2"/>
  <c r="N1100" i="2" s="1"/>
  <c r="M1099" i="2"/>
  <c r="N1099" i="2" s="1"/>
  <c r="M1098" i="2"/>
  <c r="N1098" i="2" s="1"/>
  <c r="M1097" i="2"/>
  <c r="N1097" i="2" s="1"/>
  <c r="M1096" i="2"/>
  <c r="N1096" i="2" s="1"/>
  <c r="M1095" i="2"/>
  <c r="N1095" i="2" s="1"/>
  <c r="M1094" i="2"/>
  <c r="N1094" i="2" s="1"/>
  <c r="M1093" i="2"/>
  <c r="N1093" i="2" s="1"/>
  <c r="M1092" i="2"/>
  <c r="N1092" i="2" s="1"/>
  <c r="M1091" i="2"/>
  <c r="N1091" i="2" s="1"/>
  <c r="M1090" i="2"/>
  <c r="N1090" i="2" s="1"/>
  <c r="M1089" i="2"/>
  <c r="N1089" i="2" s="1"/>
  <c r="M1088" i="2"/>
  <c r="N1088" i="2" s="1"/>
  <c r="M1087" i="2"/>
  <c r="N1087" i="2" s="1"/>
  <c r="M1086" i="2"/>
  <c r="N1086" i="2" s="1"/>
  <c r="M1085" i="2"/>
  <c r="N1085" i="2" s="1"/>
  <c r="M1084" i="2"/>
  <c r="N1084" i="2" s="1"/>
  <c r="M1083" i="2"/>
  <c r="N1083" i="2" s="1"/>
  <c r="M1082" i="2"/>
  <c r="N1082" i="2" s="1"/>
  <c r="M1081" i="2"/>
  <c r="N1081" i="2" s="1"/>
  <c r="M1080" i="2"/>
  <c r="N1080" i="2" s="1"/>
  <c r="M1079" i="2"/>
  <c r="N1079" i="2" s="1"/>
  <c r="M1078" i="2"/>
  <c r="N1078" i="2" s="1"/>
  <c r="M1077" i="2"/>
  <c r="N1077" i="2" s="1"/>
  <c r="M1076" i="2"/>
  <c r="N1076" i="2" s="1"/>
  <c r="M1075" i="2"/>
  <c r="N1075" i="2" s="1"/>
  <c r="M1074" i="2"/>
  <c r="N1074" i="2" s="1"/>
  <c r="M1073" i="2"/>
  <c r="N1073" i="2" s="1"/>
  <c r="M1072" i="2"/>
  <c r="N1072" i="2" s="1"/>
  <c r="M1071" i="2"/>
  <c r="N1071" i="2" s="1"/>
  <c r="M1070" i="2"/>
  <c r="N1070" i="2" s="1"/>
  <c r="M1069" i="2"/>
  <c r="N1069" i="2" s="1"/>
  <c r="M1068" i="2"/>
  <c r="N1068" i="2" s="1"/>
  <c r="M1067" i="2"/>
  <c r="N1067" i="2" s="1"/>
  <c r="M1066" i="2"/>
  <c r="N1066" i="2" s="1"/>
  <c r="M1065" i="2"/>
  <c r="N1065" i="2" s="1"/>
  <c r="M1064" i="2"/>
  <c r="N1064" i="2" s="1"/>
  <c r="M1063" i="2"/>
  <c r="N1063" i="2" s="1"/>
  <c r="M1062" i="2"/>
  <c r="N1062" i="2" s="1"/>
  <c r="M1061" i="2"/>
  <c r="N1061" i="2" s="1"/>
  <c r="M1060" i="2"/>
  <c r="N1060" i="2" s="1"/>
  <c r="M1059" i="2"/>
  <c r="N1059" i="2" s="1"/>
  <c r="M1058" i="2"/>
  <c r="N1058" i="2" s="1"/>
  <c r="M1057" i="2"/>
  <c r="N1057" i="2" s="1"/>
  <c r="M1056" i="2"/>
  <c r="N1056" i="2" s="1"/>
  <c r="M1055" i="2"/>
  <c r="N1055" i="2" s="1"/>
  <c r="M1054" i="2"/>
  <c r="N1054" i="2" s="1"/>
  <c r="M1053" i="2"/>
  <c r="N1053" i="2" s="1"/>
  <c r="M1052" i="2"/>
  <c r="N1052" i="2" s="1"/>
  <c r="M1051" i="2"/>
  <c r="N1051" i="2" s="1"/>
  <c r="M1050" i="2"/>
  <c r="N1050" i="2" s="1"/>
  <c r="M1049" i="2"/>
  <c r="N1049" i="2" s="1"/>
  <c r="M1048" i="2"/>
  <c r="N1048" i="2" s="1"/>
  <c r="M1047" i="2"/>
  <c r="N1047" i="2" s="1"/>
  <c r="M1046" i="2"/>
  <c r="N1046" i="2" s="1"/>
  <c r="M1045" i="2"/>
  <c r="N1045" i="2" s="1"/>
  <c r="M1044" i="2"/>
  <c r="N1044" i="2" s="1"/>
  <c r="M1043" i="2"/>
  <c r="N1043" i="2" s="1"/>
  <c r="M1042" i="2"/>
  <c r="N1042" i="2" s="1"/>
  <c r="M1041" i="2"/>
  <c r="N1041" i="2" s="1"/>
  <c r="M1040" i="2"/>
  <c r="N1040" i="2" s="1"/>
  <c r="M1039" i="2"/>
  <c r="N1039" i="2" s="1"/>
  <c r="M1038" i="2"/>
  <c r="N1038" i="2" s="1"/>
  <c r="M1037" i="2"/>
  <c r="N1037" i="2" s="1"/>
  <c r="M1036" i="2"/>
  <c r="N1036" i="2" s="1"/>
  <c r="M1035" i="2"/>
  <c r="N1035" i="2" s="1"/>
  <c r="M1034" i="2"/>
  <c r="N1034" i="2" s="1"/>
  <c r="M1033" i="2"/>
  <c r="N1033" i="2" s="1"/>
  <c r="M1032" i="2"/>
  <c r="N1032" i="2" s="1"/>
  <c r="M1031" i="2"/>
  <c r="N1031" i="2" s="1"/>
  <c r="M1030" i="2"/>
  <c r="N1030" i="2" s="1"/>
  <c r="M1029" i="2"/>
  <c r="N1029" i="2" s="1"/>
  <c r="M1028" i="2"/>
  <c r="N1028" i="2" s="1"/>
  <c r="M1027" i="2"/>
  <c r="N1027" i="2" s="1"/>
  <c r="M1026" i="2"/>
  <c r="N1026" i="2" s="1"/>
  <c r="M1025" i="2"/>
  <c r="N1025" i="2" s="1"/>
  <c r="M1024" i="2"/>
  <c r="N1024" i="2" s="1"/>
  <c r="M1023" i="2"/>
  <c r="N1023" i="2" s="1"/>
  <c r="M1022" i="2"/>
  <c r="N1022" i="2" s="1"/>
  <c r="M1021" i="2"/>
  <c r="N1021" i="2" s="1"/>
  <c r="M1020" i="2"/>
  <c r="N1020" i="2" s="1"/>
  <c r="M1019" i="2"/>
  <c r="N1019" i="2" s="1"/>
  <c r="M1018" i="2"/>
  <c r="N1018" i="2" s="1"/>
  <c r="M1017" i="2"/>
  <c r="N1017" i="2" s="1"/>
  <c r="M1016" i="2"/>
  <c r="N1016" i="2" s="1"/>
  <c r="M1015" i="2"/>
  <c r="N1015" i="2" s="1"/>
  <c r="M1014" i="2"/>
  <c r="N1014" i="2" s="1"/>
  <c r="M1013" i="2"/>
  <c r="N1013" i="2" s="1"/>
  <c r="M1012" i="2"/>
  <c r="N1012" i="2" s="1"/>
  <c r="M1011" i="2"/>
  <c r="N1011" i="2" s="1"/>
  <c r="M1010" i="2"/>
  <c r="N1010" i="2" s="1"/>
  <c r="M1009" i="2"/>
  <c r="N1009" i="2" s="1"/>
  <c r="M1008" i="2"/>
  <c r="N1008" i="2" s="1"/>
  <c r="M1007" i="2"/>
  <c r="N1007" i="2" s="1"/>
  <c r="M1006" i="2"/>
  <c r="N1006" i="2" s="1"/>
  <c r="M1005" i="2"/>
  <c r="N1005" i="2" s="1"/>
  <c r="M1004" i="2"/>
  <c r="N1004" i="2" s="1"/>
  <c r="M1003" i="2"/>
  <c r="N1003" i="2" s="1"/>
  <c r="M1002" i="2"/>
  <c r="N1002" i="2" s="1"/>
  <c r="M1001" i="2"/>
  <c r="N1001" i="2" s="1"/>
  <c r="M1000" i="2"/>
  <c r="N1000" i="2" s="1"/>
  <c r="M999" i="2"/>
  <c r="N999" i="2" s="1"/>
  <c r="M998" i="2"/>
  <c r="N998" i="2" s="1"/>
  <c r="M997" i="2"/>
  <c r="N997" i="2" s="1"/>
  <c r="M996" i="2"/>
  <c r="N996" i="2" s="1"/>
  <c r="M995" i="2"/>
  <c r="N995" i="2" s="1"/>
  <c r="M994" i="2"/>
  <c r="N994" i="2" s="1"/>
  <c r="M993" i="2"/>
  <c r="N993" i="2" s="1"/>
  <c r="M992" i="2"/>
  <c r="N992" i="2" s="1"/>
  <c r="M991" i="2"/>
  <c r="N991" i="2" s="1"/>
  <c r="M990" i="2"/>
  <c r="N990" i="2" s="1"/>
  <c r="M989" i="2"/>
  <c r="N989" i="2" s="1"/>
  <c r="M988" i="2"/>
  <c r="N988" i="2" s="1"/>
  <c r="M987" i="2"/>
  <c r="N987" i="2" s="1"/>
  <c r="M986" i="2"/>
  <c r="N986" i="2" s="1"/>
  <c r="M985" i="2"/>
  <c r="N985" i="2" s="1"/>
  <c r="M984" i="2"/>
  <c r="N984" i="2" s="1"/>
  <c r="M983" i="2"/>
  <c r="N983" i="2" s="1"/>
  <c r="M982" i="2"/>
  <c r="N982" i="2" s="1"/>
  <c r="M981" i="2"/>
  <c r="N981" i="2" s="1"/>
  <c r="M980" i="2"/>
  <c r="N980" i="2" s="1"/>
  <c r="M979" i="2"/>
  <c r="N979" i="2" s="1"/>
  <c r="M978" i="2"/>
  <c r="N978" i="2" s="1"/>
  <c r="M977" i="2"/>
  <c r="N977" i="2" s="1"/>
  <c r="M976" i="2"/>
  <c r="N976" i="2" s="1"/>
  <c r="M975" i="2"/>
  <c r="N975" i="2" s="1"/>
  <c r="M974" i="2"/>
  <c r="N974" i="2" s="1"/>
  <c r="M973" i="2"/>
  <c r="N973" i="2" s="1"/>
  <c r="M972" i="2"/>
  <c r="N972" i="2" s="1"/>
  <c r="M971" i="2"/>
  <c r="N971" i="2" s="1"/>
  <c r="M970" i="2"/>
  <c r="N970" i="2" s="1"/>
  <c r="M969" i="2"/>
  <c r="N969" i="2" s="1"/>
  <c r="M968" i="2"/>
  <c r="N968" i="2" s="1"/>
  <c r="M967" i="2"/>
  <c r="N967" i="2" s="1"/>
  <c r="M966" i="2"/>
  <c r="N966" i="2" s="1"/>
  <c r="M965" i="2"/>
  <c r="N965" i="2" s="1"/>
  <c r="M964" i="2"/>
  <c r="N964" i="2" s="1"/>
  <c r="M963" i="2"/>
  <c r="N963" i="2" s="1"/>
  <c r="M962" i="2"/>
  <c r="N962" i="2" s="1"/>
  <c r="M961" i="2"/>
  <c r="N961" i="2" s="1"/>
  <c r="M960" i="2"/>
  <c r="N960" i="2" s="1"/>
  <c r="M959" i="2"/>
  <c r="N959" i="2" s="1"/>
  <c r="M958" i="2"/>
  <c r="N958" i="2" s="1"/>
  <c r="M957" i="2"/>
  <c r="N957" i="2" s="1"/>
  <c r="M956" i="2"/>
  <c r="N956" i="2" s="1"/>
  <c r="M955" i="2"/>
  <c r="N955" i="2" s="1"/>
  <c r="M954" i="2"/>
  <c r="N954" i="2" s="1"/>
  <c r="M953" i="2"/>
  <c r="N953" i="2" s="1"/>
  <c r="M952" i="2"/>
  <c r="N952" i="2" s="1"/>
  <c r="M951" i="2"/>
  <c r="N951" i="2" s="1"/>
  <c r="M950" i="2"/>
  <c r="N950" i="2" s="1"/>
  <c r="M949" i="2"/>
  <c r="N949" i="2" s="1"/>
  <c r="M948" i="2"/>
  <c r="N948" i="2" s="1"/>
  <c r="M947" i="2"/>
  <c r="N947" i="2" s="1"/>
  <c r="M946" i="2"/>
  <c r="N946" i="2" s="1"/>
  <c r="M945" i="2"/>
  <c r="N945" i="2" s="1"/>
  <c r="M944" i="2"/>
  <c r="N944" i="2" s="1"/>
  <c r="M943" i="2"/>
  <c r="N943" i="2" s="1"/>
  <c r="M942" i="2"/>
  <c r="N942" i="2" s="1"/>
  <c r="M941" i="2"/>
  <c r="N941" i="2" s="1"/>
  <c r="M940" i="2"/>
  <c r="N940" i="2" s="1"/>
  <c r="M939" i="2"/>
  <c r="N939" i="2" s="1"/>
  <c r="M938" i="2"/>
  <c r="N938" i="2" s="1"/>
  <c r="M937" i="2"/>
  <c r="N937" i="2" s="1"/>
  <c r="M936" i="2"/>
  <c r="N936" i="2" s="1"/>
  <c r="M935" i="2"/>
  <c r="N935" i="2" s="1"/>
  <c r="M934" i="2"/>
  <c r="N934" i="2" s="1"/>
  <c r="M933" i="2"/>
  <c r="N933" i="2" s="1"/>
  <c r="M932" i="2"/>
  <c r="N932" i="2" s="1"/>
  <c r="M931" i="2"/>
  <c r="N931" i="2" s="1"/>
  <c r="M930" i="2"/>
  <c r="N930" i="2" s="1"/>
  <c r="M929" i="2"/>
  <c r="N929" i="2" s="1"/>
  <c r="M928" i="2"/>
  <c r="N928" i="2" s="1"/>
  <c r="M927" i="2"/>
  <c r="N927" i="2" s="1"/>
  <c r="M926" i="2"/>
  <c r="N926" i="2" s="1"/>
  <c r="M925" i="2"/>
  <c r="N925" i="2" s="1"/>
  <c r="M924" i="2"/>
  <c r="N924" i="2" s="1"/>
  <c r="M923" i="2"/>
  <c r="N923" i="2" s="1"/>
  <c r="M922" i="2"/>
  <c r="N922" i="2" s="1"/>
  <c r="M921" i="2"/>
  <c r="N921" i="2" s="1"/>
  <c r="M920" i="2"/>
  <c r="N920" i="2" s="1"/>
  <c r="M919" i="2"/>
  <c r="N919" i="2" s="1"/>
  <c r="M918" i="2"/>
  <c r="N918" i="2" s="1"/>
  <c r="M917" i="2"/>
  <c r="N917" i="2" s="1"/>
  <c r="M916" i="2"/>
  <c r="N916" i="2" s="1"/>
  <c r="M915" i="2"/>
  <c r="N915" i="2" s="1"/>
  <c r="M914" i="2"/>
  <c r="N914" i="2" s="1"/>
  <c r="M913" i="2"/>
  <c r="N913" i="2" s="1"/>
  <c r="M912" i="2"/>
  <c r="N912" i="2" s="1"/>
  <c r="M911" i="2"/>
  <c r="N911" i="2" s="1"/>
  <c r="M910" i="2"/>
  <c r="N910" i="2" s="1"/>
  <c r="M909" i="2"/>
  <c r="N909" i="2" s="1"/>
  <c r="M908" i="2"/>
  <c r="N908" i="2" s="1"/>
  <c r="M907" i="2"/>
  <c r="N907" i="2" s="1"/>
  <c r="M906" i="2"/>
  <c r="N906" i="2" s="1"/>
  <c r="M905" i="2"/>
  <c r="N905" i="2" s="1"/>
  <c r="M904" i="2"/>
  <c r="N904" i="2" s="1"/>
  <c r="M903" i="2"/>
  <c r="N903" i="2" s="1"/>
  <c r="M902" i="2"/>
  <c r="N902" i="2" s="1"/>
  <c r="M901" i="2"/>
  <c r="N901" i="2" s="1"/>
  <c r="M900" i="2"/>
  <c r="N900" i="2" s="1"/>
  <c r="M899" i="2"/>
  <c r="N899" i="2" s="1"/>
  <c r="M898" i="2"/>
  <c r="N898" i="2" s="1"/>
  <c r="M897" i="2"/>
  <c r="N897" i="2" s="1"/>
  <c r="M896" i="2"/>
  <c r="N896" i="2" s="1"/>
  <c r="M895" i="2"/>
  <c r="N895" i="2" s="1"/>
  <c r="M894" i="2"/>
  <c r="N894" i="2" s="1"/>
  <c r="M893" i="2"/>
  <c r="N893" i="2" s="1"/>
  <c r="M892" i="2"/>
  <c r="N892" i="2" s="1"/>
  <c r="M891" i="2"/>
  <c r="N891" i="2" s="1"/>
  <c r="M890" i="2"/>
  <c r="N890" i="2" s="1"/>
  <c r="M889" i="2"/>
  <c r="N889" i="2" s="1"/>
  <c r="M888" i="2"/>
  <c r="N888" i="2" s="1"/>
  <c r="M887" i="2"/>
  <c r="N887" i="2" s="1"/>
  <c r="M886" i="2"/>
  <c r="N886" i="2" s="1"/>
  <c r="M885" i="2"/>
  <c r="N885" i="2" s="1"/>
  <c r="M884" i="2"/>
  <c r="N884" i="2" s="1"/>
  <c r="M883" i="2"/>
  <c r="N883" i="2" s="1"/>
  <c r="M882" i="2"/>
  <c r="N882" i="2" s="1"/>
  <c r="M881" i="2"/>
  <c r="N881" i="2" s="1"/>
  <c r="M880" i="2"/>
  <c r="N880" i="2" s="1"/>
  <c r="M879" i="2"/>
  <c r="N879" i="2" s="1"/>
  <c r="M878" i="2"/>
  <c r="N878" i="2" s="1"/>
  <c r="M877" i="2"/>
  <c r="N877" i="2" s="1"/>
  <c r="M876" i="2"/>
  <c r="N876" i="2" s="1"/>
  <c r="M875" i="2"/>
  <c r="N875" i="2" s="1"/>
  <c r="M874" i="2"/>
  <c r="N874" i="2" s="1"/>
  <c r="M873" i="2"/>
  <c r="N873" i="2" s="1"/>
  <c r="M872" i="2"/>
  <c r="N872" i="2" s="1"/>
  <c r="M871" i="2"/>
  <c r="N871" i="2" s="1"/>
  <c r="M870" i="2"/>
  <c r="N870" i="2" s="1"/>
  <c r="M869" i="2"/>
  <c r="N869" i="2" s="1"/>
  <c r="M868" i="2"/>
  <c r="N868" i="2" s="1"/>
  <c r="M867" i="2"/>
  <c r="N867" i="2" s="1"/>
  <c r="M866" i="2"/>
  <c r="N866" i="2" s="1"/>
  <c r="M865" i="2"/>
  <c r="N865" i="2" s="1"/>
  <c r="M864" i="2"/>
  <c r="N864" i="2" s="1"/>
  <c r="M863" i="2"/>
  <c r="N863" i="2" s="1"/>
  <c r="M862" i="2"/>
  <c r="N862" i="2" s="1"/>
  <c r="M861" i="2"/>
  <c r="N861" i="2" s="1"/>
  <c r="M860" i="2"/>
  <c r="N860" i="2" s="1"/>
  <c r="M859" i="2"/>
  <c r="N859" i="2" s="1"/>
  <c r="M858" i="2"/>
  <c r="N858" i="2" s="1"/>
  <c r="M857" i="2"/>
  <c r="N857" i="2" s="1"/>
  <c r="M856" i="2"/>
  <c r="N856" i="2" s="1"/>
  <c r="M855" i="2"/>
  <c r="N855" i="2" s="1"/>
  <c r="M854" i="2"/>
  <c r="N854" i="2" s="1"/>
  <c r="M853" i="2"/>
  <c r="N853" i="2" s="1"/>
  <c r="M852" i="2"/>
  <c r="N852" i="2" s="1"/>
  <c r="M851" i="2"/>
  <c r="N851" i="2" s="1"/>
  <c r="M850" i="2"/>
  <c r="N850" i="2" s="1"/>
  <c r="M849" i="2"/>
  <c r="N849" i="2" s="1"/>
  <c r="M848" i="2"/>
  <c r="N848" i="2" s="1"/>
  <c r="M847" i="2"/>
  <c r="N847" i="2" s="1"/>
  <c r="M846" i="2"/>
  <c r="N846" i="2" s="1"/>
  <c r="M845" i="2"/>
  <c r="N845" i="2" s="1"/>
  <c r="M844" i="2"/>
  <c r="N844" i="2" s="1"/>
  <c r="M843" i="2"/>
  <c r="N843" i="2" s="1"/>
  <c r="M842" i="2"/>
  <c r="N842" i="2" s="1"/>
  <c r="M841" i="2"/>
  <c r="N841" i="2" s="1"/>
  <c r="M840" i="2"/>
  <c r="N840" i="2" s="1"/>
  <c r="M839" i="2"/>
  <c r="N839" i="2" s="1"/>
  <c r="M838" i="2"/>
  <c r="N838" i="2" s="1"/>
  <c r="M837" i="2"/>
  <c r="N837" i="2" s="1"/>
  <c r="M836" i="2"/>
  <c r="N836" i="2" s="1"/>
  <c r="M835" i="2"/>
  <c r="N835" i="2" s="1"/>
  <c r="M834" i="2"/>
  <c r="N834" i="2" s="1"/>
  <c r="M833" i="2"/>
  <c r="N833" i="2" s="1"/>
  <c r="M832" i="2"/>
  <c r="N832" i="2" s="1"/>
  <c r="M831" i="2"/>
  <c r="N831" i="2" s="1"/>
  <c r="M830" i="2"/>
  <c r="N830" i="2" s="1"/>
  <c r="M829" i="2"/>
  <c r="N829" i="2" s="1"/>
  <c r="M828" i="2"/>
  <c r="N828" i="2" s="1"/>
  <c r="M827" i="2"/>
  <c r="N827" i="2" s="1"/>
  <c r="M826" i="2"/>
  <c r="N826" i="2" s="1"/>
  <c r="M825" i="2"/>
  <c r="N825" i="2" s="1"/>
  <c r="M824" i="2"/>
  <c r="N824" i="2" s="1"/>
  <c r="M823" i="2"/>
  <c r="N823" i="2" s="1"/>
  <c r="M822" i="2"/>
  <c r="N822" i="2" s="1"/>
  <c r="M821" i="2"/>
  <c r="N821" i="2" s="1"/>
  <c r="M820" i="2"/>
  <c r="N820" i="2" s="1"/>
  <c r="M819" i="2"/>
  <c r="N819" i="2" s="1"/>
  <c r="M818" i="2"/>
  <c r="N818" i="2" s="1"/>
  <c r="M817" i="2"/>
  <c r="N817" i="2" s="1"/>
  <c r="M816" i="2"/>
  <c r="N816" i="2" s="1"/>
  <c r="M815" i="2"/>
  <c r="N815" i="2" s="1"/>
  <c r="M814" i="2"/>
  <c r="N814" i="2" s="1"/>
  <c r="M813" i="2"/>
  <c r="N813" i="2" s="1"/>
  <c r="M812" i="2"/>
  <c r="N812" i="2" s="1"/>
  <c r="M811" i="2"/>
  <c r="N811" i="2" s="1"/>
  <c r="M810" i="2"/>
  <c r="N810" i="2" s="1"/>
  <c r="M809" i="2"/>
  <c r="N809" i="2" s="1"/>
  <c r="M808" i="2"/>
  <c r="N808" i="2" s="1"/>
  <c r="M807" i="2"/>
  <c r="N807" i="2" s="1"/>
  <c r="M806" i="2"/>
  <c r="N806" i="2" s="1"/>
  <c r="M805" i="2"/>
  <c r="N805" i="2" s="1"/>
  <c r="M804" i="2"/>
  <c r="N804" i="2" s="1"/>
  <c r="M803" i="2"/>
  <c r="N803" i="2" s="1"/>
  <c r="M802" i="2"/>
  <c r="N802" i="2" s="1"/>
  <c r="M801" i="2"/>
  <c r="N801" i="2" s="1"/>
  <c r="M800" i="2"/>
  <c r="N800" i="2" s="1"/>
  <c r="M799" i="2"/>
  <c r="N799" i="2" s="1"/>
  <c r="M798" i="2"/>
  <c r="N798" i="2" s="1"/>
  <c r="M797" i="2"/>
  <c r="N797" i="2" s="1"/>
  <c r="M796" i="2"/>
  <c r="N796" i="2" s="1"/>
  <c r="M795" i="2"/>
  <c r="N795" i="2" s="1"/>
  <c r="M794" i="2"/>
  <c r="N794" i="2" s="1"/>
  <c r="M793" i="2"/>
  <c r="N793" i="2" s="1"/>
  <c r="M792" i="2"/>
  <c r="N792" i="2" s="1"/>
  <c r="M791" i="2"/>
  <c r="N791" i="2" s="1"/>
  <c r="M790" i="2"/>
  <c r="N790" i="2" s="1"/>
  <c r="M789" i="2"/>
  <c r="N789" i="2" s="1"/>
  <c r="M788" i="2"/>
  <c r="N788" i="2" s="1"/>
  <c r="M787" i="2"/>
  <c r="N787" i="2" s="1"/>
  <c r="M786" i="2"/>
  <c r="N786" i="2" s="1"/>
  <c r="M785" i="2"/>
  <c r="N785" i="2" s="1"/>
  <c r="M784" i="2"/>
  <c r="N784" i="2" s="1"/>
  <c r="M783" i="2"/>
  <c r="N783" i="2" s="1"/>
  <c r="M782" i="2"/>
  <c r="N782" i="2" s="1"/>
  <c r="M781" i="2"/>
  <c r="N781" i="2" s="1"/>
  <c r="M780" i="2"/>
  <c r="N780" i="2" s="1"/>
  <c r="M779" i="2"/>
  <c r="N779" i="2" s="1"/>
  <c r="M778" i="2"/>
  <c r="N778" i="2" s="1"/>
  <c r="M777" i="2"/>
  <c r="N777" i="2" s="1"/>
  <c r="M776" i="2"/>
  <c r="N776" i="2" s="1"/>
  <c r="M775" i="2"/>
  <c r="N775" i="2" s="1"/>
  <c r="M774" i="2"/>
  <c r="N774" i="2" s="1"/>
  <c r="M773" i="2"/>
  <c r="N773" i="2" s="1"/>
  <c r="M772" i="2"/>
  <c r="N772" i="2" s="1"/>
  <c r="M771" i="2"/>
  <c r="N771" i="2" s="1"/>
  <c r="M770" i="2"/>
  <c r="N770" i="2" s="1"/>
  <c r="M769" i="2"/>
  <c r="N769" i="2" s="1"/>
  <c r="M768" i="2"/>
  <c r="N768" i="2" s="1"/>
  <c r="M767" i="2"/>
  <c r="N767" i="2" s="1"/>
  <c r="M766" i="2"/>
  <c r="N766" i="2" s="1"/>
  <c r="M765" i="2"/>
  <c r="N765" i="2" s="1"/>
  <c r="M764" i="2"/>
  <c r="N764" i="2" s="1"/>
  <c r="M763" i="2"/>
  <c r="N763" i="2" s="1"/>
  <c r="M762" i="2"/>
  <c r="N762" i="2" s="1"/>
  <c r="M761" i="2"/>
  <c r="N761" i="2" s="1"/>
  <c r="M760" i="2"/>
  <c r="N760" i="2" s="1"/>
  <c r="M759" i="2"/>
  <c r="N759" i="2" s="1"/>
  <c r="M758" i="2"/>
  <c r="N758" i="2" s="1"/>
  <c r="M757" i="2"/>
  <c r="N757" i="2" s="1"/>
  <c r="M756" i="2"/>
  <c r="N756" i="2" s="1"/>
  <c r="M755" i="2"/>
  <c r="N755" i="2" s="1"/>
  <c r="M754" i="2"/>
  <c r="N754" i="2" s="1"/>
  <c r="M753" i="2"/>
  <c r="N753" i="2" s="1"/>
  <c r="M752" i="2"/>
  <c r="N752" i="2" s="1"/>
  <c r="M751" i="2"/>
  <c r="N751" i="2" s="1"/>
  <c r="M750" i="2"/>
  <c r="N750" i="2" s="1"/>
  <c r="M749" i="2"/>
  <c r="N749" i="2" s="1"/>
  <c r="M748" i="2"/>
  <c r="N748" i="2" s="1"/>
  <c r="M747" i="2"/>
  <c r="N747" i="2" s="1"/>
  <c r="M746" i="2"/>
  <c r="N746" i="2" s="1"/>
  <c r="M745" i="2"/>
  <c r="N745" i="2" s="1"/>
  <c r="M744" i="2"/>
  <c r="N744" i="2" s="1"/>
  <c r="M743" i="2"/>
  <c r="N743" i="2" s="1"/>
  <c r="M742" i="2"/>
  <c r="N742" i="2" s="1"/>
  <c r="M741" i="2"/>
  <c r="N741" i="2" s="1"/>
  <c r="M740" i="2"/>
  <c r="N740" i="2" s="1"/>
  <c r="M739" i="2"/>
  <c r="N739" i="2" s="1"/>
  <c r="M738" i="2"/>
  <c r="N738" i="2" s="1"/>
  <c r="M737" i="2"/>
  <c r="N737" i="2" s="1"/>
  <c r="M736" i="2"/>
  <c r="N736" i="2" s="1"/>
  <c r="M735" i="2"/>
  <c r="N735" i="2" s="1"/>
  <c r="M734" i="2"/>
  <c r="N734" i="2" s="1"/>
  <c r="M733" i="2"/>
  <c r="N733" i="2" s="1"/>
  <c r="M732" i="2"/>
  <c r="N732" i="2" s="1"/>
  <c r="M731" i="2"/>
  <c r="N731" i="2" s="1"/>
  <c r="M730" i="2"/>
  <c r="N730" i="2" s="1"/>
  <c r="M729" i="2"/>
  <c r="N729" i="2" s="1"/>
  <c r="M728" i="2"/>
  <c r="N728" i="2" s="1"/>
  <c r="M727" i="2"/>
  <c r="N727" i="2" s="1"/>
  <c r="M726" i="2"/>
  <c r="N726" i="2" s="1"/>
  <c r="M725" i="2"/>
  <c r="N725" i="2" s="1"/>
  <c r="M724" i="2"/>
  <c r="N724" i="2" s="1"/>
  <c r="M723" i="2"/>
  <c r="N723" i="2" s="1"/>
  <c r="M722" i="2"/>
  <c r="N722" i="2" s="1"/>
  <c r="M721" i="2"/>
  <c r="N721" i="2" s="1"/>
  <c r="M720" i="2"/>
  <c r="N720" i="2" s="1"/>
  <c r="M719" i="2"/>
  <c r="N719" i="2" s="1"/>
  <c r="M718" i="2"/>
  <c r="N718" i="2" s="1"/>
  <c r="M717" i="2"/>
  <c r="N717" i="2" s="1"/>
  <c r="M716" i="2"/>
  <c r="N716" i="2" s="1"/>
  <c r="M715" i="2"/>
  <c r="N715" i="2" s="1"/>
  <c r="M714" i="2"/>
  <c r="N714" i="2" s="1"/>
  <c r="M713" i="2"/>
  <c r="N713" i="2" s="1"/>
  <c r="M712" i="2"/>
  <c r="N712" i="2" s="1"/>
  <c r="M711" i="2"/>
  <c r="N711" i="2" s="1"/>
  <c r="M710" i="2"/>
  <c r="N710" i="2" s="1"/>
  <c r="M709" i="2"/>
  <c r="N709" i="2" s="1"/>
  <c r="M708" i="2"/>
  <c r="N708" i="2" s="1"/>
  <c r="M707" i="2"/>
  <c r="N707" i="2" s="1"/>
  <c r="M706" i="2"/>
  <c r="N706" i="2" s="1"/>
  <c r="M705" i="2"/>
  <c r="N705" i="2" s="1"/>
  <c r="M704" i="2"/>
  <c r="N704" i="2" s="1"/>
  <c r="M703" i="2"/>
  <c r="N703" i="2" s="1"/>
  <c r="M702" i="2"/>
  <c r="N702" i="2" s="1"/>
  <c r="M701" i="2"/>
  <c r="N701" i="2" s="1"/>
  <c r="M700" i="2"/>
  <c r="N700" i="2" s="1"/>
  <c r="M699" i="2"/>
  <c r="N699" i="2" s="1"/>
  <c r="M698" i="2"/>
  <c r="N698" i="2" s="1"/>
  <c r="M697" i="2"/>
  <c r="N697" i="2" s="1"/>
  <c r="M696" i="2"/>
  <c r="N696" i="2" s="1"/>
  <c r="M695" i="2"/>
  <c r="N695" i="2" s="1"/>
  <c r="M694" i="2"/>
  <c r="N694" i="2" s="1"/>
  <c r="M693" i="2"/>
  <c r="N693" i="2" s="1"/>
  <c r="M692" i="2"/>
  <c r="N692" i="2" s="1"/>
  <c r="M691" i="2"/>
  <c r="N691" i="2" s="1"/>
  <c r="M690" i="2"/>
  <c r="N690" i="2" s="1"/>
  <c r="M689" i="2"/>
  <c r="N689" i="2" s="1"/>
  <c r="M688" i="2"/>
  <c r="N688" i="2" s="1"/>
  <c r="M687" i="2"/>
  <c r="N687" i="2" s="1"/>
  <c r="M686" i="2"/>
  <c r="N686" i="2" s="1"/>
  <c r="M685" i="2"/>
  <c r="N685" i="2" s="1"/>
  <c r="M684" i="2"/>
  <c r="N684" i="2" s="1"/>
  <c r="M683" i="2"/>
  <c r="N683" i="2" s="1"/>
  <c r="M682" i="2"/>
  <c r="N682" i="2" s="1"/>
  <c r="M681" i="2"/>
  <c r="N681" i="2" s="1"/>
  <c r="M680" i="2"/>
  <c r="N680" i="2" s="1"/>
  <c r="M679" i="2"/>
  <c r="N679" i="2" s="1"/>
  <c r="M678" i="2"/>
  <c r="N678" i="2" s="1"/>
  <c r="M677" i="2"/>
  <c r="N677" i="2" s="1"/>
  <c r="M676" i="2"/>
  <c r="N676" i="2" s="1"/>
  <c r="M675" i="2"/>
  <c r="N675" i="2" s="1"/>
  <c r="M674" i="2"/>
  <c r="N674" i="2" s="1"/>
  <c r="M673" i="2"/>
  <c r="N673" i="2" s="1"/>
  <c r="M672" i="2"/>
  <c r="N672" i="2" s="1"/>
  <c r="M671" i="2"/>
  <c r="N671" i="2" s="1"/>
  <c r="M670" i="2"/>
  <c r="N670" i="2" s="1"/>
  <c r="M669" i="2"/>
  <c r="N669" i="2" s="1"/>
  <c r="M668" i="2"/>
  <c r="N668" i="2" s="1"/>
  <c r="M667" i="2"/>
  <c r="N667" i="2" s="1"/>
  <c r="M666" i="2"/>
  <c r="N666" i="2" s="1"/>
  <c r="M665" i="2"/>
  <c r="N665" i="2" s="1"/>
  <c r="M664" i="2"/>
  <c r="N664" i="2" s="1"/>
  <c r="M663" i="2"/>
  <c r="N663" i="2" s="1"/>
  <c r="M662" i="2"/>
  <c r="N662" i="2" s="1"/>
  <c r="M661" i="2"/>
  <c r="N661" i="2" s="1"/>
  <c r="M660" i="2"/>
  <c r="N660" i="2" s="1"/>
  <c r="M659" i="2"/>
  <c r="N659" i="2" s="1"/>
  <c r="M658" i="2"/>
  <c r="N658" i="2" s="1"/>
  <c r="M657" i="2"/>
  <c r="N657" i="2" s="1"/>
  <c r="M656" i="2"/>
  <c r="N656" i="2" s="1"/>
  <c r="M655" i="2"/>
  <c r="N655" i="2" s="1"/>
  <c r="M654" i="2"/>
  <c r="N654" i="2" s="1"/>
  <c r="M653" i="2"/>
  <c r="N653" i="2" s="1"/>
  <c r="M652" i="2"/>
  <c r="N652" i="2" s="1"/>
  <c r="M651" i="2"/>
  <c r="N651" i="2" s="1"/>
  <c r="M650" i="2"/>
  <c r="N650" i="2" s="1"/>
  <c r="M649" i="2"/>
  <c r="N649" i="2" s="1"/>
  <c r="M648" i="2"/>
  <c r="N648" i="2" s="1"/>
  <c r="M647" i="2"/>
  <c r="N647" i="2" s="1"/>
  <c r="M646" i="2"/>
  <c r="N646" i="2" s="1"/>
  <c r="M645" i="2"/>
  <c r="N645" i="2" s="1"/>
  <c r="M644" i="2"/>
  <c r="N644" i="2" s="1"/>
  <c r="M643" i="2"/>
  <c r="N643" i="2" s="1"/>
  <c r="M642" i="2"/>
  <c r="N642" i="2" s="1"/>
  <c r="M641" i="2"/>
  <c r="N641" i="2" s="1"/>
  <c r="M640" i="2"/>
  <c r="N640" i="2" s="1"/>
  <c r="M639" i="2"/>
  <c r="N639" i="2" s="1"/>
  <c r="M638" i="2"/>
  <c r="N638" i="2" s="1"/>
  <c r="M637" i="2"/>
  <c r="N637" i="2" s="1"/>
  <c r="M636" i="2"/>
  <c r="N636" i="2" s="1"/>
  <c r="M635" i="2"/>
  <c r="N635" i="2" s="1"/>
  <c r="M634" i="2"/>
  <c r="N634" i="2" s="1"/>
  <c r="M633" i="2"/>
  <c r="N633" i="2" s="1"/>
  <c r="M632" i="2"/>
  <c r="N632" i="2" s="1"/>
  <c r="M631" i="2"/>
  <c r="N631" i="2" s="1"/>
  <c r="M630" i="2"/>
  <c r="N630" i="2" s="1"/>
  <c r="M629" i="2"/>
  <c r="N629" i="2" s="1"/>
  <c r="M628" i="2"/>
  <c r="N628" i="2" s="1"/>
  <c r="M627" i="2"/>
  <c r="N627" i="2" s="1"/>
  <c r="M626" i="2"/>
  <c r="N626" i="2" s="1"/>
  <c r="M625" i="2"/>
  <c r="N625" i="2" s="1"/>
  <c r="M624" i="2"/>
  <c r="N624" i="2" s="1"/>
  <c r="M623" i="2"/>
  <c r="N623" i="2" s="1"/>
  <c r="M622" i="2"/>
  <c r="N622" i="2" s="1"/>
  <c r="M621" i="2"/>
  <c r="N621" i="2" s="1"/>
  <c r="M620" i="2"/>
  <c r="N620" i="2" s="1"/>
  <c r="M619" i="2"/>
  <c r="N619" i="2" s="1"/>
  <c r="M618" i="2"/>
  <c r="N618" i="2" s="1"/>
  <c r="M617" i="2"/>
  <c r="N617" i="2" s="1"/>
  <c r="M616" i="2"/>
  <c r="N616" i="2" s="1"/>
  <c r="M615" i="2"/>
  <c r="N615" i="2" s="1"/>
  <c r="M614" i="2"/>
  <c r="N614" i="2" s="1"/>
  <c r="M613" i="2"/>
  <c r="N613" i="2" s="1"/>
  <c r="M612" i="2"/>
  <c r="N612" i="2" s="1"/>
  <c r="M611" i="2"/>
  <c r="N611" i="2" s="1"/>
  <c r="M610" i="2"/>
  <c r="N610" i="2" s="1"/>
  <c r="M609" i="2"/>
  <c r="N609" i="2" s="1"/>
  <c r="M608" i="2"/>
  <c r="N608" i="2" s="1"/>
  <c r="M607" i="2"/>
  <c r="N607" i="2" s="1"/>
  <c r="M606" i="2"/>
  <c r="N606" i="2" s="1"/>
  <c r="M605" i="2"/>
  <c r="N605" i="2" s="1"/>
  <c r="M604" i="2"/>
  <c r="N604" i="2" s="1"/>
  <c r="M603" i="2"/>
  <c r="N603" i="2" s="1"/>
  <c r="M602" i="2"/>
  <c r="N602" i="2" s="1"/>
  <c r="M601" i="2"/>
  <c r="N601" i="2" s="1"/>
  <c r="M600" i="2"/>
  <c r="N600" i="2" s="1"/>
  <c r="M599" i="2"/>
  <c r="N599" i="2" s="1"/>
  <c r="M598" i="2"/>
  <c r="N598" i="2" s="1"/>
  <c r="M597" i="2"/>
  <c r="N597" i="2" s="1"/>
  <c r="M596" i="2"/>
  <c r="N596" i="2" s="1"/>
  <c r="M595" i="2"/>
  <c r="N595" i="2" s="1"/>
  <c r="M594" i="2"/>
  <c r="N594" i="2" s="1"/>
  <c r="M593" i="2"/>
  <c r="N593" i="2" s="1"/>
  <c r="M592" i="2"/>
  <c r="N592" i="2" s="1"/>
  <c r="M591" i="2"/>
  <c r="N591" i="2" s="1"/>
  <c r="M590" i="2"/>
  <c r="N590" i="2" s="1"/>
  <c r="M589" i="2"/>
  <c r="N589" i="2" s="1"/>
  <c r="M588" i="2"/>
  <c r="N588" i="2" s="1"/>
  <c r="M587" i="2"/>
  <c r="N587" i="2" s="1"/>
  <c r="M586" i="2"/>
  <c r="N586" i="2" s="1"/>
  <c r="M585" i="2"/>
  <c r="N585" i="2" s="1"/>
  <c r="M584" i="2"/>
  <c r="N584" i="2" s="1"/>
  <c r="M583" i="2"/>
  <c r="N583" i="2" s="1"/>
  <c r="M582" i="2"/>
  <c r="N582" i="2" s="1"/>
  <c r="M581" i="2"/>
  <c r="N581" i="2" s="1"/>
  <c r="M580" i="2"/>
  <c r="N580" i="2" s="1"/>
  <c r="M579" i="2"/>
  <c r="N579" i="2" s="1"/>
  <c r="M578" i="2"/>
  <c r="N578" i="2" s="1"/>
  <c r="M577" i="2"/>
  <c r="N577" i="2" s="1"/>
  <c r="M576" i="2"/>
  <c r="N576" i="2" s="1"/>
  <c r="M575" i="2"/>
  <c r="N575" i="2" s="1"/>
  <c r="M574" i="2"/>
  <c r="N574" i="2" s="1"/>
  <c r="M573" i="2"/>
  <c r="N573" i="2" s="1"/>
  <c r="M572" i="2"/>
  <c r="N572" i="2" s="1"/>
  <c r="M571" i="2"/>
  <c r="N571" i="2" s="1"/>
  <c r="M570" i="2"/>
  <c r="N570" i="2" s="1"/>
  <c r="M569" i="2"/>
  <c r="N569" i="2" s="1"/>
  <c r="M568" i="2"/>
  <c r="N568" i="2" s="1"/>
  <c r="M567" i="2"/>
  <c r="N567" i="2" s="1"/>
  <c r="M566" i="2"/>
  <c r="N566" i="2" s="1"/>
  <c r="M565" i="2"/>
  <c r="N565" i="2" s="1"/>
  <c r="M564" i="2"/>
  <c r="N564" i="2" s="1"/>
  <c r="M563" i="2"/>
  <c r="N563" i="2" s="1"/>
  <c r="M562" i="2"/>
  <c r="N562" i="2" s="1"/>
  <c r="M561" i="2"/>
  <c r="N561" i="2" s="1"/>
  <c r="M560" i="2"/>
  <c r="N560" i="2" s="1"/>
  <c r="M559" i="2"/>
  <c r="N559" i="2" s="1"/>
  <c r="M558" i="2"/>
  <c r="N558" i="2" s="1"/>
  <c r="M557" i="2"/>
  <c r="N557" i="2" s="1"/>
  <c r="M556" i="2"/>
  <c r="N556" i="2" s="1"/>
  <c r="M555" i="2"/>
  <c r="N555" i="2" s="1"/>
  <c r="M554" i="2"/>
  <c r="N554" i="2" s="1"/>
  <c r="M553" i="2"/>
  <c r="N553" i="2" s="1"/>
  <c r="M552" i="2"/>
  <c r="N552" i="2" s="1"/>
  <c r="M551" i="2"/>
  <c r="N551" i="2" s="1"/>
  <c r="M550" i="2"/>
  <c r="N550" i="2" s="1"/>
  <c r="M549" i="2"/>
  <c r="N549" i="2" s="1"/>
  <c r="M548" i="2"/>
  <c r="N548" i="2" s="1"/>
  <c r="M547" i="2"/>
  <c r="N547" i="2" s="1"/>
  <c r="M546" i="2"/>
  <c r="N546" i="2" s="1"/>
  <c r="M545" i="2"/>
  <c r="N545" i="2" s="1"/>
  <c r="M544" i="2"/>
  <c r="N544" i="2" s="1"/>
  <c r="M543" i="2"/>
  <c r="N543" i="2" s="1"/>
  <c r="M542" i="2"/>
  <c r="N542" i="2" s="1"/>
  <c r="M541" i="2"/>
  <c r="N541" i="2" s="1"/>
  <c r="M540" i="2"/>
  <c r="N540" i="2" s="1"/>
  <c r="M539" i="2"/>
  <c r="N539" i="2" s="1"/>
  <c r="M538" i="2"/>
  <c r="N538" i="2" s="1"/>
  <c r="M537" i="2"/>
  <c r="N537" i="2" s="1"/>
  <c r="M536" i="2"/>
  <c r="N536" i="2" s="1"/>
  <c r="M535" i="2"/>
  <c r="N535" i="2" s="1"/>
  <c r="M534" i="2"/>
  <c r="N534" i="2" s="1"/>
  <c r="M533" i="2"/>
  <c r="N533" i="2" s="1"/>
  <c r="M532" i="2"/>
  <c r="N532" i="2" s="1"/>
  <c r="M531" i="2"/>
  <c r="N531" i="2" s="1"/>
  <c r="M530" i="2"/>
  <c r="N530" i="2" s="1"/>
  <c r="M529" i="2"/>
  <c r="N529" i="2" s="1"/>
  <c r="M528" i="2"/>
  <c r="N528" i="2" s="1"/>
  <c r="M527" i="2"/>
  <c r="N527" i="2" s="1"/>
  <c r="M526" i="2"/>
  <c r="N526" i="2" s="1"/>
  <c r="M525" i="2"/>
  <c r="N525" i="2" s="1"/>
  <c r="M524" i="2"/>
  <c r="N524" i="2" s="1"/>
  <c r="M523" i="2"/>
  <c r="N523" i="2" s="1"/>
  <c r="M522" i="2"/>
  <c r="N522" i="2" s="1"/>
  <c r="M521" i="2"/>
  <c r="N521" i="2" s="1"/>
  <c r="M520" i="2"/>
  <c r="N520" i="2" s="1"/>
  <c r="M519" i="2"/>
  <c r="N519" i="2" s="1"/>
  <c r="M518" i="2"/>
  <c r="N518" i="2" s="1"/>
  <c r="M517" i="2"/>
  <c r="N517" i="2" s="1"/>
  <c r="M516" i="2"/>
  <c r="N516" i="2" s="1"/>
  <c r="M515" i="2"/>
  <c r="N515" i="2" s="1"/>
  <c r="M514" i="2"/>
  <c r="N514" i="2" s="1"/>
  <c r="M513" i="2"/>
  <c r="N513" i="2" s="1"/>
  <c r="M512" i="2"/>
  <c r="N512" i="2" s="1"/>
  <c r="M511" i="2"/>
  <c r="N511" i="2" s="1"/>
  <c r="M510" i="2"/>
  <c r="N510" i="2" s="1"/>
  <c r="M509" i="2"/>
  <c r="N509" i="2" s="1"/>
  <c r="M508" i="2"/>
  <c r="N508" i="2" s="1"/>
  <c r="M507" i="2"/>
  <c r="N507" i="2" s="1"/>
  <c r="M506" i="2"/>
  <c r="N506" i="2" s="1"/>
  <c r="M505" i="2"/>
  <c r="N505" i="2" s="1"/>
  <c r="M504" i="2"/>
  <c r="N504" i="2" s="1"/>
  <c r="M503" i="2"/>
  <c r="N503" i="2" s="1"/>
  <c r="M502" i="2"/>
  <c r="N502" i="2" s="1"/>
  <c r="M501" i="2"/>
  <c r="N501" i="2" s="1"/>
  <c r="M500" i="2"/>
  <c r="N500" i="2" s="1"/>
  <c r="M499" i="2"/>
  <c r="N499" i="2" s="1"/>
  <c r="M498" i="2"/>
  <c r="N498" i="2" s="1"/>
  <c r="M497" i="2"/>
  <c r="N497" i="2" s="1"/>
  <c r="M496" i="2"/>
  <c r="N496" i="2" s="1"/>
  <c r="M495" i="2"/>
  <c r="N495" i="2" s="1"/>
  <c r="M494" i="2"/>
  <c r="N494" i="2" s="1"/>
  <c r="M493" i="2"/>
  <c r="N493" i="2" s="1"/>
  <c r="M492" i="2"/>
  <c r="N492" i="2" s="1"/>
  <c r="M491" i="2"/>
  <c r="N491" i="2" s="1"/>
  <c r="M490" i="2"/>
  <c r="N490" i="2" s="1"/>
  <c r="M489" i="2"/>
  <c r="N489" i="2" s="1"/>
  <c r="M488" i="2"/>
  <c r="N488" i="2" s="1"/>
  <c r="M487" i="2"/>
  <c r="N487" i="2" s="1"/>
  <c r="M486" i="2"/>
  <c r="N486" i="2" s="1"/>
  <c r="M485" i="2"/>
  <c r="N485" i="2" s="1"/>
  <c r="M484" i="2"/>
  <c r="N484" i="2" s="1"/>
  <c r="M483" i="2"/>
  <c r="N483" i="2" s="1"/>
  <c r="M482" i="2"/>
  <c r="N482" i="2" s="1"/>
  <c r="M481" i="2"/>
  <c r="N481" i="2" s="1"/>
  <c r="M480" i="2"/>
  <c r="N480" i="2" s="1"/>
  <c r="M479" i="2"/>
  <c r="N479" i="2" s="1"/>
  <c r="M478" i="2"/>
  <c r="N478" i="2" s="1"/>
  <c r="M477" i="2"/>
  <c r="N477" i="2" s="1"/>
  <c r="M476" i="2"/>
  <c r="N476" i="2" s="1"/>
  <c r="M475" i="2"/>
  <c r="N475" i="2" s="1"/>
  <c r="M474" i="2"/>
  <c r="N474" i="2" s="1"/>
  <c r="M473" i="2"/>
  <c r="N473" i="2" s="1"/>
  <c r="M472" i="2"/>
  <c r="N472" i="2" s="1"/>
  <c r="M471" i="2"/>
  <c r="N471" i="2" s="1"/>
  <c r="M470" i="2"/>
  <c r="N470" i="2" s="1"/>
  <c r="M469" i="2"/>
  <c r="N469" i="2" s="1"/>
  <c r="M468" i="2"/>
  <c r="N468" i="2" s="1"/>
  <c r="M467" i="2"/>
  <c r="N467" i="2" s="1"/>
  <c r="M466" i="2"/>
  <c r="N466" i="2" s="1"/>
  <c r="M465" i="2"/>
  <c r="N465" i="2" s="1"/>
  <c r="M464" i="2"/>
  <c r="N464" i="2" s="1"/>
  <c r="M463" i="2"/>
  <c r="N463" i="2" s="1"/>
  <c r="M462" i="2"/>
  <c r="N462" i="2" s="1"/>
  <c r="M461" i="2"/>
  <c r="N461" i="2" s="1"/>
  <c r="M460" i="2"/>
  <c r="N460" i="2" s="1"/>
  <c r="M459" i="2"/>
  <c r="N459" i="2" s="1"/>
  <c r="M458" i="2"/>
  <c r="N458" i="2" s="1"/>
  <c r="M457" i="2"/>
  <c r="N457" i="2" s="1"/>
  <c r="M456" i="2"/>
  <c r="N456" i="2" s="1"/>
  <c r="M455" i="2"/>
  <c r="N455" i="2" s="1"/>
  <c r="M454" i="2"/>
  <c r="N454" i="2" s="1"/>
  <c r="M453" i="2"/>
  <c r="N453" i="2" s="1"/>
  <c r="M452" i="2"/>
  <c r="N452" i="2" s="1"/>
  <c r="M451" i="2"/>
  <c r="N451" i="2" s="1"/>
  <c r="M450" i="2"/>
  <c r="N450" i="2" s="1"/>
  <c r="M449" i="2"/>
  <c r="N449" i="2" s="1"/>
  <c r="M448" i="2"/>
  <c r="N448" i="2" s="1"/>
  <c r="M447" i="2"/>
  <c r="N447" i="2" s="1"/>
  <c r="M446" i="2"/>
  <c r="N446" i="2" s="1"/>
  <c r="M445" i="2"/>
  <c r="N445" i="2" s="1"/>
  <c r="M444" i="2"/>
  <c r="N444" i="2" s="1"/>
  <c r="M443" i="2"/>
  <c r="N443" i="2" s="1"/>
  <c r="M442" i="2"/>
  <c r="N442" i="2" s="1"/>
  <c r="M441" i="2"/>
  <c r="N441" i="2" s="1"/>
  <c r="M440" i="2"/>
  <c r="N440" i="2" s="1"/>
  <c r="M439" i="2"/>
  <c r="N439" i="2" s="1"/>
  <c r="M438" i="2"/>
  <c r="N438" i="2" s="1"/>
  <c r="M437" i="2"/>
  <c r="N437" i="2" s="1"/>
  <c r="M436" i="2"/>
  <c r="N436" i="2" s="1"/>
  <c r="M435" i="2"/>
  <c r="N435" i="2" s="1"/>
  <c r="M434" i="2"/>
  <c r="N434" i="2" s="1"/>
  <c r="M433" i="2"/>
  <c r="N433" i="2" s="1"/>
  <c r="M432" i="2"/>
  <c r="N432" i="2" s="1"/>
  <c r="M431" i="2"/>
  <c r="N431" i="2" s="1"/>
  <c r="M430" i="2"/>
  <c r="N430" i="2" s="1"/>
  <c r="M429" i="2"/>
  <c r="N429" i="2" s="1"/>
  <c r="M428" i="2"/>
  <c r="N428" i="2" s="1"/>
  <c r="M427" i="2"/>
  <c r="N427" i="2" s="1"/>
  <c r="M426" i="2"/>
  <c r="N426" i="2" s="1"/>
  <c r="M425" i="2"/>
  <c r="N425" i="2" s="1"/>
  <c r="M424" i="2"/>
  <c r="N424" i="2" s="1"/>
  <c r="M423" i="2"/>
  <c r="N423" i="2" s="1"/>
  <c r="M422" i="2"/>
  <c r="N422" i="2" s="1"/>
  <c r="M421" i="2"/>
  <c r="N421" i="2" s="1"/>
  <c r="M420" i="2"/>
  <c r="N420" i="2" s="1"/>
  <c r="M419" i="2"/>
  <c r="N419" i="2" s="1"/>
  <c r="M418" i="2"/>
  <c r="N418" i="2" s="1"/>
  <c r="M417" i="2"/>
  <c r="N417" i="2" s="1"/>
  <c r="M416" i="2"/>
  <c r="N416" i="2" s="1"/>
  <c r="M415" i="2"/>
  <c r="N415" i="2" s="1"/>
  <c r="M414" i="2"/>
  <c r="N414" i="2" s="1"/>
  <c r="M413" i="2"/>
  <c r="N413" i="2" s="1"/>
  <c r="M412" i="2"/>
  <c r="N412" i="2" s="1"/>
  <c r="M411" i="2"/>
  <c r="N411" i="2" s="1"/>
  <c r="M410" i="2"/>
  <c r="N410" i="2" s="1"/>
  <c r="M409" i="2"/>
  <c r="N409" i="2" s="1"/>
  <c r="M408" i="2"/>
  <c r="N408" i="2" s="1"/>
  <c r="M407" i="2"/>
  <c r="N407" i="2" s="1"/>
  <c r="M406" i="2"/>
  <c r="N406" i="2" s="1"/>
  <c r="M405" i="2"/>
  <c r="N405" i="2" s="1"/>
  <c r="M404" i="2"/>
  <c r="N404" i="2" s="1"/>
  <c r="M403" i="2"/>
  <c r="N403" i="2" s="1"/>
  <c r="M402" i="2"/>
  <c r="N402" i="2" s="1"/>
  <c r="M401" i="2"/>
  <c r="N401" i="2" s="1"/>
  <c r="M400" i="2"/>
  <c r="N400" i="2" s="1"/>
  <c r="M399" i="2"/>
  <c r="N399" i="2" s="1"/>
  <c r="M398" i="2"/>
  <c r="N398" i="2" s="1"/>
  <c r="M397" i="2"/>
  <c r="N397" i="2" s="1"/>
  <c r="M396" i="2"/>
  <c r="N396" i="2" s="1"/>
  <c r="M395" i="2"/>
  <c r="N395" i="2" s="1"/>
  <c r="M394" i="2"/>
  <c r="N394" i="2" s="1"/>
  <c r="M393" i="2"/>
  <c r="N393" i="2" s="1"/>
  <c r="M392" i="2"/>
  <c r="N392" i="2" s="1"/>
  <c r="M391" i="2"/>
  <c r="N391" i="2" s="1"/>
  <c r="M390" i="2"/>
  <c r="N390" i="2" s="1"/>
  <c r="M389" i="2"/>
  <c r="N389" i="2" s="1"/>
  <c r="M388" i="2"/>
  <c r="N388" i="2" s="1"/>
  <c r="M387" i="2"/>
  <c r="N387" i="2" s="1"/>
  <c r="M386" i="2"/>
  <c r="N386" i="2" s="1"/>
  <c r="M385" i="2"/>
  <c r="N385" i="2" s="1"/>
  <c r="M384" i="2"/>
  <c r="N384" i="2" s="1"/>
  <c r="M383" i="2"/>
  <c r="N383" i="2" s="1"/>
  <c r="M382" i="2"/>
  <c r="N382" i="2" s="1"/>
  <c r="M381" i="2"/>
  <c r="N381" i="2" s="1"/>
  <c r="M380" i="2"/>
  <c r="N380" i="2" s="1"/>
  <c r="M379" i="2"/>
  <c r="N379" i="2" s="1"/>
  <c r="M378" i="2"/>
  <c r="N378" i="2" s="1"/>
  <c r="M377" i="2"/>
  <c r="N377" i="2" s="1"/>
  <c r="M376" i="2"/>
  <c r="N376" i="2" s="1"/>
  <c r="M375" i="2"/>
  <c r="N375" i="2" s="1"/>
  <c r="M374" i="2"/>
  <c r="N374" i="2" s="1"/>
  <c r="M373" i="2"/>
  <c r="N373" i="2" s="1"/>
  <c r="M372" i="2"/>
  <c r="N372" i="2" s="1"/>
  <c r="M371" i="2"/>
  <c r="N371" i="2" s="1"/>
  <c r="M370" i="2"/>
  <c r="N370" i="2" s="1"/>
  <c r="M369" i="2"/>
  <c r="N369" i="2" s="1"/>
  <c r="M368" i="2"/>
  <c r="N368" i="2" s="1"/>
  <c r="M367" i="2"/>
  <c r="N367" i="2" s="1"/>
  <c r="M366" i="2"/>
  <c r="N366" i="2" s="1"/>
  <c r="M365" i="2"/>
  <c r="N365" i="2" s="1"/>
  <c r="M364" i="2"/>
  <c r="N364" i="2" s="1"/>
  <c r="M363" i="2"/>
  <c r="N363" i="2" s="1"/>
  <c r="M362" i="2"/>
  <c r="N362" i="2" s="1"/>
  <c r="M361" i="2"/>
  <c r="N361" i="2" s="1"/>
  <c r="M360" i="2"/>
  <c r="N360" i="2" s="1"/>
  <c r="M359" i="2"/>
  <c r="N359" i="2" s="1"/>
  <c r="M358" i="2"/>
  <c r="N358" i="2" s="1"/>
  <c r="M357" i="2"/>
  <c r="N357" i="2" s="1"/>
  <c r="M356" i="2"/>
  <c r="N356" i="2" s="1"/>
  <c r="M355" i="2"/>
  <c r="N355" i="2" s="1"/>
  <c r="M354" i="2"/>
  <c r="N354" i="2" s="1"/>
  <c r="M353" i="2"/>
  <c r="N353" i="2" s="1"/>
  <c r="M352" i="2"/>
  <c r="N352" i="2" s="1"/>
  <c r="M351" i="2"/>
  <c r="N351" i="2" s="1"/>
  <c r="M350" i="2"/>
  <c r="N350" i="2" s="1"/>
  <c r="M349" i="2"/>
  <c r="N349" i="2" s="1"/>
  <c r="M348" i="2"/>
  <c r="N348" i="2" s="1"/>
  <c r="M347" i="2"/>
  <c r="N347" i="2" s="1"/>
  <c r="M346" i="2"/>
  <c r="N346" i="2" s="1"/>
  <c r="M345" i="2"/>
  <c r="N345" i="2" s="1"/>
  <c r="M344" i="2"/>
  <c r="N344" i="2" s="1"/>
  <c r="M343" i="2"/>
  <c r="N343" i="2" s="1"/>
  <c r="M342" i="2"/>
  <c r="N342" i="2" s="1"/>
  <c r="M341" i="2"/>
  <c r="N341" i="2" s="1"/>
  <c r="M340" i="2"/>
  <c r="N340" i="2" s="1"/>
  <c r="M339" i="2"/>
  <c r="N339" i="2" s="1"/>
  <c r="M338" i="2"/>
  <c r="N338" i="2" s="1"/>
  <c r="M337" i="2"/>
  <c r="N337" i="2" s="1"/>
  <c r="M336" i="2"/>
  <c r="N336" i="2" s="1"/>
  <c r="M335" i="2"/>
  <c r="N335" i="2" s="1"/>
  <c r="M334" i="2"/>
  <c r="N334" i="2" s="1"/>
  <c r="M333" i="2"/>
  <c r="N333" i="2" s="1"/>
  <c r="M332" i="2"/>
  <c r="N332" i="2" s="1"/>
  <c r="M331" i="2"/>
  <c r="N331" i="2" s="1"/>
  <c r="M330" i="2"/>
  <c r="N330" i="2" s="1"/>
  <c r="M329" i="2"/>
  <c r="N329" i="2" s="1"/>
  <c r="M328" i="2"/>
  <c r="N328" i="2" s="1"/>
  <c r="M327" i="2"/>
  <c r="N327" i="2" s="1"/>
  <c r="M326" i="2"/>
  <c r="N326" i="2" s="1"/>
  <c r="M325" i="2"/>
  <c r="N325" i="2" s="1"/>
  <c r="M324" i="2"/>
  <c r="N324" i="2" s="1"/>
  <c r="M323" i="2"/>
  <c r="N323" i="2" s="1"/>
  <c r="M322" i="2"/>
  <c r="N322" i="2" s="1"/>
  <c r="M321" i="2"/>
  <c r="N321" i="2" s="1"/>
  <c r="M320" i="2"/>
  <c r="N320" i="2" s="1"/>
  <c r="M319" i="2"/>
  <c r="N319" i="2" s="1"/>
  <c r="M318" i="2"/>
  <c r="N318" i="2" s="1"/>
  <c r="M317" i="2"/>
  <c r="N317" i="2" s="1"/>
  <c r="M316" i="2"/>
  <c r="N316" i="2" s="1"/>
  <c r="M315" i="2"/>
  <c r="N315" i="2" s="1"/>
  <c r="M314" i="2"/>
  <c r="N314" i="2" s="1"/>
  <c r="M313" i="2"/>
  <c r="N313" i="2" s="1"/>
  <c r="M312" i="2"/>
  <c r="N312" i="2" s="1"/>
  <c r="M311" i="2"/>
  <c r="N311" i="2" s="1"/>
  <c r="M310" i="2"/>
  <c r="N310" i="2" s="1"/>
  <c r="M309" i="2"/>
  <c r="N309" i="2" s="1"/>
  <c r="M308" i="2"/>
  <c r="N308" i="2" s="1"/>
  <c r="M307" i="2"/>
  <c r="N307" i="2" s="1"/>
  <c r="M306" i="2"/>
  <c r="N306" i="2" s="1"/>
  <c r="M305" i="2"/>
  <c r="N305" i="2" s="1"/>
  <c r="M304" i="2"/>
  <c r="N304" i="2" s="1"/>
  <c r="M303" i="2"/>
  <c r="N303" i="2" s="1"/>
  <c r="M302" i="2"/>
  <c r="N302" i="2" s="1"/>
  <c r="M301" i="2"/>
  <c r="N301" i="2" s="1"/>
  <c r="M300" i="2"/>
  <c r="N300" i="2" s="1"/>
  <c r="M299" i="2"/>
  <c r="N299" i="2" s="1"/>
  <c r="M298" i="2"/>
  <c r="N298" i="2" s="1"/>
  <c r="M297" i="2"/>
  <c r="N297" i="2" s="1"/>
  <c r="M296" i="2"/>
  <c r="N296" i="2" s="1"/>
  <c r="M295" i="2"/>
  <c r="N295" i="2" s="1"/>
  <c r="M294" i="2"/>
  <c r="N294" i="2" s="1"/>
  <c r="M293" i="2"/>
  <c r="N293" i="2" s="1"/>
  <c r="M292" i="2"/>
  <c r="N292" i="2" s="1"/>
  <c r="M291" i="2"/>
  <c r="N291" i="2" s="1"/>
  <c r="M290" i="2"/>
  <c r="N290" i="2" s="1"/>
  <c r="M289" i="2"/>
  <c r="N289" i="2" s="1"/>
  <c r="M288" i="2"/>
  <c r="N288" i="2" s="1"/>
  <c r="M287" i="2"/>
  <c r="N287" i="2" s="1"/>
  <c r="M286" i="2"/>
  <c r="N286" i="2" s="1"/>
  <c r="M285" i="2"/>
  <c r="N285" i="2" s="1"/>
  <c r="M284" i="2"/>
  <c r="N284" i="2" s="1"/>
  <c r="M283" i="2"/>
  <c r="N283" i="2" s="1"/>
  <c r="M282" i="2"/>
  <c r="N282" i="2" s="1"/>
  <c r="M281" i="2"/>
  <c r="N281" i="2" s="1"/>
  <c r="M280" i="2"/>
  <c r="N280" i="2" s="1"/>
  <c r="M279" i="2"/>
  <c r="N279" i="2" s="1"/>
  <c r="M278" i="2"/>
  <c r="N278" i="2" s="1"/>
  <c r="M277" i="2"/>
  <c r="N277" i="2" s="1"/>
  <c r="M276" i="2"/>
  <c r="N276" i="2" s="1"/>
  <c r="M275" i="2"/>
  <c r="N275" i="2" s="1"/>
  <c r="M274" i="2"/>
  <c r="N274" i="2" s="1"/>
  <c r="M273" i="2"/>
  <c r="N273" i="2" s="1"/>
  <c r="M272" i="2"/>
  <c r="N272" i="2" s="1"/>
  <c r="M271" i="2"/>
  <c r="N271" i="2" s="1"/>
  <c r="M270" i="2"/>
  <c r="N270" i="2" s="1"/>
  <c r="M269" i="2"/>
  <c r="N269" i="2" s="1"/>
  <c r="M268" i="2"/>
  <c r="N268" i="2" s="1"/>
  <c r="M267" i="2"/>
  <c r="N267" i="2" s="1"/>
  <c r="M266" i="2"/>
  <c r="N266" i="2" s="1"/>
  <c r="M265" i="2"/>
  <c r="N265" i="2" s="1"/>
  <c r="M264" i="2"/>
  <c r="N264" i="2" s="1"/>
  <c r="M263" i="2"/>
  <c r="N263" i="2" s="1"/>
  <c r="M262" i="2"/>
  <c r="N262" i="2" s="1"/>
  <c r="M261" i="2"/>
  <c r="N261" i="2" s="1"/>
  <c r="M260" i="2"/>
  <c r="N260" i="2" s="1"/>
  <c r="M259" i="2"/>
  <c r="N259" i="2" s="1"/>
  <c r="M258" i="2"/>
  <c r="N258" i="2" s="1"/>
  <c r="M257" i="2"/>
  <c r="N257" i="2" s="1"/>
  <c r="M256" i="2"/>
  <c r="N256" i="2" s="1"/>
  <c r="M255" i="2"/>
  <c r="N255" i="2" s="1"/>
  <c r="M254" i="2"/>
  <c r="N254" i="2" s="1"/>
  <c r="M253" i="2"/>
  <c r="N253" i="2" s="1"/>
  <c r="M252" i="2"/>
  <c r="N252" i="2" s="1"/>
  <c r="M251" i="2"/>
  <c r="N251" i="2" s="1"/>
  <c r="M250" i="2"/>
  <c r="N250" i="2" s="1"/>
  <c r="M249" i="2"/>
  <c r="N249" i="2" s="1"/>
  <c r="M248" i="2"/>
  <c r="N248" i="2" s="1"/>
  <c r="M247" i="2"/>
  <c r="N247" i="2" s="1"/>
  <c r="M246" i="2"/>
  <c r="N246" i="2" s="1"/>
  <c r="M245" i="2"/>
  <c r="N245" i="2" s="1"/>
  <c r="M244" i="2"/>
  <c r="N244" i="2" s="1"/>
  <c r="M243" i="2"/>
  <c r="N243" i="2" s="1"/>
  <c r="M242" i="2"/>
  <c r="N242" i="2" s="1"/>
  <c r="M241" i="2"/>
  <c r="N241" i="2" s="1"/>
  <c r="M240" i="2"/>
  <c r="N240" i="2" s="1"/>
  <c r="M239" i="2"/>
  <c r="N239" i="2" s="1"/>
  <c r="M238" i="2"/>
  <c r="N238" i="2" s="1"/>
  <c r="M237" i="2"/>
  <c r="N237" i="2" s="1"/>
  <c r="M236" i="2"/>
  <c r="N236" i="2" s="1"/>
  <c r="M235" i="2"/>
  <c r="N235" i="2" s="1"/>
  <c r="M234" i="2"/>
  <c r="N234" i="2" s="1"/>
  <c r="M233" i="2"/>
  <c r="N233" i="2" s="1"/>
  <c r="M232" i="2"/>
  <c r="N232" i="2" s="1"/>
  <c r="M231" i="2"/>
  <c r="N231" i="2" s="1"/>
  <c r="M230" i="2"/>
  <c r="N230" i="2" s="1"/>
  <c r="M229" i="2"/>
  <c r="N229" i="2" s="1"/>
  <c r="M228" i="2"/>
  <c r="N228" i="2" s="1"/>
  <c r="M227" i="2"/>
  <c r="N227" i="2" s="1"/>
  <c r="M226" i="2"/>
  <c r="N226" i="2" s="1"/>
  <c r="M225" i="2"/>
  <c r="N225" i="2" s="1"/>
  <c r="M224" i="2"/>
  <c r="N224" i="2" s="1"/>
  <c r="M223" i="2"/>
  <c r="N223" i="2" s="1"/>
  <c r="M222" i="2"/>
  <c r="N222" i="2" s="1"/>
  <c r="M221" i="2"/>
  <c r="N221" i="2" s="1"/>
  <c r="M220" i="2"/>
  <c r="N220" i="2" s="1"/>
  <c r="M219" i="2"/>
  <c r="N219" i="2" s="1"/>
  <c r="M218" i="2"/>
  <c r="N218" i="2" s="1"/>
  <c r="M217" i="2"/>
  <c r="N217" i="2" s="1"/>
  <c r="M216" i="2"/>
  <c r="N216" i="2" s="1"/>
  <c r="M215" i="2"/>
  <c r="N215" i="2" s="1"/>
  <c r="M214" i="2"/>
  <c r="N214" i="2" s="1"/>
  <c r="M213" i="2"/>
  <c r="N213" i="2" s="1"/>
  <c r="M212" i="2"/>
  <c r="N212" i="2" s="1"/>
  <c r="M211" i="2"/>
  <c r="N211" i="2" s="1"/>
  <c r="M210" i="2"/>
  <c r="N210" i="2" s="1"/>
  <c r="M209" i="2"/>
  <c r="N209" i="2" s="1"/>
  <c r="M208" i="2"/>
  <c r="N208" i="2" s="1"/>
  <c r="M207" i="2"/>
  <c r="N207" i="2" s="1"/>
  <c r="M206" i="2"/>
  <c r="N206" i="2" s="1"/>
  <c r="M205" i="2"/>
  <c r="N205" i="2" s="1"/>
  <c r="M204" i="2"/>
  <c r="N204" i="2" s="1"/>
  <c r="M203" i="2"/>
  <c r="N203" i="2" s="1"/>
  <c r="M202" i="2"/>
  <c r="N202" i="2" s="1"/>
  <c r="M201" i="2"/>
  <c r="N201" i="2" s="1"/>
  <c r="M200" i="2"/>
  <c r="N200" i="2" s="1"/>
  <c r="M199" i="2"/>
  <c r="N199" i="2" s="1"/>
  <c r="M198" i="2"/>
  <c r="N198" i="2" s="1"/>
  <c r="M197" i="2"/>
  <c r="N197" i="2" s="1"/>
  <c r="M196" i="2"/>
  <c r="N196" i="2" s="1"/>
  <c r="M195" i="2"/>
  <c r="N195" i="2" s="1"/>
  <c r="M194" i="2"/>
  <c r="N194" i="2" s="1"/>
  <c r="M193" i="2"/>
  <c r="N193" i="2" s="1"/>
  <c r="M192" i="2"/>
  <c r="N192" i="2" s="1"/>
  <c r="M191" i="2"/>
  <c r="N191" i="2" s="1"/>
  <c r="M190" i="2"/>
  <c r="N190" i="2" s="1"/>
  <c r="M189" i="2"/>
  <c r="N189" i="2" s="1"/>
  <c r="M188" i="2"/>
  <c r="N188" i="2" s="1"/>
  <c r="M187" i="2"/>
  <c r="N187" i="2" s="1"/>
  <c r="M186" i="2"/>
  <c r="N186" i="2" s="1"/>
  <c r="M185" i="2"/>
  <c r="N185" i="2" s="1"/>
  <c r="M184" i="2"/>
  <c r="N184" i="2" s="1"/>
  <c r="M183" i="2"/>
  <c r="N183" i="2" s="1"/>
  <c r="M182" i="2"/>
  <c r="N182" i="2" s="1"/>
  <c r="M181" i="2"/>
  <c r="N181" i="2" s="1"/>
  <c r="M180" i="2"/>
  <c r="N180" i="2" s="1"/>
  <c r="M179" i="2"/>
  <c r="N179" i="2" s="1"/>
  <c r="M178" i="2"/>
  <c r="N178" i="2" s="1"/>
  <c r="M177" i="2"/>
  <c r="N177" i="2" s="1"/>
  <c r="M176" i="2"/>
  <c r="N176" i="2" s="1"/>
  <c r="M175" i="2"/>
  <c r="N175" i="2" s="1"/>
  <c r="M174" i="2"/>
  <c r="N174" i="2" s="1"/>
  <c r="M173" i="2"/>
  <c r="N173" i="2" s="1"/>
  <c r="M172" i="2"/>
  <c r="N172" i="2" s="1"/>
  <c r="M171" i="2"/>
  <c r="N171" i="2" s="1"/>
  <c r="M170" i="2"/>
  <c r="N170" i="2" s="1"/>
  <c r="M169" i="2"/>
  <c r="N169" i="2" s="1"/>
  <c r="M168" i="2"/>
  <c r="N168" i="2" s="1"/>
  <c r="M167" i="2"/>
  <c r="N167" i="2" s="1"/>
  <c r="M166" i="2"/>
  <c r="N166" i="2" s="1"/>
  <c r="M165" i="2"/>
  <c r="N165" i="2" s="1"/>
  <c r="M164" i="2"/>
  <c r="N164" i="2" s="1"/>
  <c r="M163" i="2"/>
  <c r="N163" i="2" s="1"/>
  <c r="M162" i="2"/>
  <c r="N162" i="2" s="1"/>
  <c r="M161" i="2"/>
  <c r="N161" i="2" s="1"/>
  <c r="M160" i="2"/>
  <c r="N160" i="2" s="1"/>
  <c r="M159" i="2"/>
  <c r="N159" i="2" s="1"/>
  <c r="M158" i="2"/>
  <c r="N158" i="2" s="1"/>
  <c r="M157" i="2"/>
  <c r="N157" i="2" s="1"/>
  <c r="M156" i="2"/>
  <c r="N156" i="2" s="1"/>
  <c r="M155" i="2"/>
  <c r="N155" i="2" s="1"/>
  <c r="M154" i="2"/>
  <c r="N154" i="2" s="1"/>
  <c r="M153" i="2"/>
  <c r="N153" i="2" s="1"/>
  <c r="M152" i="2"/>
  <c r="N152" i="2" s="1"/>
  <c r="M151" i="2"/>
  <c r="N151" i="2" s="1"/>
  <c r="M150" i="2"/>
  <c r="N150" i="2" s="1"/>
  <c r="M149" i="2"/>
  <c r="N149" i="2" s="1"/>
  <c r="M148" i="2"/>
  <c r="N148" i="2" s="1"/>
  <c r="M147" i="2"/>
  <c r="N147" i="2" s="1"/>
  <c r="M146" i="2"/>
  <c r="N146" i="2" s="1"/>
  <c r="M145" i="2"/>
  <c r="N145" i="2" s="1"/>
  <c r="M144" i="2"/>
  <c r="N144" i="2" s="1"/>
  <c r="M143" i="2"/>
  <c r="N143" i="2" s="1"/>
  <c r="M142" i="2"/>
  <c r="N142" i="2" s="1"/>
  <c r="M141" i="2"/>
  <c r="N141" i="2" s="1"/>
  <c r="M140" i="2"/>
  <c r="N140" i="2" s="1"/>
  <c r="M139" i="2"/>
  <c r="N139" i="2" s="1"/>
  <c r="M138" i="2"/>
  <c r="N138" i="2" s="1"/>
  <c r="M137" i="2"/>
  <c r="N137" i="2" s="1"/>
  <c r="M136" i="2"/>
  <c r="N136" i="2" s="1"/>
  <c r="M135" i="2"/>
  <c r="N135" i="2" s="1"/>
  <c r="M134" i="2"/>
  <c r="N134" i="2" s="1"/>
  <c r="M133" i="2"/>
  <c r="N133" i="2" s="1"/>
  <c r="M132" i="2"/>
  <c r="N132" i="2" s="1"/>
  <c r="M131" i="2"/>
  <c r="N131" i="2" s="1"/>
  <c r="M130" i="2"/>
  <c r="N130" i="2" s="1"/>
  <c r="M129" i="2"/>
  <c r="N129" i="2" s="1"/>
  <c r="M128" i="2"/>
  <c r="N128" i="2" s="1"/>
  <c r="M127" i="2"/>
  <c r="N127" i="2" s="1"/>
  <c r="M126" i="2"/>
  <c r="N126" i="2" s="1"/>
  <c r="M125" i="2"/>
  <c r="N125" i="2" s="1"/>
  <c r="M124" i="2"/>
  <c r="N124" i="2" s="1"/>
  <c r="M123" i="2"/>
  <c r="N123" i="2" s="1"/>
  <c r="M122" i="2"/>
  <c r="N122" i="2" s="1"/>
  <c r="M121" i="2"/>
  <c r="N121" i="2" s="1"/>
  <c r="M120" i="2"/>
  <c r="N120" i="2" s="1"/>
  <c r="M119" i="2"/>
  <c r="N119" i="2" s="1"/>
  <c r="M118" i="2"/>
  <c r="N118" i="2" s="1"/>
  <c r="M117" i="2"/>
  <c r="N117" i="2" s="1"/>
  <c r="M116" i="2"/>
  <c r="N116" i="2" s="1"/>
  <c r="M115" i="2"/>
  <c r="N115" i="2" s="1"/>
  <c r="M114" i="2"/>
  <c r="N114" i="2" s="1"/>
  <c r="M113" i="2"/>
  <c r="N113" i="2" s="1"/>
  <c r="M112" i="2"/>
  <c r="N112" i="2" s="1"/>
  <c r="M111" i="2"/>
  <c r="N111" i="2" s="1"/>
  <c r="M110" i="2"/>
  <c r="N110" i="2" s="1"/>
  <c r="M109" i="2"/>
  <c r="N109" i="2" s="1"/>
  <c r="M108" i="2"/>
  <c r="N108" i="2" s="1"/>
  <c r="M107" i="2"/>
  <c r="N107" i="2" s="1"/>
  <c r="M106" i="2"/>
  <c r="N106" i="2" s="1"/>
  <c r="M105" i="2"/>
  <c r="N105" i="2" s="1"/>
  <c r="M104" i="2"/>
  <c r="N104" i="2" s="1"/>
  <c r="M103" i="2"/>
  <c r="N103" i="2" s="1"/>
  <c r="M102" i="2"/>
  <c r="N102" i="2" s="1"/>
  <c r="M101" i="2"/>
  <c r="N101" i="2" s="1"/>
  <c r="M100" i="2"/>
  <c r="N100" i="2" s="1"/>
  <c r="M99" i="2"/>
  <c r="N99" i="2" s="1"/>
  <c r="M98" i="2"/>
  <c r="N98" i="2" s="1"/>
  <c r="M97" i="2"/>
  <c r="N97" i="2" s="1"/>
  <c r="M96" i="2"/>
  <c r="N96" i="2" s="1"/>
  <c r="M95" i="2"/>
  <c r="N95" i="2" s="1"/>
  <c r="M94" i="2"/>
  <c r="N94" i="2" s="1"/>
  <c r="M93" i="2"/>
  <c r="N93" i="2" s="1"/>
  <c r="M92" i="2"/>
  <c r="N92" i="2" s="1"/>
  <c r="M91" i="2"/>
  <c r="N91" i="2" s="1"/>
  <c r="M90" i="2"/>
  <c r="N90" i="2" s="1"/>
  <c r="M89" i="2"/>
  <c r="N89" i="2" s="1"/>
  <c r="M88" i="2"/>
  <c r="N88" i="2" s="1"/>
  <c r="M87" i="2"/>
  <c r="N87" i="2" s="1"/>
  <c r="M86" i="2"/>
  <c r="N86" i="2" s="1"/>
  <c r="M85" i="2"/>
  <c r="N85" i="2" s="1"/>
  <c r="M84" i="2"/>
  <c r="N84" i="2" s="1"/>
  <c r="M83" i="2"/>
  <c r="N83" i="2" s="1"/>
  <c r="M82" i="2"/>
  <c r="N82" i="2" s="1"/>
  <c r="M81" i="2"/>
  <c r="N81" i="2" s="1"/>
  <c r="M80" i="2"/>
  <c r="N80" i="2" s="1"/>
  <c r="M79" i="2"/>
  <c r="N79" i="2" s="1"/>
  <c r="M78" i="2"/>
  <c r="N78" i="2" s="1"/>
  <c r="M77" i="2"/>
  <c r="N77" i="2" s="1"/>
  <c r="M76" i="2"/>
  <c r="N76" i="2" s="1"/>
  <c r="M75" i="2"/>
  <c r="N75" i="2" s="1"/>
  <c r="M74" i="2"/>
  <c r="N74" i="2" s="1"/>
  <c r="M73" i="2"/>
  <c r="N73" i="2" s="1"/>
  <c r="M72" i="2"/>
  <c r="N72" i="2" s="1"/>
  <c r="M71" i="2"/>
  <c r="N71" i="2" s="1"/>
  <c r="M70" i="2"/>
  <c r="N70" i="2" s="1"/>
  <c r="M69" i="2"/>
  <c r="N69" i="2" s="1"/>
  <c r="M68" i="2"/>
  <c r="N68" i="2" s="1"/>
  <c r="M67" i="2"/>
  <c r="N67" i="2" s="1"/>
  <c r="M66" i="2"/>
  <c r="N66" i="2" s="1"/>
  <c r="M65" i="2"/>
  <c r="N65" i="2" s="1"/>
  <c r="M64" i="2"/>
  <c r="N64" i="2" s="1"/>
  <c r="M63" i="2"/>
  <c r="N63" i="2" s="1"/>
  <c r="M62" i="2"/>
  <c r="N62" i="2" s="1"/>
  <c r="M61" i="2"/>
  <c r="N61" i="2" s="1"/>
  <c r="M60" i="2"/>
  <c r="N60" i="2" s="1"/>
  <c r="M59" i="2"/>
  <c r="N59" i="2" s="1"/>
  <c r="M58" i="2"/>
  <c r="N58" i="2" s="1"/>
  <c r="M57" i="2"/>
  <c r="N57" i="2" s="1"/>
  <c r="M56" i="2"/>
  <c r="N56" i="2" s="1"/>
  <c r="M55" i="2"/>
  <c r="N55" i="2" s="1"/>
  <c r="M54" i="2"/>
  <c r="N54" i="2" s="1"/>
  <c r="M53" i="2"/>
  <c r="N53" i="2" s="1"/>
  <c r="M52" i="2"/>
  <c r="N52" i="2" s="1"/>
  <c r="M51" i="2"/>
  <c r="N51" i="2" s="1"/>
  <c r="M50" i="2"/>
  <c r="N50" i="2" s="1"/>
  <c r="M49" i="2"/>
  <c r="N49" i="2" s="1"/>
  <c r="M48" i="2"/>
  <c r="N48" i="2" s="1"/>
  <c r="M47" i="2"/>
  <c r="N47" i="2" s="1"/>
  <c r="M46" i="2"/>
  <c r="N46" i="2" s="1"/>
  <c r="M45" i="2"/>
  <c r="N45" i="2" s="1"/>
  <c r="M44" i="2"/>
  <c r="N44" i="2" s="1"/>
  <c r="M43" i="2"/>
  <c r="N43" i="2" s="1"/>
  <c r="M42" i="2"/>
  <c r="N42" i="2" s="1"/>
  <c r="M41" i="2"/>
  <c r="N41" i="2" s="1"/>
  <c r="M40" i="2"/>
  <c r="N40" i="2" s="1"/>
  <c r="M39" i="2"/>
  <c r="N39" i="2" s="1"/>
  <c r="M38" i="2"/>
  <c r="N38" i="2" s="1"/>
  <c r="M37" i="2"/>
  <c r="N37" i="2" s="1"/>
  <c r="M36" i="2"/>
  <c r="N36" i="2" s="1"/>
  <c r="M35" i="2"/>
  <c r="N35" i="2" s="1"/>
  <c r="M34" i="2"/>
  <c r="N34" i="2" s="1"/>
  <c r="M33" i="2"/>
  <c r="N33" i="2" s="1"/>
  <c r="M32" i="2"/>
  <c r="N32" i="2" s="1"/>
  <c r="M31" i="2"/>
  <c r="N31" i="2" s="1"/>
  <c r="M30" i="2"/>
  <c r="N30" i="2" s="1"/>
  <c r="M29" i="2"/>
  <c r="N29" i="2" s="1"/>
  <c r="M28" i="2"/>
  <c r="N28" i="2" s="1"/>
  <c r="M27" i="2"/>
  <c r="N27" i="2" s="1"/>
  <c r="M26" i="2"/>
  <c r="N26" i="2" s="1"/>
  <c r="M25" i="2"/>
  <c r="N25" i="2" s="1"/>
  <c r="M24" i="2"/>
  <c r="N24" i="2" s="1"/>
  <c r="M23" i="2"/>
  <c r="N23" i="2" s="1"/>
  <c r="M22" i="2"/>
  <c r="N22" i="2" s="1"/>
  <c r="M21" i="2"/>
  <c r="N21" i="2" s="1"/>
  <c r="M20" i="2"/>
  <c r="N20" i="2" s="1"/>
  <c r="M19" i="2"/>
  <c r="N19" i="2" s="1"/>
  <c r="M18" i="2"/>
  <c r="N18" i="2" s="1"/>
  <c r="M17" i="2"/>
  <c r="N17" i="2" s="1"/>
  <c r="M16" i="2"/>
  <c r="N16" i="2" s="1"/>
  <c r="M15" i="2"/>
  <c r="N15" i="2" s="1"/>
  <c r="M14" i="2"/>
  <c r="N14" i="2" s="1"/>
  <c r="M13" i="2"/>
  <c r="N13" i="2" s="1"/>
  <c r="M12" i="2"/>
  <c r="N12" i="2" s="1"/>
  <c r="M11" i="2"/>
  <c r="N11" i="2" s="1"/>
  <c r="M10" i="2"/>
  <c r="N10" i="2" s="1"/>
  <c r="M9" i="2"/>
  <c r="N9" i="2" s="1"/>
  <c r="M8" i="2"/>
  <c r="N8" i="2" s="1"/>
  <c r="M7" i="2"/>
  <c r="N7" i="2" s="1"/>
  <c r="M6" i="2"/>
  <c r="N6" i="2" s="1"/>
  <c r="M5" i="2"/>
  <c r="N5" i="2" s="1"/>
  <c r="M4" i="2"/>
  <c r="N4" i="2" s="1"/>
  <c r="M3" i="2"/>
  <c r="N3" i="2" s="1"/>
  <c r="M2" i="2"/>
  <c r="N2" i="2" s="1"/>
</calcChain>
</file>

<file path=xl/sharedStrings.xml><?xml version="1.0" encoding="utf-8"?>
<sst xmlns="http://schemas.openxmlformats.org/spreadsheetml/2006/main" count="12128" uniqueCount="4486">
  <si>
    <t>Reports</t>
  </si>
  <si>
    <t>Employee_ID</t>
  </si>
  <si>
    <t>Full_Name</t>
  </si>
  <si>
    <t>Department</t>
  </si>
  <si>
    <t>Project_Name</t>
  </si>
  <si>
    <t>Task_Status</t>
  </si>
  <si>
    <t>Hours_Spent</t>
  </si>
  <si>
    <t>Task_Deadline</t>
  </si>
  <si>
    <t>Joining_Date</t>
  </si>
  <si>
    <t>Manager</t>
  </si>
  <si>
    <t>Location</t>
  </si>
  <si>
    <t>Performance_Rating</t>
  </si>
  <si>
    <t>Remote_Work</t>
  </si>
  <si>
    <t>E1000</t>
  </si>
  <si>
    <t>Elizabeth Smith</t>
  </si>
  <si>
    <t>Customer Support</t>
  </si>
  <si>
    <t>Hermes</t>
  </si>
  <si>
    <t>Completed</t>
  </si>
  <si>
    <t>Vanessa Armstrong</t>
  </si>
  <si>
    <t>Bangalore</t>
  </si>
  <si>
    <t>Yes</t>
  </si>
  <si>
    <t>E1001</t>
  </si>
  <si>
    <t>Lisa Lee</t>
  </si>
  <si>
    <t>Finance</t>
  </si>
  <si>
    <t>In Progress</t>
  </si>
  <si>
    <t>Vanessa Sanders</t>
  </si>
  <si>
    <t>Berlin</t>
  </si>
  <si>
    <t>No</t>
  </si>
  <si>
    <t>E1002</t>
  </si>
  <si>
    <t>Richard Mccarty</t>
  </si>
  <si>
    <t>On Hold</t>
  </si>
  <si>
    <t>Katrina Brown</t>
  </si>
  <si>
    <t>E1003</t>
  </si>
  <si>
    <t>Rebekah Long</t>
  </si>
  <si>
    <t>IT</t>
  </si>
  <si>
    <t>Orion</t>
  </si>
  <si>
    <t>Brittany Gomez</t>
  </si>
  <si>
    <t>London</t>
  </si>
  <si>
    <t>E1004</t>
  </si>
  <si>
    <t>Michael Reese</t>
  </si>
  <si>
    <t>Apollo</t>
  </si>
  <si>
    <t>William Alvarez</t>
  </si>
  <si>
    <t>E1005</t>
  </si>
  <si>
    <t>Casey Young</t>
  </si>
  <si>
    <t>Daniel Brown</t>
  </si>
  <si>
    <t>E1006</t>
  </si>
  <si>
    <t>Kerri Golden</t>
  </si>
  <si>
    <t>R&amp;D</t>
  </si>
  <si>
    <t>Theresa Martinez</t>
  </si>
  <si>
    <t>Toronto</t>
  </si>
  <si>
    <t>E1007</t>
  </si>
  <si>
    <t>Steve Goodman</t>
  </si>
  <si>
    <t>Not Started</t>
  </si>
  <si>
    <t>Michael Barrett</t>
  </si>
  <si>
    <t>E1008</t>
  </si>
  <si>
    <t>Isaiah Jones</t>
  </si>
  <si>
    <t>Neptune</t>
  </si>
  <si>
    <t>Joanne Bentley</t>
  </si>
  <si>
    <t>E1009</t>
  </si>
  <si>
    <t>Kristin Gonzalez</t>
  </si>
  <si>
    <t>Marketing</t>
  </si>
  <si>
    <t>Elizabeth Frazier</t>
  </si>
  <si>
    <t>E1010</t>
  </si>
  <si>
    <t>Cynthia Alvarez</t>
  </si>
  <si>
    <t>HR</t>
  </si>
  <si>
    <t>Joshua Thompson</t>
  </si>
  <si>
    <t>Sydney</t>
  </si>
  <si>
    <t>E1011</t>
  </si>
  <si>
    <t>Jeffrey Clark</t>
  </si>
  <si>
    <t>Athena</t>
  </si>
  <si>
    <t>Dennis Clarke</t>
  </si>
  <si>
    <t>E1012</t>
  </si>
  <si>
    <t>Paul Harding</t>
  </si>
  <si>
    <t>Zephyr</t>
  </si>
  <si>
    <t>Jackson Cannon</t>
  </si>
  <si>
    <t>Singapore</t>
  </si>
  <si>
    <t>E1013</t>
  </si>
  <si>
    <t>Matthew King</t>
  </si>
  <si>
    <t>Patricia Lara</t>
  </si>
  <si>
    <t>E1014</t>
  </si>
  <si>
    <t>Jack Hill</t>
  </si>
  <si>
    <t>Kristin Stanley</t>
  </si>
  <si>
    <t>E1015</t>
  </si>
  <si>
    <t>Diana Mueller</t>
  </si>
  <si>
    <t>David Hernandez</t>
  </si>
  <si>
    <t>E1016</t>
  </si>
  <si>
    <t>Jacob Wilson</t>
  </si>
  <si>
    <t>Samantha Harmon</t>
  </si>
  <si>
    <t>E1017</t>
  </si>
  <si>
    <t>Mary Pierce</t>
  </si>
  <si>
    <t>Kimberly Thompson</t>
  </si>
  <si>
    <t>E1018</t>
  </si>
  <si>
    <t>Brandon Villa</t>
  </si>
  <si>
    <t>Kaylee Osborn</t>
  </si>
  <si>
    <t>New York</t>
  </si>
  <si>
    <t>E1019</t>
  </si>
  <si>
    <t>Michael Chandler</t>
  </si>
  <si>
    <t>Melissa Campos</t>
  </si>
  <si>
    <t>E1020</t>
  </si>
  <si>
    <t>Karen Vega</t>
  </si>
  <si>
    <t>Joann Byrd</t>
  </si>
  <si>
    <t>E1021</t>
  </si>
  <si>
    <t>Alejandra Boyd</t>
  </si>
  <si>
    <t>Charles Jackson</t>
  </si>
  <si>
    <t>E1022</t>
  </si>
  <si>
    <t>Brooke Sweeney</t>
  </si>
  <si>
    <t>Kristen Holland</t>
  </si>
  <si>
    <t>E1023</t>
  </si>
  <si>
    <t>Marcus Novak</t>
  </si>
  <si>
    <t>Kelly Macias</t>
  </si>
  <si>
    <t>E1024</t>
  </si>
  <si>
    <t>Robin Chapman</t>
  </si>
  <si>
    <t>Kenneth Warren</t>
  </si>
  <si>
    <t>E1025</t>
  </si>
  <si>
    <t>Kimberly Jones</t>
  </si>
  <si>
    <t>Jennifer Turner</t>
  </si>
  <si>
    <t>E1026</t>
  </si>
  <si>
    <t>Jennifer Arnold</t>
  </si>
  <si>
    <t>Richard Singleton</t>
  </si>
  <si>
    <t>E1027</t>
  </si>
  <si>
    <t>Destiny Jensen</t>
  </si>
  <si>
    <t>Latoya White</t>
  </si>
  <si>
    <t>E1028</t>
  </si>
  <si>
    <t>Amanda Fisher</t>
  </si>
  <si>
    <t>Operations</t>
  </si>
  <si>
    <t>Kayla Mason</t>
  </si>
  <si>
    <t>E1029</t>
  </si>
  <si>
    <t>Joshua Franco</t>
  </si>
  <si>
    <t>April Rice</t>
  </si>
  <si>
    <t>E1030</t>
  </si>
  <si>
    <t>Timothy Phillips</t>
  </si>
  <si>
    <t>Rachel Hamilton</t>
  </si>
  <si>
    <t>E1031</t>
  </si>
  <si>
    <t>Timothy Harding</t>
  </si>
  <si>
    <t>Michelle Weaver</t>
  </si>
  <si>
    <t>E1032</t>
  </si>
  <si>
    <t>Ryan Collins</t>
  </si>
  <si>
    <t>Joseph Allen</t>
  </si>
  <si>
    <t>E1033</t>
  </si>
  <si>
    <t>Glenn Phelps</t>
  </si>
  <si>
    <t>Patrick Richardson</t>
  </si>
  <si>
    <t>E1034</t>
  </si>
  <si>
    <t>Kelli Smith</t>
  </si>
  <si>
    <t>Isaac Yoder</t>
  </si>
  <si>
    <t>E1035</t>
  </si>
  <si>
    <t>Jonathan Logan</t>
  </si>
  <si>
    <t>Brandon Krause</t>
  </si>
  <si>
    <t>E1036</t>
  </si>
  <si>
    <t>Debbie Ali</t>
  </si>
  <si>
    <t>Luke Smith</t>
  </si>
  <si>
    <t>E1037</t>
  </si>
  <si>
    <t>Debra Martinez</t>
  </si>
  <si>
    <t>Kaitlyn Lopez</t>
  </si>
  <si>
    <t>E1038</t>
  </si>
  <si>
    <t>Edward West</t>
  </si>
  <si>
    <t>Claudia Fletcher</t>
  </si>
  <si>
    <t>E1039</t>
  </si>
  <si>
    <t>Antonio Santiago</t>
  </si>
  <si>
    <t>Stacy Williams</t>
  </si>
  <si>
    <t>E1040</t>
  </si>
  <si>
    <t>Mr. Andrew Harris</t>
  </si>
  <si>
    <t>Kathleen Freeman</t>
  </si>
  <si>
    <t>E1041</t>
  </si>
  <si>
    <t>Ryan Bauer</t>
  </si>
  <si>
    <t>Kimberly Ferguson</t>
  </si>
  <si>
    <t>E1042</t>
  </si>
  <si>
    <t>Danny Russell</t>
  </si>
  <si>
    <t>Jessica Murphy</t>
  </si>
  <si>
    <t>E1043</t>
  </si>
  <si>
    <t>Tracey Mcdowell</t>
  </si>
  <si>
    <t>Paul Horne</t>
  </si>
  <si>
    <t>E1044</t>
  </si>
  <si>
    <t>Krystal Caldwell</t>
  </si>
  <si>
    <t>Tyler Reyes</t>
  </si>
  <si>
    <t>E1045</t>
  </si>
  <si>
    <t>Douglas Thomas</t>
  </si>
  <si>
    <t>Daniel Edwards</t>
  </si>
  <si>
    <t>E1046</t>
  </si>
  <si>
    <t>Connie Colon</t>
  </si>
  <si>
    <t>Beth Cole</t>
  </si>
  <si>
    <t>E1047</t>
  </si>
  <si>
    <t>Christopher Roberts</t>
  </si>
  <si>
    <t>Stephen Castro</t>
  </si>
  <si>
    <t>E1048</t>
  </si>
  <si>
    <t>Felicia Allen</t>
  </si>
  <si>
    <t>Mr. Danny Davis Jr.</t>
  </si>
  <si>
    <t>E1049</t>
  </si>
  <si>
    <t>Victor Delgado</t>
  </si>
  <si>
    <t>Jill Martinez</t>
  </si>
  <si>
    <t>E1050</t>
  </si>
  <si>
    <t>Eric Hall</t>
  </si>
  <si>
    <t>David Gill</t>
  </si>
  <si>
    <t>E1051</t>
  </si>
  <si>
    <t>Jeremy Huber</t>
  </si>
  <si>
    <t>Rebecca Henson</t>
  </si>
  <si>
    <t>E1052</t>
  </si>
  <si>
    <t>Kristin Coleman</t>
  </si>
  <si>
    <t>Sandra Peterson</t>
  </si>
  <si>
    <t>E1053</t>
  </si>
  <si>
    <t>Mark Trujillo</t>
  </si>
  <si>
    <t>Michelle Williams</t>
  </si>
  <si>
    <t>E1054</t>
  </si>
  <si>
    <t>David Wells</t>
  </si>
  <si>
    <t>Mr. Thomas Wilson</t>
  </si>
  <si>
    <t>E1055</t>
  </si>
  <si>
    <t>Andrew Green</t>
  </si>
  <si>
    <t>Jeffrey Peterson</t>
  </si>
  <si>
    <t>E1056</t>
  </si>
  <si>
    <t>Savannah House</t>
  </si>
  <si>
    <t>Sean Johnson</t>
  </si>
  <si>
    <t>E1057</t>
  </si>
  <si>
    <t>Melissa Casey</t>
  </si>
  <si>
    <t>Joseph Rodriguez MD</t>
  </si>
  <si>
    <t>E1058</t>
  </si>
  <si>
    <t>Stephanie Williams</t>
  </si>
  <si>
    <t>Regina Weaver</t>
  </si>
  <si>
    <t>E1059</t>
  </si>
  <si>
    <t>William White</t>
  </si>
  <si>
    <t>Hayden Tucker</t>
  </si>
  <si>
    <t>E1060</t>
  </si>
  <si>
    <t>William Fisher</t>
  </si>
  <si>
    <t>Cynthia Greene</t>
  </si>
  <si>
    <t>E1061</t>
  </si>
  <si>
    <t>Thomas Snyder</t>
  </si>
  <si>
    <t>Christina Harmon</t>
  </si>
  <si>
    <t>E1062</t>
  </si>
  <si>
    <t>David Taylor</t>
  </si>
  <si>
    <t>Kimberly Brown</t>
  </si>
  <si>
    <t>E1063</t>
  </si>
  <si>
    <t>Sabrina Rogers</t>
  </si>
  <si>
    <t>Joseph Gomez</t>
  </si>
  <si>
    <t>E1064</t>
  </si>
  <si>
    <t>Michelle Davis</t>
  </si>
  <si>
    <t>Mark Padilla</t>
  </si>
  <si>
    <t>E1065</t>
  </si>
  <si>
    <t>Paula Mooney</t>
  </si>
  <si>
    <t>Steve Fuentes</t>
  </si>
  <si>
    <t>E1066</t>
  </si>
  <si>
    <t>Nicole Johnson</t>
  </si>
  <si>
    <t>Mark Park PhD</t>
  </si>
  <si>
    <t>E1067</t>
  </si>
  <si>
    <t>Bobby Ramirez</t>
  </si>
  <si>
    <t>Hannah Nelson</t>
  </si>
  <si>
    <t>E1068</t>
  </si>
  <si>
    <t>Jason West</t>
  </si>
  <si>
    <t>Amanda Mills</t>
  </si>
  <si>
    <t>E1069</t>
  </si>
  <si>
    <t>Charles Acosta</t>
  </si>
  <si>
    <t>Mary Johns</t>
  </si>
  <si>
    <t>E1070</t>
  </si>
  <si>
    <t>James House</t>
  </si>
  <si>
    <t>Tammie Maxwell</t>
  </si>
  <si>
    <t>E1071</t>
  </si>
  <si>
    <t>William Smith</t>
  </si>
  <si>
    <t>Jermaine Smith</t>
  </si>
  <si>
    <t>E1072</t>
  </si>
  <si>
    <t>Steven Campbell</t>
  </si>
  <si>
    <t>Isabel Nguyen</t>
  </si>
  <si>
    <t>E1073</t>
  </si>
  <si>
    <t>Amanda Powell</t>
  </si>
  <si>
    <t>John Simon</t>
  </si>
  <si>
    <t>E1074</t>
  </si>
  <si>
    <t>Whitney Butler</t>
  </si>
  <si>
    <t>Ethan Giles</t>
  </si>
  <si>
    <t>E1075</t>
  </si>
  <si>
    <t>Jim Johnson</t>
  </si>
  <si>
    <t>Taylor Hall</t>
  </si>
  <si>
    <t>E1076</t>
  </si>
  <si>
    <t>Kurt Lyons</t>
  </si>
  <si>
    <t>Howard Warner</t>
  </si>
  <si>
    <t>E1077</t>
  </si>
  <si>
    <t>Autumn Humphrey</t>
  </si>
  <si>
    <t>Mason Wagner</t>
  </si>
  <si>
    <t>E1078</t>
  </si>
  <si>
    <t>Randy Thomas</t>
  </si>
  <si>
    <t>Taylor Richmond</t>
  </si>
  <si>
    <t>E1079</t>
  </si>
  <si>
    <t>Taylor Hayes</t>
  </si>
  <si>
    <t>Joyce Smith</t>
  </si>
  <si>
    <t>E1080</t>
  </si>
  <si>
    <t>Robert Bentley</t>
  </si>
  <si>
    <t>Gregory Trevino</t>
  </si>
  <si>
    <t>E1081</t>
  </si>
  <si>
    <t>Michele Wright</t>
  </si>
  <si>
    <t>Nicholas Booth</t>
  </si>
  <si>
    <t>E1082</t>
  </si>
  <si>
    <t>Mrs. Melanie Mooney</t>
  </si>
  <si>
    <t>Emily Bradshaw</t>
  </si>
  <si>
    <t>E1083</t>
  </si>
  <si>
    <t>Michael Sutton</t>
  </si>
  <si>
    <t>Misty Hebert</t>
  </si>
  <si>
    <t>E1084</t>
  </si>
  <si>
    <t>Gabriella Kim</t>
  </si>
  <si>
    <t>Veronica Mccarty</t>
  </si>
  <si>
    <t>E1085</t>
  </si>
  <si>
    <t>Kevin Norman</t>
  </si>
  <si>
    <t>Kimberly Powell</t>
  </si>
  <si>
    <t>E1086</t>
  </si>
  <si>
    <t>Sandra Patterson</t>
  </si>
  <si>
    <t>Amanda Moore</t>
  </si>
  <si>
    <t>E1087</t>
  </si>
  <si>
    <t>Crystal Murphy</t>
  </si>
  <si>
    <t>Ashley Lopez MD</t>
  </si>
  <si>
    <t>E1088</t>
  </si>
  <si>
    <t>Thomas Blake</t>
  </si>
  <si>
    <t>Kristine Park</t>
  </si>
  <si>
    <t>E1089</t>
  </si>
  <si>
    <t>Shari Levine</t>
  </si>
  <si>
    <t>Erin Lamb</t>
  </si>
  <si>
    <t>E1090</t>
  </si>
  <si>
    <t>John Flores</t>
  </si>
  <si>
    <t>Anthony Clark</t>
  </si>
  <si>
    <t>E1091</t>
  </si>
  <si>
    <t>Blake Stewart</t>
  </si>
  <si>
    <t>Amber Lynn</t>
  </si>
  <si>
    <t>E1092</t>
  </si>
  <si>
    <t>Angela Wolf</t>
  </si>
  <si>
    <t>Tracy Carroll</t>
  </si>
  <si>
    <t>E1093</t>
  </si>
  <si>
    <t>Amy Davis</t>
  </si>
  <si>
    <t>Brian Henderson</t>
  </si>
  <si>
    <t>E1094</t>
  </si>
  <si>
    <t>Tonya Golden</t>
  </si>
  <si>
    <t>Maria Carpenter</t>
  </si>
  <si>
    <t>E1095</t>
  </si>
  <si>
    <t>Michael Serrano</t>
  </si>
  <si>
    <t>Jessica Nielsen</t>
  </si>
  <si>
    <t>E1096</t>
  </si>
  <si>
    <t>Lydia Glass</t>
  </si>
  <si>
    <t>Robert Rojas</t>
  </si>
  <si>
    <t>E1097</t>
  </si>
  <si>
    <t>Danielle Mitchell</t>
  </si>
  <si>
    <t>Madison Howard</t>
  </si>
  <si>
    <t>E1098</t>
  </si>
  <si>
    <t>Jeffrey Brown</t>
  </si>
  <si>
    <t>Darren Jackson</t>
  </si>
  <si>
    <t>E1099</t>
  </si>
  <si>
    <t>Eileen Baldwin</t>
  </si>
  <si>
    <t>Chris Moore</t>
  </si>
  <si>
    <t>E1100</t>
  </si>
  <si>
    <t>Ashley Swanson</t>
  </si>
  <si>
    <t>Mike Nelson</t>
  </si>
  <si>
    <t>E1101</t>
  </si>
  <si>
    <t>Zachary Davis</t>
  </si>
  <si>
    <t>Jill Williams</t>
  </si>
  <si>
    <t>E1102</t>
  </si>
  <si>
    <t>Christine Moore</t>
  </si>
  <si>
    <t>James Jones</t>
  </si>
  <si>
    <t>E1103</t>
  </si>
  <si>
    <t>Michelle Russell</t>
  </si>
  <si>
    <t>Marisa Johnson</t>
  </si>
  <si>
    <t>E1104</t>
  </si>
  <si>
    <t>Troy Lewis</t>
  </si>
  <si>
    <t>Sara Barnes</t>
  </si>
  <si>
    <t>E1105</t>
  </si>
  <si>
    <t>Rachel Reed</t>
  </si>
  <si>
    <t>Alexis Jarvis</t>
  </si>
  <si>
    <t>E1106</t>
  </si>
  <si>
    <t>Mary Lewis</t>
  </si>
  <si>
    <t>Pamela Hart</t>
  </si>
  <si>
    <t>E1107</t>
  </si>
  <si>
    <t>Mary Jones</t>
  </si>
  <si>
    <t>Justin Mclean</t>
  </si>
  <si>
    <t>E1108</t>
  </si>
  <si>
    <t>Kelsey Watts</t>
  </si>
  <si>
    <t>George Howard</t>
  </si>
  <si>
    <t>E1109</t>
  </si>
  <si>
    <t>Deborah Mcdonald</t>
  </si>
  <si>
    <t>Matthew Hoover</t>
  </si>
  <si>
    <t>E1110</t>
  </si>
  <si>
    <t>Courtney Castaneda</t>
  </si>
  <si>
    <t>Brian Ingram</t>
  </si>
  <si>
    <t>E1111</t>
  </si>
  <si>
    <t>David Harper</t>
  </si>
  <si>
    <t>Cheyenne Leblanc</t>
  </si>
  <si>
    <t>E1112</t>
  </si>
  <si>
    <t>Kristin Boyd</t>
  </si>
  <si>
    <t>Elizabeth Boone</t>
  </si>
  <si>
    <t>E1113</t>
  </si>
  <si>
    <t>Jacob Harrington</t>
  </si>
  <si>
    <t>Angela Lynch</t>
  </si>
  <si>
    <t>E1114</t>
  </si>
  <si>
    <t>Sarah Arnold</t>
  </si>
  <si>
    <t>Carrie Frey</t>
  </si>
  <si>
    <t>E1115</t>
  </si>
  <si>
    <t>Edward Munoz</t>
  </si>
  <si>
    <t>Cassie Gray</t>
  </si>
  <si>
    <t>E1116</t>
  </si>
  <si>
    <t>Ryan Mercado</t>
  </si>
  <si>
    <t>Pamela Taylor</t>
  </si>
  <si>
    <t>E1117</t>
  </si>
  <si>
    <t>Michael Johnson</t>
  </si>
  <si>
    <t>Kenneth Long</t>
  </si>
  <si>
    <t>E1118</t>
  </si>
  <si>
    <t>Alex Wilson</t>
  </si>
  <si>
    <t>Amanda Mcclure</t>
  </si>
  <si>
    <t>E1119</t>
  </si>
  <si>
    <t>Louis Rose</t>
  </si>
  <si>
    <t>Tyler Ho</t>
  </si>
  <si>
    <t>E1120</t>
  </si>
  <si>
    <t>Sarah Fisher</t>
  </si>
  <si>
    <t>Jennifer Gonzalez</t>
  </si>
  <si>
    <t>E1121</t>
  </si>
  <si>
    <t>Jesus Randall</t>
  </si>
  <si>
    <t>Michelle Walton</t>
  </si>
  <si>
    <t>E1122</t>
  </si>
  <si>
    <t>Brenda Copeland</t>
  </si>
  <si>
    <t>Walter Smith</t>
  </si>
  <si>
    <t>E1123</t>
  </si>
  <si>
    <t>Leah Keller</t>
  </si>
  <si>
    <t>Michael Smith</t>
  </si>
  <si>
    <t>E1124</t>
  </si>
  <si>
    <t>Karen Wright</t>
  </si>
  <si>
    <t>Andrew Le</t>
  </si>
  <si>
    <t>E1125</t>
  </si>
  <si>
    <t>Sherry Chen</t>
  </si>
  <si>
    <t>Crystal Huynh</t>
  </si>
  <si>
    <t>E1126</t>
  </si>
  <si>
    <t>Amy Morris</t>
  </si>
  <si>
    <t>Ashley Perez</t>
  </si>
  <si>
    <t>E1127</t>
  </si>
  <si>
    <t>James Webb</t>
  </si>
  <si>
    <t>Elizabeth Bowman</t>
  </si>
  <si>
    <t>E1128</t>
  </si>
  <si>
    <t>Catherine Fields</t>
  </si>
  <si>
    <t>Tracy Peterson</t>
  </si>
  <si>
    <t>E1129</t>
  </si>
  <si>
    <t>Malik Ho</t>
  </si>
  <si>
    <t>Frank May</t>
  </si>
  <si>
    <t>E1130</t>
  </si>
  <si>
    <t>Michael Young</t>
  </si>
  <si>
    <t>Shannon Young</t>
  </si>
  <si>
    <t>E1131</t>
  </si>
  <si>
    <t>Travis Walker</t>
  </si>
  <si>
    <t>Seth Walsh</t>
  </si>
  <si>
    <t>E1132</t>
  </si>
  <si>
    <t>Heather Peters</t>
  </si>
  <si>
    <t>Adam Castillo</t>
  </si>
  <si>
    <t>E1133</t>
  </si>
  <si>
    <t>Kimberly Kirk</t>
  </si>
  <si>
    <t>Melissa Rivera</t>
  </si>
  <si>
    <t>E1134</t>
  </si>
  <si>
    <t>Joseph Gonzales</t>
  </si>
  <si>
    <t>Haley Moore</t>
  </si>
  <si>
    <t>E1135</t>
  </si>
  <si>
    <t>Anne Walker</t>
  </si>
  <si>
    <t>Eric Morgan</t>
  </si>
  <si>
    <t>E1136</t>
  </si>
  <si>
    <t>Dustin Garza</t>
  </si>
  <si>
    <t>Tami Blake</t>
  </si>
  <si>
    <t>E1137</t>
  </si>
  <si>
    <t>Michael Ramos</t>
  </si>
  <si>
    <t>Christian Richardson</t>
  </si>
  <si>
    <t>E1138</t>
  </si>
  <si>
    <t>Brandon Cook</t>
  </si>
  <si>
    <t>Donald Bell</t>
  </si>
  <si>
    <t>E1139</t>
  </si>
  <si>
    <t>Paul Williams</t>
  </si>
  <si>
    <t>Sarah Davis</t>
  </si>
  <si>
    <t>E1140</t>
  </si>
  <si>
    <t>Martin Newman</t>
  </si>
  <si>
    <t>Calvin Miller</t>
  </si>
  <si>
    <t>E1141</t>
  </si>
  <si>
    <t>Isaac Martin</t>
  </si>
  <si>
    <t>Kelly Griffith</t>
  </si>
  <si>
    <t>E1142</t>
  </si>
  <si>
    <t>Jonathan Duncan</t>
  </si>
  <si>
    <t>Cory Jacobs</t>
  </si>
  <si>
    <t>E1143</t>
  </si>
  <si>
    <t>Eugene Tucker</t>
  </si>
  <si>
    <t>Caitlin Holland</t>
  </si>
  <si>
    <t>E1144</t>
  </si>
  <si>
    <t>Kristy Russell</t>
  </si>
  <si>
    <t>Kelly Smith</t>
  </si>
  <si>
    <t>E1145</t>
  </si>
  <si>
    <t>William Edwards</t>
  </si>
  <si>
    <t>Melissa Becker</t>
  </si>
  <si>
    <t>E1146</t>
  </si>
  <si>
    <t>Joseph Caldwell</t>
  </si>
  <si>
    <t>Dawn Thompson</t>
  </si>
  <si>
    <t>E1147</t>
  </si>
  <si>
    <t>Mr. Tom Mendez</t>
  </si>
  <si>
    <t>Linda Moore</t>
  </si>
  <si>
    <t>E1148</t>
  </si>
  <si>
    <t>Peter Anderson</t>
  </si>
  <si>
    <t>James Nichols</t>
  </si>
  <si>
    <t>E1149</t>
  </si>
  <si>
    <t>Rebekah Brown</t>
  </si>
  <si>
    <t>Tyler Osborne</t>
  </si>
  <si>
    <t>E1150</t>
  </si>
  <si>
    <t>Matthew Watts</t>
  </si>
  <si>
    <t>Christopher Walton</t>
  </si>
  <si>
    <t>E1151</t>
  </si>
  <si>
    <t>Maureen Dean</t>
  </si>
  <si>
    <t>Stephen Perkins Jr.</t>
  </si>
  <si>
    <t>E1152</t>
  </si>
  <si>
    <t>Joshua Brown</t>
  </si>
  <si>
    <t>Cynthia Daniels</t>
  </si>
  <si>
    <t>E1153</t>
  </si>
  <si>
    <t>Deborah Patel</t>
  </si>
  <si>
    <t>Kimberly Duffy</t>
  </si>
  <si>
    <t>E1154</t>
  </si>
  <si>
    <t>Heather Romero</t>
  </si>
  <si>
    <t>John Weaver</t>
  </si>
  <si>
    <t>E1155</t>
  </si>
  <si>
    <t>Corey Faulkner</t>
  </si>
  <si>
    <t>Michael Chen</t>
  </si>
  <si>
    <t>E1156</t>
  </si>
  <si>
    <t>Paul Bennett</t>
  </si>
  <si>
    <t>Jake Diaz</t>
  </si>
  <si>
    <t>E1157</t>
  </si>
  <si>
    <t>Tyrone Garner</t>
  </si>
  <si>
    <t>Andrea Sandoval</t>
  </si>
  <si>
    <t>E1158</t>
  </si>
  <si>
    <t>Jennifer Gould</t>
  </si>
  <si>
    <t>Tom Turner</t>
  </si>
  <si>
    <t>E1159</t>
  </si>
  <si>
    <t>Courtney Santos</t>
  </si>
  <si>
    <t>Phyllis Johnson</t>
  </si>
  <si>
    <t>E1160</t>
  </si>
  <si>
    <t>Jacob Fuentes</t>
  </si>
  <si>
    <t>Tanner Tanner</t>
  </si>
  <si>
    <t>E1161</t>
  </si>
  <si>
    <t>Samuel Johnson</t>
  </si>
  <si>
    <t>Jessica Kline</t>
  </si>
  <si>
    <t>E1162</t>
  </si>
  <si>
    <t>Heather Tran</t>
  </si>
  <si>
    <t>Michael Atkins</t>
  </si>
  <si>
    <t>E1163</t>
  </si>
  <si>
    <t>Daniel Mendez</t>
  </si>
  <si>
    <t>Tanya Martinez</t>
  </si>
  <si>
    <t>E1164</t>
  </si>
  <si>
    <t>Jared Craig</t>
  </si>
  <si>
    <t>Jessica Davis</t>
  </si>
  <si>
    <t>E1165</t>
  </si>
  <si>
    <t>Kyle Potts</t>
  </si>
  <si>
    <t>Steve Harrison</t>
  </si>
  <si>
    <t>E1166</t>
  </si>
  <si>
    <t>Gene Tucker</t>
  </si>
  <si>
    <t>Jody Jackson</t>
  </si>
  <si>
    <t>E1167</t>
  </si>
  <si>
    <t>Wanda Davis</t>
  </si>
  <si>
    <t>Joshua Morales</t>
  </si>
  <si>
    <t>E1168</t>
  </si>
  <si>
    <t>Michelle Rodriguez</t>
  </si>
  <si>
    <t>Pam Collins PhD</t>
  </si>
  <si>
    <t>E1169</t>
  </si>
  <si>
    <t>Lisa Wu</t>
  </si>
  <si>
    <t>Frank Mccoy</t>
  </si>
  <si>
    <t>E1170</t>
  </si>
  <si>
    <t>Margaret Williams</t>
  </si>
  <si>
    <t>Jonathan Bowman</t>
  </si>
  <si>
    <t>E1171</t>
  </si>
  <si>
    <t>Ashley Espinoza</t>
  </si>
  <si>
    <t>John Chung</t>
  </si>
  <si>
    <t>E1172</t>
  </si>
  <si>
    <t>Michelle Estrada</t>
  </si>
  <si>
    <t>Noah Parker</t>
  </si>
  <si>
    <t>E1173</t>
  </si>
  <si>
    <t>Mark Collins</t>
  </si>
  <si>
    <t>Robert Mata</t>
  </si>
  <si>
    <t>E1174</t>
  </si>
  <si>
    <t>Courtney Cooper</t>
  </si>
  <si>
    <t>Jeffrey Lawson</t>
  </si>
  <si>
    <t>E1175</t>
  </si>
  <si>
    <t>Robert Sanchez</t>
  </si>
  <si>
    <t>Erin Becker</t>
  </si>
  <si>
    <t>E1176</t>
  </si>
  <si>
    <t>Erika Peterson</t>
  </si>
  <si>
    <t>Kristy Jenkins</t>
  </si>
  <si>
    <t>E1177</t>
  </si>
  <si>
    <t>David Owens</t>
  </si>
  <si>
    <t>Erica Allison</t>
  </si>
  <si>
    <t>E1178</t>
  </si>
  <si>
    <t>Theresa Rogers</t>
  </si>
  <si>
    <t>Daniel Scott</t>
  </si>
  <si>
    <t>E1179</t>
  </si>
  <si>
    <t>Brian Mayer</t>
  </si>
  <si>
    <t>Tiffany Kent</t>
  </si>
  <si>
    <t>E1180</t>
  </si>
  <si>
    <t>Zachary West</t>
  </si>
  <si>
    <t>Robert Mitchell</t>
  </si>
  <si>
    <t>E1181</t>
  </si>
  <si>
    <t>Chris Black</t>
  </si>
  <si>
    <t>Whitney Leonard</t>
  </si>
  <si>
    <t>E1182</t>
  </si>
  <si>
    <t>Hannah Perez</t>
  </si>
  <si>
    <t>Patrick Smith</t>
  </si>
  <si>
    <t>E1183</t>
  </si>
  <si>
    <t>Terri Hinton</t>
  </si>
  <si>
    <t>Robert Holland</t>
  </si>
  <si>
    <t>E1184</t>
  </si>
  <si>
    <t>Jennifer Jones</t>
  </si>
  <si>
    <t>Travis Gordon</t>
  </si>
  <si>
    <t>E1185</t>
  </si>
  <si>
    <t>Jacqueline Webb</t>
  </si>
  <si>
    <t>Lisa Carroll</t>
  </si>
  <si>
    <t>E1186</t>
  </si>
  <si>
    <t>Shannon Jones</t>
  </si>
  <si>
    <t>Keith Brady MD</t>
  </si>
  <si>
    <t>E1187</t>
  </si>
  <si>
    <t>Elizabeth Taylor</t>
  </si>
  <si>
    <t>Kristi Parker</t>
  </si>
  <si>
    <t>E1188</t>
  </si>
  <si>
    <t>Bobby Hamilton</t>
  </si>
  <si>
    <t>Kathleen Herrera</t>
  </si>
  <si>
    <t>E1189</t>
  </si>
  <si>
    <t>Mark Brooks</t>
  </si>
  <si>
    <t>Jade Scott</t>
  </si>
  <si>
    <t>E1190</t>
  </si>
  <si>
    <t>Joseph Williams</t>
  </si>
  <si>
    <t>Maria Fox</t>
  </si>
  <si>
    <t>E1191</t>
  </si>
  <si>
    <t>Kevin Watkins</t>
  </si>
  <si>
    <t>Brian Watson</t>
  </si>
  <si>
    <t>E1192</t>
  </si>
  <si>
    <t>Keith Martin</t>
  </si>
  <si>
    <t>James Moore</t>
  </si>
  <si>
    <t>E1193</t>
  </si>
  <si>
    <t>Jason Hubbard</t>
  </si>
  <si>
    <t>Dr. Angela Velazquez DVM</t>
  </si>
  <si>
    <t>E1194</t>
  </si>
  <si>
    <t>Holly Johnson MD</t>
  </si>
  <si>
    <t>Patrick Hill</t>
  </si>
  <si>
    <t>E1195</t>
  </si>
  <si>
    <t>Jeffrey Smith</t>
  </si>
  <si>
    <t>Samuel Velazquez</t>
  </si>
  <si>
    <t>E1196</t>
  </si>
  <si>
    <t>Julie Collins</t>
  </si>
  <si>
    <t>Crystal Harris</t>
  </si>
  <si>
    <t>E1197</t>
  </si>
  <si>
    <t>Jesse Monroe</t>
  </si>
  <si>
    <t>Michael Mccoy</t>
  </si>
  <si>
    <t>E1198</t>
  </si>
  <si>
    <t>Jose Taylor</t>
  </si>
  <si>
    <t>Eddie Scott</t>
  </si>
  <si>
    <t>E1199</t>
  </si>
  <si>
    <t>Steven Newman</t>
  </si>
  <si>
    <t>Crystal Bird</t>
  </si>
  <si>
    <t>E1200</t>
  </si>
  <si>
    <t>Jennifer Thompson DVM</t>
  </si>
  <si>
    <t>Stephanie Contreras</t>
  </si>
  <si>
    <t>E1201</t>
  </si>
  <si>
    <t>Kenneth Mitchell</t>
  </si>
  <si>
    <t>Stephen Johnson</t>
  </si>
  <si>
    <t>E1202</t>
  </si>
  <si>
    <t>Emily Kelly</t>
  </si>
  <si>
    <t>Thomas Burton</t>
  </si>
  <si>
    <t>E1203</t>
  </si>
  <si>
    <t>Michael Jackson</t>
  </si>
  <si>
    <t>David Carr</t>
  </si>
  <si>
    <t>E1204</t>
  </si>
  <si>
    <t>Kristina Watts</t>
  </si>
  <si>
    <t>Angel Adkins</t>
  </si>
  <si>
    <t>E1205</t>
  </si>
  <si>
    <t>Ann Mccoy</t>
  </si>
  <si>
    <t>Gary Mckinney</t>
  </si>
  <si>
    <t>E1206</t>
  </si>
  <si>
    <t>Kevin Torres</t>
  </si>
  <si>
    <t>Mr. Brent Chaney</t>
  </si>
  <si>
    <t>E1207</t>
  </si>
  <si>
    <t>Kara Mcdonald</t>
  </si>
  <si>
    <t>Martha Johnson</t>
  </si>
  <si>
    <t>E1208</t>
  </si>
  <si>
    <t>Nancy Shannon</t>
  </si>
  <si>
    <t>Shannon Mcguire</t>
  </si>
  <si>
    <t>E1209</t>
  </si>
  <si>
    <t>Stacey Rangel</t>
  </si>
  <si>
    <t>Julia Lopez</t>
  </si>
  <si>
    <t>E1210</t>
  </si>
  <si>
    <t>Stacy Sawyer</t>
  </si>
  <si>
    <t>Amy Gaines</t>
  </si>
  <si>
    <t>E1211</t>
  </si>
  <si>
    <t>Michael Zavala</t>
  </si>
  <si>
    <t>Melissa Cunningham</t>
  </si>
  <si>
    <t>E1212</t>
  </si>
  <si>
    <t>Denise Martinez</t>
  </si>
  <si>
    <t>Patricia Fernandez</t>
  </si>
  <si>
    <t>E1213</t>
  </si>
  <si>
    <t>John Rasmussen</t>
  </si>
  <si>
    <t>William Meyer</t>
  </si>
  <si>
    <t>E1214</t>
  </si>
  <si>
    <t>Mark Mayo</t>
  </si>
  <si>
    <t>Richard Moreno</t>
  </si>
  <si>
    <t>E1215</t>
  </si>
  <si>
    <t>Karen Koch</t>
  </si>
  <si>
    <t>Eric Lawson</t>
  </si>
  <si>
    <t>E1216</t>
  </si>
  <si>
    <t>Kevin Christensen</t>
  </si>
  <si>
    <t>Kara Diaz</t>
  </si>
  <si>
    <t>E1217</t>
  </si>
  <si>
    <t>Daniel White</t>
  </si>
  <si>
    <t>Patricia Lamb</t>
  </si>
  <si>
    <t>E1218</t>
  </si>
  <si>
    <t>Jennifer Chase</t>
  </si>
  <si>
    <t>Kimberly Peterson</t>
  </si>
  <si>
    <t>E1219</t>
  </si>
  <si>
    <t>Cheryl Romero</t>
  </si>
  <si>
    <t>Joel Curry</t>
  </si>
  <si>
    <t>E1220</t>
  </si>
  <si>
    <t>Julie Cross</t>
  </si>
  <si>
    <t>Andrea Robinson</t>
  </si>
  <si>
    <t>E1221</t>
  </si>
  <si>
    <t>Monica Coleman</t>
  </si>
  <si>
    <t>Colin Hudson</t>
  </si>
  <si>
    <t>E1222</t>
  </si>
  <si>
    <t>Leslie Simon</t>
  </si>
  <si>
    <t>Joseph Davis</t>
  </si>
  <si>
    <t>E1223</t>
  </si>
  <si>
    <t>Allison Garrett</t>
  </si>
  <si>
    <t>Ronnie Valdez</t>
  </si>
  <si>
    <t>E1224</t>
  </si>
  <si>
    <t>Daniel Barker</t>
  </si>
  <si>
    <t>Brittney Perez</t>
  </si>
  <si>
    <t>E1225</t>
  </si>
  <si>
    <t>Brent Stewart MD</t>
  </si>
  <si>
    <t>Sarah Smith</t>
  </si>
  <si>
    <t>E1226</t>
  </si>
  <si>
    <t>Jeffery Bell</t>
  </si>
  <si>
    <t>Elizabeth Reid</t>
  </si>
  <si>
    <t>E1227</t>
  </si>
  <si>
    <t>Robert Aguilar</t>
  </si>
  <si>
    <t>Kristin Chang</t>
  </si>
  <si>
    <t>E1228</t>
  </si>
  <si>
    <t>Kathryn Larson</t>
  </si>
  <si>
    <t>Kenneth Day</t>
  </si>
  <si>
    <t>E1229</t>
  </si>
  <si>
    <t>Lindsay Travis</t>
  </si>
  <si>
    <t>Lisa Wright</t>
  </si>
  <si>
    <t>E1230</t>
  </si>
  <si>
    <t>John Gonzales</t>
  </si>
  <si>
    <t>Jose Lewis</t>
  </si>
  <si>
    <t>E1231</t>
  </si>
  <si>
    <t>Barbara Braun</t>
  </si>
  <si>
    <t>Alexis Patton</t>
  </si>
  <si>
    <t>E1232</t>
  </si>
  <si>
    <t>Brian Smith</t>
  </si>
  <si>
    <t>Michael Beasley</t>
  </si>
  <si>
    <t>E1233</t>
  </si>
  <si>
    <t>Angela Cruz</t>
  </si>
  <si>
    <t>Alan Mcpherson</t>
  </si>
  <si>
    <t>E1234</t>
  </si>
  <si>
    <t>Kathleen Gilbert</t>
  </si>
  <si>
    <t>Frank Henry</t>
  </si>
  <si>
    <t>E1235</t>
  </si>
  <si>
    <t>Corey Davis</t>
  </si>
  <si>
    <t>William Jackson</t>
  </si>
  <si>
    <t>E1236</t>
  </si>
  <si>
    <t>Mark Campbell</t>
  </si>
  <si>
    <t>Nicholas Moreno</t>
  </si>
  <si>
    <t>E1237</t>
  </si>
  <si>
    <t>Lynn Barnes</t>
  </si>
  <si>
    <t>Cheryl Tran</t>
  </si>
  <si>
    <t>E1238</t>
  </si>
  <si>
    <t>Jennifer Johns</t>
  </si>
  <si>
    <t>Ashley Donaldson</t>
  </si>
  <si>
    <t>E1239</t>
  </si>
  <si>
    <t>Jesse Perkins</t>
  </si>
  <si>
    <t>Michelle Thomas</t>
  </si>
  <si>
    <t>E1240</t>
  </si>
  <si>
    <t>Suzanne Allen</t>
  </si>
  <si>
    <t>Tara Kirby</t>
  </si>
  <si>
    <t>E1241</t>
  </si>
  <si>
    <t>Nicholas Walker</t>
  </si>
  <si>
    <t>Andres Dickerson</t>
  </si>
  <si>
    <t>E1242</t>
  </si>
  <si>
    <t>Robert Miller</t>
  </si>
  <si>
    <t>Robert Stanley</t>
  </si>
  <si>
    <t>E1243</t>
  </si>
  <si>
    <t>Justin Yates</t>
  </si>
  <si>
    <t>Katherine Wilkinson</t>
  </si>
  <si>
    <t>E1244</t>
  </si>
  <si>
    <t>Kevin Strickland</t>
  </si>
  <si>
    <t>Jessica Johnson</t>
  </si>
  <si>
    <t>E1245</t>
  </si>
  <si>
    <t>Sarah Edwards</t>
  </si>
  <si>
    <t>David Smith</t>
  </si>
  <si>
    <t>E1246</t>
  </si>
  <si>
    <t>Kimberly Morris</t>
  </si>
  <si>
    <t>Emily Gonzales</t>
  </si>
  <si>
    <t>E1247</t>
  </si>
  <si>
    <t>Jerry Schultz</t>
  </si>
  <si>
    <t>Ariana Rojas</t>
  </si>
  <si>
    <t>E1248</t>
  </si>
  <si>
    <t>Caitlin Gillespie</t>
  </si>
  <si>
    <t>Samantha Keith</t>
  </si>
  <si>
    <t>E1249</t>
  </si>
  <si>
    <t>Cindy Allen</t>
  </si>
  <si>
    <t>Jennifer Johnson</t>
  </si>
  <si>
    <t>E1250</t>
  </si>
  <si>
    <t>Sarah Reyes</t>
  </si>
  <si>
    <t>Arthur Boyer</t>
  </si>
  <si>
    <t>E1251</t>
  </si>
  <si>
    <t>Gene Jones</t>
  </si>
  <si>
    <t>Amanda Luna</t>
  </si>
  <si>
    <t>E1252</t>
  </si>
  <si>
    <t>Laura Rivera</t>
  </si>
  <si>
    <t>Javier Taylor</t>
  </si>
  <si>
    <t>E1253</t>
  </si>
  <si>
    <t>Sonia Bowen</t>
  </si>
  <si>
    <t>Michael Pittman</t>
  </si>
  <si>
    <t>E1254</t>
  </si>
  <si>
    <t>Ellen Gibson</t>
  </si>
  <si>
    <t>Emily Taylor</t>
  </si>
  <si>
    <t>E1255</t>
  </si>
  <si>
    <t>Edward Roberts</t>
  </si>
  <si>
    <t>Kevin Diaz</t>
  </si>
  <si>
    <t>E1256</t>
  </si>
  <si>
    <t>Kristy Williams</t>
  </si>
  <si>
    <t>Matthew Holt</t>
  </si>
  <si>
    <t>E1257</t>
  </si>
  <si>
    <t>Dennis Wyatt</t>
  </si>
  <si>
    <t>Andre Suarez</t>
  </si>
  <si>
    <t>E1258</t>
  </si>
  <si>
    <t>Shaun Hopkins</t>
  </si>
  <si>
    <t>Wendy Bradley</t>
  </si>
  <si>
    <t>E1259</t>
  </si>
  <si>
    <t>Jacob Ortiz</t>
  </si>
  <si>
    <t>Mallory Green</t>
  </si>
  <si>
    <t>E1260</t>
  </si>
  <si>
    <t>Geoffrey Arnold</t>
  </si>
  <si>
    <t>Chelsea Cunningham</t>
  </si>
  <si>
    <t>E1261</t>
  </si>
  <si>
    <t>Kristi Martin</t>
  </si>
  <si>
    <t>E1262</t>
  </si>
  <si>
    <t>Elizabeth Stewart</t>
  </si>
  <si>
    <t>Beth Wilcox</t>
  </si>
  <si>
    <t>E1263</t>
  </si>
  <si>
    <t>Juan Goodman</t>
  </si>
  <si>
    <t>Miss Maria Miller</t>
  </si>
  <si>
    <t>E1264</t>
  </si>
  <si>
    <t>Victor Vasquez</t>
  </si>
  <si>
    <t>Frank Peters</t>
  </si>
  <si>
    <t>E1265</t>
  </si>
  <si>
    <t>Kimberly Pena</t>
  </si>
  <si>
    <t>Lisa Brown</t>
  </si>
  <si>
    <t>E1266</t>
  </si>
  <si>
    <t>Aaron Robinson</t>
  </si>
  <si>
    <t>Perry Moreno</t>
  </si>
  <si>
    <t>E1267</t>
  </si>
  <si>
    <t>Isaiah West</t>
  </si>
  <si>
    <t>David Mills</t>
  </si>
  <si>
    <t>E1268</t>
  </si>
  <si>
    <t>Charles Blair</t>
  </si>
  <si>
    <t>Matthew Savage</t>
  </si>
  <si>
    <t>E1269</t>
  </si>
  <si>
    <t>Tracie Benson</t>
  </si>
  <si>
    <t>Jason Everett</t>
  </si>
  <si>
    <t>E1270</t>
  </si>
  <si>
    <t>Lauren Brown</t>
  </si>
  <si>
    <t>James Perry</t>
  </si>
  <si>
    <t>E1271</t>
  </si>
  <si>
    <t>Stephanie David</t>
  </si>
  <si>
    <t>Stephanie Bush</t>
  </si>
  <si>
    <t>E1272</t>
  </si>
  <si>
    <t>Cindy Green</t>
  </si>
  <si>
    <t>Jack Jennings</t>
  </si>
  <si>
    <t>E1273</t>
  </si>
  <si>
    <t>Susan Mckinney</t>
  </si>
  <si>
    <t>Michael Gomez</t>
  </si>
  <si>
    <t>E1274</t>
  </si>
  <si>
    <t>John Moyer</t>
  </si>
  <si>
    <t>Patrick Garcia</t>
  </si>
  <si>
    <t>E1275</t>
  </si>
  <si>
    <t>Roy Smith</t>
  </si>
  <si>
    <t>Trevor Johnson</t>
  </si>
  <si>
    <t>E1276</t>
  </si>
  <si>
    <t>Mary Baker</t>
  </si>
  <si>
    <t>Hailey Lynn</t>
  </si>
  <si>
    <t>E1277</t>
  </si>
  <si>
    <t>Daniel Shaffer</t>
  </si>
  <si>
    <t>Scott Moss</t>
  </si>
  <si>
    <t>E1278</t>
  </si>
  <si>
    <t>Kelly Gordon</t>
  </si>
  <si>
    <t>Paul Smith</t>
  </si>
  <si>
    <t>E1279</t>
  </si>
  <si>
    <t>Tony Young</t>
  </si>
  <si>
    <t>Sarah Briggs</t>
  </si>
  <si>
    <t>E1280</t>
  </si>
  <si>
    <t>Jerry Wright</t>
  </si>
  <si>
    <t>Susan Lane</t>
  </si>
  <si>
    <t>E1281</t>
  </si>
  <si>
    <t>Emily Fernandez</t>
  </si>
  <si>
    <t>Riley Andrews</t>
  </si>
  <si>
    <t>E1282</t>
  </si>
  <si>
    <t>Richard Mcintosh</t>
  </si>
  <si>
    <t>Nancy Mccann</t>
  </si>
  <si>
    <t>E1283</t>
  </si>
  <si>
    <t>Tyler Hunt</t>
  </si>
  <si>
    <t>Ms. Laurie Molina</t>
  </si>
  <si>
    <t>E1284</t>
  </si>
  <si>
    <t>Charles Zavala</t>
  </si>
  <si>
    <t>Denise Hammond</t>
  </si>
  <si>
    <t>E1285</t>
  </si>
  <si>
    <t>Amy Johnson</t>
  </si>
  <si>
    <t>Eric Cook</t>
  </si>
  <si>
    <t>E1286</t>
  </si>
  <si>
    <t>Kyle Shannon</t>
  </si>
  <si>
    <t>Wendy Ballard</t>
  </si>
  <si>
    <t>E1287</t>
  </si>
  <si>
    <t>Carrie Fry</t>
  </si>
  <si>
    <t>Barry Banks</t>
  </si>
  <si>
    <t>E1288</t>
  </si>
  <si>
    <t>Samantha Scott</t>
  </si>
  <si>
    <t>Richard Wright</t>
  </si>
  <si>
    <t>E1289</t>
  </si>
  <si>
    <t>Elizabeth Navarro</t>
  </si>
  <si>
    <t>Bryce Roberts</t>
  </si>
  <si>
    <t>E1290</t>
  </si>
  <si>
    <t>Dawn Frost</t>
  </si>
  <si>
    <t>E1291</t>
  </si>
  <si>
    <t>Beth Thomas</t>
  </si>
  <si>
    <t>Hannah Noble</t>
  </si>
  <si>
    <t>E1292</t>
  </si>
  <si>
    <t>Shannon Jackson</t>
  </si>
  <si>
    <t>Tyler Burke</t>
  </si>
  <si>
    <t>E1293</t>
  </si>
  <si>
    <t>Paula Wilson</t>
  </si>
  <si>
    <t>James Wallace</t>
  </si>
  <si>
    <t>E1294</t>
  </si>
  <si>
    <t>Mia Hernandez</t>
  </si>
  <si>
    <t>Pamela Buchanan</t>
  </si>
  <si>
    <t>E1295</t>
  </si>
  <si>
    <t>Ernest Griffin</t>
  </si>
  <si>
    <t>Brenda Jackson</t>
  </si>
  <si>
    <t>E1296</t>
  </si>
  <si>
    <t>Daniel Medina</t>
  </si>
  <si>
    <t>Sierra Smith</t>
  </si>
  <si>
    <t>E1297</t>
  </si>
  <si>
    <t>Levi Marquez</t>
  </si>
  <si>
    <t>Melissa Russell</t>
  </si>
  <si>
    <t>E1298</t>
  </si>
  <si>
    <t>Robert Webb</t>
  </si>
  <si>
    <t>Gregory Jacobs</t>
  </si>
  <si>
    <t>E1299</t>
  </si>
  <si>
    <t>Joseph Garcia</t>
  </si>
  <si>
    <t>William Morales</t>
  </si>
  <si>
    <t>E1300</t>
  </si>
  <si>
    <t>Sharon Roberts</t>
  </si>
  <si>
    <t>Nicholas Hodge</t>
  </si>
  <si>
    <t>E1301</t>
  </si>
  <si>
    <t>Mary Gray</t>
  </si>
  <si>
    <t>Alexandria Kramer</t>
  </si>
  <si>
    <t>E1302</t>
  </si>
  <si>
    <t>Jeffrey Mata</t>
  </si>
  <si>
    <t>Christopher Blevins</t>
  </si>
  <si>
    <t>E1303</t>
  </si>
  <si>
    <t>James Brewer</t>
  </si>
  <si>
    <t>Tiffany Davis</t>
  </si>
  <si>
    <t>E1304</t>
  </si>
  <si>
    <t>Sarah Walker</t>
  </si>
  <si>
    <t>Alexander Turner</t>
  </si>
  <si>
    <t>E1305</t>
  </si>
  <si>
    <t>Beth Smith</t>
  </si>
  <si>
    <t>Margaret Wilson</t>
  </si>
  <si>
    <t>E1306</t>
  </si>
  <si>
    <t>Christopher Garcia</t>
  </si>
  <si>
    <t>Savannah Yu</t>
  </si>
  <si>
    <t>E1307</t>
  </si>
  <si>
    <t>Kristin Bailey</t>
  </si>
  <si>
    <t>Ryan Wolf</t>
  </si>
  <si>
    <t>E1308</t>
  </si>
  <si>
    <t>Nicholas Singleton</t>
  </si>
  <si>
    <t>Dawn Miller</t>
  </si>
  <si>
    <t>E1309</t>
  </si>
  <si>
    <t>Joanna Caldwell</t>
  </si>
  <si>
    <t>Rachel Weber</t>
  </si>
  <si>
    <t>E1310</t>
  </si>
  <si>
    <t>Jacqueline Hamilton</t>
  </si>
  <si>
    <t>Valerie Gonzales</t>
  </si>
  <si>
    <t>E1311</t>
  </si>
  <si>
    <t>Thomas Murray</t>
  </si>
  <si>
    <t>Lisa Bautista</t>
  </si>
  <si>
    <t>E1312</t>
  </si>
  <si>
    <t>Ashley Barajas</t>
  </si>
  <si>
    <t>Nicholas Moore</t>
  </si>
  <si>
    <t>E1313</t>
  </si>
  <si>
    <t>Edward Davenport</t>
  </si>
  <si>
    <t>Nathan Lewis</t>
  </si>
  <si>
    <t>E1314</t>
  </si>
  <si>
    <t>Frederick Johnson</t>
  </si>
  <si>
    <t>Melissa Pierce</t>
  </si>
  <si>
    <t>E1315</t>
  </si>
  <si>
    <t>Taylor Rasmussen</t>
  </si>
  <si>
    <t>Zachary Santiago</t>
  </si>
  <si>
    <t>E1316</t>
  </si>
  <si>
    <t>Mrs. Jennifer Jones</t>
  </si>
  <si>
    <t>Steven Wyatt</t>
  </si>
  <si>
    <t>E1317</t>
  </si>
  <si>
    <t>Patricia Allen</t>
  </si>
  <si>
    <t>Gregory Fischer</t>
  </si>
  <si>
    <t>E1318</t>
  </si>
  <si>
    <t>Jennifer Baxter</t>
  </si>
  <si>
    <t>Jennifer Berger</t>
  </si>
  <si>
    <t>E1319</t>
  </si>
  <si>
    <t>Michael Stevens</t>
  </si>
  <si>
    <t>Taylor Ruiz</t>
  </si>
  <si>
    <t>E1320</t>
  </si>
  <si>
    <t>Christopher Green</t>
  </si>
  <si>
    <t>Jason Smith</t>
  </si>
  <si>
    <t>E1321</t>
  </si>
  <si>
    <t>Robert Boyd</t>
  </si>
  <si>
    <t>David Adams</t>
  </si>
  <si>
    <t>E1322</t>
  </si>
  <si>
    <t>Sarah Schmidt</t>
  </si>
  <si>
    <t>Lawrence Arias</t>
  </si>
  <si>
    <t>E1323</t>
  </si>
  <si>
    <t>Angela Edwards</t>
  </si>
  <si>
    <t>Susan Gill</t>
  </si>
  <si>
    <t>E1324</t>
  </si>
  <si>
    <t>Kathleen Sanders</t>
  </si>
  <si>
    <t>Pamela Warner</t>
  </si>
  <si>
    <t>E1325</t>
  </si>
  <si>
    <t>Diana Russell</t>
  </si>
  <si>
    <t>Randall Dixon</t>
  </si>
  <si>
    <t>E1326</t>
  </si>
  <si>
    <t>Patrick Lynch</t>
  </si>
  <si>
    <t>Joshua Howard</t>
  </si>
  <si>
    <t>E1327</t>
  </si>
  <si>
    <t>Daniel King</t>
  </si>
  <si>
    <t>Michelle Moore</t>
  </si>
  <si>
    <t>E1328</t>
  </si>
  <si>
    <t>Megan Turner</t>
  </si>
  <si>
    <t>Linda Hooper</t>
  </si>
  <si>
    <t>E1329</t>
  </si>
  <si>
    <t>Stephanie King</t>
  </si>
  <si>
    <t>Paul Nicholson</t>
  </si>
  <si>
    <t>E1330</t>
  </si>
  <si>
    <t>Valerie Moore</t>
  </si>
  <si>
    <t>Justin Thornton</t>
  </si>
  <si>
    <t>E1331</t>
  </si>
  <si>
    <t>Russell Thompson</t>
  </si>
  <si>
    <t>Carlos Wilson</t>
  </si>
  <si>
    <t>E1332</t>
  </si>
  <si>
    <t>Andrew Mcgee</t>
  </si>
  <si>
    <t>Randy Hendricks</t>
  </si>
  <si>
    <t>E1333</t>
  </si>
  <si>
    <t>Kristin Long</t>
  </si>
  <si>
    <t>Michael Adams</t>
  </si>
  <si>
    <t>E1334</t>
  </si>
  <si>
    <t>Richard Howard</t>
  </si>
  <si>
    <t>David Meyers</t>
  </si>
  <si>
    <t>E1335</t>
  </si>
  <si>
    <t>Mallory Evans</t>
  </si>
  <si>
    <t>E1336</t>
  </si>
  <si>
    <t>Kenneth Daniel</t>
  </si>
  <si>
    <t>David Gamble</t>
  </si>
  <si>
    <t>E1337</t>
  </si>
  <si>
    <t>Kimberly Armstrong</t>
  </si>
  <si>
    <t>Dustin Alvarez</t>
  </si>
  <si>
    <t>E1338</t>
  </si>
  <si>
    <t>Nancy Blackwell PhD</t>
  </si>
  <si>
    <t>Scott Brandt</t>
  </si>
  <si>
    <t>E1339</t>
  </si>
  <si>
    <t>Andrew Yates</t>
  </si>
  <si>
    <t>Daniel Collins</t>
  </si>
  <si>
    <t>E1340</t>
  </si>
  <si>
    <t>Andrea Bright</t>
  </si>
  <si>
    <t>Deborah Bennett</t>
  </si>
  <si>
    <t>E1341</t>
  </si>
  <si>
    <t>Paul Lester</t>
  </si>
  <si>
    <t>Andrew Stokes</t>
  </si>
  <si>
    <t>E1342</t>
  </si>
  <si>
    <t>James Brady</t>
  </si>
  <si>
    <t>Elizabeth Proctor</t>
  </si>
  <si>
    <t>E1343</t>
  </si>
  <si>
    <t>Jennifer Patrick</t>
  </si>
  <si>
    <t>Denise Taylor</t>
  </si>
  <si>
    <t>E1344</t>
  </si>
  <si>
    <t>Vincent Medina</t>
  </si>
  <si>
    <t>Leah Gates</t>
  </si>
  <si>
    <t>E1345</t>
  </si>
  <si>
    <t>Mr. Kevin Barker</t>
  </si>
  <si>
    <t>Ryan Kane</t>
  </si>
  <si>
    <t>E1346</t>
  </si>
  <si>
    <t>Lawrence Lopez</t>
  </si>
  <si>
    <t>Brandon White</t>
  </si>
  <si>
    <t>E1347</t>
  </si>
  <si>
    <t>Chelsea Watson</t>
  </si>
  <si>
    <t>Carrie Thompson</t>
  </si>
  <si>
    <t>E1348</t>
  </si>
  <si>
    <t>Nathan Cunningham</t>
  </si>
  <si>
    <t>Richard Beck</t>
  </si>
  <si>
    <t>E1349</t>
  </si>
  <si>
    <t>Michelle Patton</t>
  </si>
  <si>
    <t>Lisa Ward</t>
  </si>
  <si>
    <t>E1350</t>
  </si>
  <si>
    <t>Jeffrey Green</t>
  </si>
  <si>
    <t>April Miller</t>
  </si>
  <si>
    <t>E1351</t>
  </si>
  <si>
    <t>Taylor Harrison</t>
  </si>
  <si>
    <t>Corey Johnson</t>
  </si>
  <si>
    <t>E1352</t>
  </si>
  <si>
    <t>Melissa Lopez</t>
  </si>
  <si>
    <t>Andre Ponce</t>
  </si>
  <si>
    <t>E1353</t>
  </si>
  <si>
    <t>Daniel Hernandez</t>
  </si>
  <si>
    <t>Sandra Powell</t>
  </si>
  <si>
    <t>E1354</t>
  </si>
  <si>
    <t>Suzanne Lyons</t>
  </si>
  <si>
    <t>Christine Jordan</t>
  </si>
  <si>
    <t>E1355</t>
  </si>
  <si>
    <t>Jessica Gomez</t>
  </si>
  <si>
    <t>Aaron Watts</t>
  </si>
  <si>
    <t>E1356</t>
  </si>
  <si>
    <t>Andrea Schroeder</t>
  </si>
  <si>
    <t>Vincent Bartlett</t>
  </si>
  <si>
    <t>E1357</t>
  </si>
  <si>
    <t>William Levy</t>
  </si>
  <si>
    <t>Frank Lewis</t>
  </si>
  <si>
    <t>E1358</t>
  </si>
  <si>
    <t>Christopher Lindsey</t>
  </si>
  <si>
    <t>Catherine Booth</t>
  </si>
  <si>
    <t>E1359</t>
  </si>
  <si>
    <t>Tammy Martinez</t>
  </si>
  <si>
    <t>Kevin Garcia</t>
  </si>
  <si>
    <t>E1360</t>
  </si>
  <si>
    <t>Angela Brock</t>
  </si>
  <si>
    <t>Christopher Stevens</t>
  </si>
  <si>
    <t>E1361</t>
  </si>
  <si>
    <t>Carol Berg</t>
  </si>
  <si>
    <t>Victoria Cordova</t>
  </si>
  <si>
    <t>E1362</t>
  </si>
  <si>
    <t>Sally Gould</t>
  </si>
  <si>
    <t>Ann Herrera</t>
  </si>
  <si>
    <t>E1363</t>
  </si>
  <si>
    <t>Dominique Johnson</t>
  </si>
  <si>
    <t>Shannon Conrad</t>
  </si>
  <si>
    <t>E1364</t>
  </si>
  <si>
    <t>Alyssa Becker</t>
  </si>
  <si>
    <t>Jonathan Cordova</t>
  </si>
  <si>
    <t>E1365</t>
  </si>
  <si>
    <t>Matthew Smith</t>
  </si>
  <si>
    <t>Kristen Castillo</t>
  </si>
  <si>
    <t>E1366</t>
  </si>
  <si>
    <t>Nicholas Kelly</t>
  </si>
  <si>
    <t>James Baker</t>
  </si>
  <si>
    <t>E1367</t>
  </si>
  <si>
    <t>Christopher Johnson</t>
  </si>
  <si>
    <t>Seth King</t>
  </si>
  <si>
    <t>E1368</t>
  </si>
  <si>
    <t>Benjamin Moore</t>
  </si>
  <si>
    <t>Timothy Cole</t>
  </si>
  <si>
    <t>E1369</t>
  </si>
  <si>
    <t>Andrew Olson</t>
  </si>
  <si>
    <t>Sandra Wilson</t>
  </si>
  <si>
    <t>E1370</t>
  </si>
  <si>
    <t>Paul Pace</t>
  </si>
  <si>
    <t>Jessica Nguyen</t>
  </si>
  <si>
    <t>E1371</t>
  </si>
  <si>
    <t>Keith Mills</t>
  </si>
  <si>
    <t>Joshua Conrad</t>
  </si>
  <si>
    <t>E1372</t>
  </si>
  <si>
    <t>Beverly Curtis</t>
  </si>
  <si>
    <t>Hannah Jackson</t>
  </si>
  <si>
    <t>E1373</t>
  </si>
  <si>
    <t>Kelly Gregory</t>
  </si>
  <si>
    <t>Robert Cameron</t>
  </si>
  <si>
    <t>E1374</t>
  </si>
  <si>
    <t>Henry Thomas</t>
  </si>
  <si>
    <t>Lori Wood</t>
  </si>
  <si>
    <t>E1375</t>
  </si>
  <si>
    <t>Thomas Johnson</t>
  </si>
  <si>
    <t>Kimberly Bishop</t>
  </si>
  <si>
    <t>E1376</t>
  </si>
  <si>
    <t>Katie Bass</t>
  </si>
  <si>
    <t>Jasmine Bishop</t>
  </si>
  <si>
    <t>E1377</t>
  </si>
  <si>
    <t>Donald Hardy</t>
  </si>
  <si>
    <t>Melissa Smith</t>
  </si>
  <si>
    <t>E1378</t>
  </si>
  <si>
    <t>John Lee</t>
  </si>
  <si>
    <t>Danielle Lee</t>
  </si>
  <si>
    <t>E1379</t>
  </si>
  <si>
    <t>Antonio Kent</t>
  </si>
  <si>
    <t>Justin Benton</t>
  </si>
  <si>
    <t>E1380</t>
  </si>
  <si>
    <t>Jack Marshall</t>
  </si>
  <si>
    <t>Jeffery Logan</t>
  </si>
  <si>
    <t>E1381</t>
  </si>
  <si>
    <t>Margaret Mccarthy</t>
  </si>
  <si>
    <t>E1382</t>
  </si>
  <si>
    <t>Adam Martinez</t>
  </si>
  <si>
    <t>Brent Myers</t>
  </si>
  <si>
    <t>E1383</t>
  </si>
  <si>
    <t>Cathy Powell</t>
  </si>
  <si>
    <t>Chris Cox</t>
  </si>
  <si>
    <t>E1384</t>
  </si>
  <si>
    <t>Michael Graham</t>
  </si>
  <si>
    <t>Sandra Whitaker</t>
  </si>
  <si>
    <t>E1385</t>
  </si>
  <si>
    <t>Mr. Charles Campbell III</t>
  </si>
  <si>
    <t>Elizabeth Williams</t>
  </si>
  <si>
    <t>E1386</t>
  </si>
  <si>
    <t>Robin Koch</t>
  </si>
  <si>
    <t>Mr. Joel Clark</t>
  </si>
  <si>
    <t>E1387</t>
  </si>
  <si>
    <t>Omar Ruiz</t>
  </si>
  <si>
    <t>Lauren Mason</t>
  </si>
  <si>
    <t>E1388</t>
  </si>
  <si>
    <t>Lori Spencer</t>
  </si>
  <si>
    <t>Mr. Randy Chang DVM</t>
  </si>
  <si>
    <t>E1389</t>
  </si>
  <si>
    <t>Mark Luna</t>
  </si>
  <si>
    <t>Roger Underwood</t>
  </si>
  <si>
    <t>E1390</t>
  </si>
  <si>
    <t>Timothy Dixon</t>
  </si>
  <si>
    <t>Pedro Wilson</t>
  </si>
  <si>
    <t>E1391</t>
  </si>
  <si>
    <t>Mary Peterson</t>
  </si>
  <si>
    <t>Maxwell Rojas</t>
  </si>
  <si>
    <t>E1392</t>
  </si>
  <si>
    <t>Brenda Martinez</t>
  </si>
  <si>
    <t>Alexis Brown</t>
  </si>
  <si>
    <t>E1393</t>
  </si>
  <si>
    <t>Laura Vazquez</t>
  </si>
  <si>
    <t>Samuel Donovan</t>
  </si>
  <si>
    <t>E1394</t>
  </si>
  <si>
    <t>Ernest Wright</t>
  </si>
  <si>
    <t>Christopher Cardenas</t>
  </si>
  <si>
    <t>E1395</t>
  </si>
  <si>
    <t>Dylan Sutton</t>
  </si>
  <si>
    <t>Christopher Phillips</t>
  </si>
  <si>
    <t>E1396</t>
  </si>
  <si>
    <t>Janice Berry</t>
  </si>
  <si>
    <t>Samuel Nicholson</t>
  </si>
  <si>
    <t>E1397</t>
  </si>
  <si>
    <t>Samantha Lloyd</t>
  </si>
  <si>
    <t>Carla Nielsen</t>
  </si>
  <si>
    <t>E1398</t>
  </si>
  <si>
    <t>Erica Smith</t>
  </si>
  <si>
    <t>E1399</t>
  </si>
  <si>
    <t>Isaac Parks</t>
  </si>
  <si>
    <t>Caleb Mccormick</t>
  </si>
  <si>
    <t>E1400</t>
  </si>
  <si>
    <t>Robert Johnson</t>
  </si>
  <si>
    <t>Tamara Morris</t>
  </si>
  <si>
    <t>E1401</t>
  </si>
  <si>
    <t>Leah Wilson</t>
  </si>
  <si>
    <t>Dr. Shawn Howell</t>
  </si>
  <si>
    <t>E1402</t>
  </si>
  <si>
    <t>Joseph Patterson</t>
  </si>
  <si>
    <t>Paul Silva</t>
  </si>
  <si>
    <t>E1403</t>
  </si>
  <si>
    <t>Lindsay Walton</t>
  </si>
  <si>
    <t>Brittany Johnson</t>
  </si>
  <si>
    <t>E1404</t>
  </si>
  <si>
    <t>Christopher Calhoun</t>
  </si>
  <si>
    <t>Christopher Peterson</t>
  </si>
  <si>
    <t>E1405</t>
  </si>
  <si>
    <t>Joshua Wright</t>
  </si>
  <si>
    <t>Christopher Davis</t>
  </si>
  <si>
    <t>E1406</t>
  </si>
  <si>
    <t>Bill Skinner</t>
  </si>
  <si>
    <t>Arthur Gross</t>
  </si>
  <si>
    <t>E1407</t>
  </si>
  <si>
    <t>Ashley Hudson</t>
  </si>
  <si>
    <t>E1408</t>
  </si>
  <si>
    <t>Eduardo Higgins</t>
  </si>
  <si>
    <t>Breanna Williams</t>
  </si>
  <si>
    <t>E1409</t>
  </si>
  <si>
    <t>Dylan Prince</t>
  </si>
  <si>
    <t>Valerie Montoya</t>
  </si>
  <si>
    <t>E1410</t>
  </si>
  <si>
    <t>Dwayne Tapia</t>
  </si>
  <si>
    <t>Taylor Acevedo</t>
  </si>
  <si>
    <t>E1411</t>
  </si>
  <si>
    <t>Christopher Bennett</t>
  </si>
  <si>
    <t>Noah Hill</t>
  </si>
  <si>
    <t>E1412</t>
  </si>
  <si>
    <t>Patricia Cowan</t>
  </si>
  <si>
    <t>Kevin Levy</t>
  </si>
  <si>
    <t>E1413</t>
  </si>
  <si>
    <t>Ryan Lawrence</t>
  </si>
  <si>
    <t>Curtis Chandler</t>
  </si>
  <si>
    <t>E1414</t>
  </si>
  <si>
    <t>Robert Hoffman</t>
  </si>
  <si>
    <t>E1415</t>
  </si>
  <si>
    <t>Samantha Graham</t>
  </si>
  <si>
    <t>Ryan Gonzalez</t>
  </si>
  <si>
    <t>E1416</t>
  </si>
  <si>
    <t>Lori Turner</t>
  </si>
  <si>
    <t>Theresa Morgan</t>
  </si>
  <si>
    <t>E1417</t>
  </si>
  <si>
    <t>Elizabeth Alvarado</t>
  </si>
  <si>
    <t>David Bautista</t>
  </si>
  <si>
    <t>E1418</t>
  </si>
  <si>
    <t>Nicholas Fry</t>
  </si>
  <si>
    <t>Tina Horton</t>
  </si>
  <si>
    <t>E1419</t>
  </si>
  <si>
    <t>Linda Mitchell</t>
  </si>
  <si>
    <t>Faith Johnson</t>
  </si>
  <si>
    <t>E1420</t>
  </si>
  <si>
    <t>Lindsey Carroll</t>
  </si>
  <si>
    <t>Alicia Austin</t>
  </si>
  <si>
    <t>E1421</t>
  </si>
  <si>
    <t>Dana Butler</t>
  </si>
  <si>
    <t>Kristina Sosa</t>
  </si>
  <si>
    <t>E1422</t>
  </si>
  <si>
    <t>Leah Brown</t>
  </si>
  <si>
    <t>Tammy Reed</t>
  </si>
  <si>
    <t>E1423</t>
  </si>
  <si>
    <t>Travis Reed</t>
  </si>
  <si>
    <t>Anthony Flores</t>
  </si>
  <si>
    <t>E1424</t>
  </si>
  <si>
    <t>Christopher Lee</t>
  </si>
  <si>
    <t>Charles Morales</t>
  </si>
  <si>
    <t>E1425</t>
  </si>
  <si>
    <t>Melissa Aguilar</t>
  </si>
  <si>
    <t>William Medina</t>
  </si>
  <si>
    <t>E1426</t>
  </si>
  <si>
    <t>Gina Strickland</t>
  </si>
  <si>
    <t>Nichole Good</t>
  </si>
  <si>
    <t>E1427</t>
  </si>
  <si>
    <t>Paige Spencer</t>
  </si>
  <si>
    <t>William Decker</t>
  </si>
  <si>
    <t>E1428</t>
  </si>
  <si>
    <t>Kristin Mccoy</t>
  </si>
  <si>
    <t>Maurice Howell</t>
  </si>
  <si>
    <t>E1429</t>
  </si>
  <si>
    <t>Olivia Davenport</t>
  </si>
  <si>
    <t>Edward Stewart</t>
  </si>
  <si>
    <t>E1430</t>
  </si>
  <si>
    <t>Ryan Herman</t>
  </si>
  <si>
    <t>Donald Kelly</t>
  </si>
  <si>
    <t>E1431</t>
  </si>
  <si>
    <t>Connor Turner</t>
  </si>
  <si>
    <t>Kathryn Salazar</t>
  </si>
  <si>
    <t>E1432</t>
  </si>
  <si>
    <t>Andrew Martinez</t>
  </si>
  <si>
    <t>Jose Parks</t>
  </si>
  <si>
    <t>E1433</t>
  </si>
  <si>
    <t>Christopher Mitchell</t>
  </si>
  <si>
    <t>Jason Fox</t>
  </si>
  <si>
    <t>E1434</t>
  </si>
  <si>
    <t>Jacob Malone</t>
  </si>
  <si>
    <t>David Thomas</t>
  </si>
  <si>
    <t>E1435</t>
  </si>
  <si>
    <t>Taylor Compton</t>
  </si>
  <si>
    <t>Francisco Middleton</t>
  </si>
  <si>
    <t>E1436</t>
  </si>
  <si>
    <t>Brittney Barnett</t>
  </si>
  <si>
    <t>Kristi Patrick</t>
  </si>
  <si>
    <t>E1437</t>
  </si>
  <si>
    <t>Amanda George</t>
  </si>
  <si>
    <t>Sabrina Taylor</t>
  </si>
  <si>
    <t>E1438</t>
  </si>
  <si>
    <t>James Davis</t>
  </si>
  <si>
    <t>Thomas Smith</t>
  </si>
  <si>
    <t>E1439</t>
  </si>
  <si>
    <t>John Sanford</t>
  </si>
  <si>
    <t>Melanie Smith</t>
  </si>
  <si>
    <t>E1440</t>
  </si>
  <si>
    <t>Susan Mathis</t>
  </si>
  <si>
    <t>Angela Sanford</t>
  </si>
  <si>
    <t>E1441</t>
  </si>
  <si>
    <t>Jackie Ward</t>
  </si>
  <si>
    <t>Victoria Santana</t>
  </si>
  <si>
    <t>E1442</t>
  </si>
  <si>
    <t>Steven Young</t>
  </si>
  <si>
    <t>Nancy Rose</t>
  </si>
  <si>
    <t>E1443</t>
  </si>
  <si>
    <t>Cody Gomez</t>
  </si>
  <si>
    <t>Kirsten Wilcox</t>
  </si>
  <si>
    <t>E1444</t>
  </si>
  <si>
    <t>Charles Gonzalez</t>
  </si>
  <si>
    <t>David Archer</t>
  </si>
  <si>
    <t>E1445</t>
  </si>
  <si>
    <t>Roberto Ward</t>
  </si>
  <si>
    <t>Rebekah Nichols</t>
  </si>
  <si>
    <t>E1446</t>
  </si>
  <si>
    <t>Katherine Pena</t>
  </si>
  <si>
    <t>Melissa Morrison</t>
  </si>
  <si>
    <t>E1447</t>
  </si>
  <si>
    <t>Barbara Haas</t>
  </si>
  <si>
    <t>Xavier Reyes</t>
  </si>
  <si>
    <t>E1448</t>
  </si>
  <si>
    <t>Tara Wood</t>
  </si>
  <si>
    <t>Shannon Wood</t>
  </si>
  <si>
    <t>E1449</t>
  </si>
  <si>
    <t>Brianna Gordon</t>
  </si>
  <si>
    <t>Joanna Castro</t>
  </si>
  <si>
    <t>E1450</t>
  </si>
  <si>
    <t>Megan Garza</t>
  </si>
  <si>
    <t>Ryan Adams</t>
  </si>
  <si>
    <t>E1451</t>
  </si>
  <si>
    <t>Robert Gilmore</t>
  </si>
  <si>
    <t>Marcus Carter</t>
  </si>
  <si>
    <t>E1452</t>
  </si>
  <si>
    <t>Maria Juarez</t>
  </si>
  <si>
    <t>Madeline Hill</t>
  </si>
  <si>
    <t>E1453</t>
  </si>
  <si>
    <t>Matthew Moody</t>
  </si>
  <si>
    <t>Kathy Moreno</t>
  </si>
  <si>
    <t>E1454</t>
  </si>
  <si>
    <t>Dean Bishop</t>
  </si>
  <si>
    <t>Melissa Mays</t>
  </si>
  <si>
    <t>E1455</t>
  </si>
  <si>
    <t>Paula Lawrence</t>
  </si>
  <si>
    <t>Sergio Elliott</t>
  </si>
  <si>
    <t>E1456</t>
  </si>
  <si>
    <t>Laura Kaufman</t>
  </si>
  <si>
    <t>Tracey Martinez</t>
  </si>
  <si>
    <t>E1457</t>
  </si>
  <si>
    <t>Anthony Allison</t>
  </si>
  <si>
    <t>David Lewis</t>
  </si>
  <si>
    <t>E1458</t>
  </si>
  <si>
    <t>Amanda Powers</t>
  </si>
  <si>
    <t>Mallory Roberson</t>
  </si>
  <si>
    <t>E1459</t>
  </si>
  <si>
    <t>Fred Thomas</t>
  </si>
  <si>
    <t>Nicholas Lynch</t>
  </si>
  <si>
    <t>E1460</t>
  </si>
  <si>
    <t>Donna Nguyen</t>
  </si>
  <si>
    <t>Charles Hart</t>
  </si>
  <si>
    <t>E1461</t>
  </si>
  <si>
    <t>Michael Mason</t>
  </si>
  <si>
    <t>Austin Smith</t>
  </si>
  <si>
    <t>E1462</t>
  </si>
  <si>
    <t>Aaron Andrade</t>
  </si>
  <si>
    <t>Jillian Santos</t>
  </si>
  <si>
    <t>E1463</t>
  </si>
  <si>
    <t>Kayla Campbell</t>
  </si>
  <si>
    <t>David Ford</t>
  </si>
  <si>
    <t>E1464</t>
  </si>
  <si>
    <t>John Williams</t>
  </si>
  <si>
    <t>Michael Lewis</t>
  </si>
  <si>
    <t>E1465</t>
  </si>
  <si>
    <t>Dana Lynch</t>
  </si>
  <si>
    <t>Pamela Larson</t>
  </si>
  <si>
    <t>E1466</t>
  </si>
  <si>
    <t>Stephanie Santiago</t>
  </si>
  <si>
    <t>Robert Carter</t>
  </si>
  <si>
    <t>E1467</t>
  </si>
  <si>
    <t>Kimberly Gray</t>
  </si>
  <si>
    <t>Stephanie Turner</t>
  </si>
  <si>
    <t>E1468</t>
  </si>
  <si>
    <t>Russell Henson</t>
  </si>
  <si>
    <t>David Parsons</t>
  </si>
  <si>
    <t>E1469</t>
  </si>
  <si>
    <t>Laura Phillips</t>
  </si>
  <si>
    <t>Michelle Smith</t>
  </si>
  <si>
    <t>E1470</t>
  </si>
  <si>
    <t>Beth Finley</t>
  </si>
  <si>
    <t>E1471</t>
  </si>
  <si>
    <t>Dawn Wright</t>
  </si>
  <si>
    <t>Terry Burton</t>
  </si>
  <si>
    <t>E1472</t>
  </si>
  <si>
    <t>Christopher Cunningham</t>
  </si>
  <si>
    <t>Kelly Sanchez</t>
  </si>
  <si>
    <t>E1473</t>
  </si>
  <si>
    <t>Alison Mendoza</t>
  </si>
  <si>
    <t>Jennifer Allen</t>
  </si>
  <si>
    <t>E1474</t>
  </si>
  <si>
    <t>Allison Torres</t>
  </si>
  <si>
    <t>Peter Hayden</t>
  </si>
  <si>
    <t>E1475</t>
  </si>
  <si>
    <t>Juan Boone</t>
  </si>
  <si>
    <t>Connor Smith</t>
  </si>
  <si>
    <t>E1476</t>
  </si>
  <si>
    <t>Charles Melton</t>
  </si>
  <si>
    <t>E1477</t>
  </si>
  <si>
    <t>Paul Weaver</t>
  </si>
  <si>
    <t>Kevin Mason</t>
  </si>
  <si>
    <t>E1478</t>
  </si>
  <si>
    <t>Erin Edwards</t>
  </si>
  <si>
    <t>Gregory Werner PhD</t>
  </si>
  <si>
    <t>E1479</t>
  </si>
  <si>
    <t>David Howell</t>
  </si>
  <si>
    <t>Patricia Jacobs</t>
  </si>
  <si>
    <t>E1480</t>
  </si>
  <si>
    <t>Linda Lee</t>
  </si>
  <si>
    <t>John Mcdaniel</t>
  </si>
  <si>
    <t>E1481</t>
  </si>
  <si>
    <t>Jose Hudson</t>
  </si>
  <si>
    <t>Victoria Jackson</t>
  </si>
  <si>
    <t>E1482</t>
  </si>
  <si>
    <t>Bryan Garrison</t>
  </si>
  <si>
    <t>Jonathan Allen</t>
  </si>
  <si>
    <t>E1483</t>
  </si>
  <si>
    <t>Chloe Davis</t>
  </si>
  <si>
    <t>Kevin Joseph</t>
  </si>
  <si>
    <t>E1484</t>
  </si>
  <si>
    <t>Jeremy Wood</t>
  </si>
  <si>
    <t>Christopher Anderson</t>
  </si>
  <si>
    <t>E1485</t>
  </si>
  <si>
    <t>Nicholas Martinez</t>
  </si>
  <si>
    <t>Clayton Walker</t>
  </si>
  <si>
    <t>E1486</t>
  </si>
  <si>
    <t>Tina Hale</t>
  </si>
  <si>
    <t>Terri Holland</t>
  </si>
  <si>
    <t>E1487</t>
  </si>
  <si>
    <t>Andrew Horton</t>
  </si>
  <si>
    <t>Audrey Davis</t>
  </si>
  <si>
    <t>E1488</t>
  </si>
  <si>
    <t>Kristen Garcia</t>
  </si>
  <si>
    <t>Edward Vargas</t>
  </si>
  <si>
    <t>E1489</t>
  </si>
  <si>
    <t>Jim Cherry</t>
  </si>
  <si>
    <t>Paul Krause</t>
  </si>
  <si>
    <t>E1490</t>
  </si>
  <si>
    <t>William Gray</t>
  </si>
  <si>
    <t>Caitlin Castillo</t>
  </si>
  <si>
    <t>E1491</t>
  </si>
  <si>
    <t>Henry Donaldson</t>
  </si>
  <si>
    <t>David Chapman</t>
  </si>
  <si>
    <t>E1492</t>
  </si>
  <si>
    <t>Michael Massey</t>
  </si>
  <si>
    <t>Richard Cole</t>
  </si>
  <si>
    <t>E1493</t>
  </si>
  <si>
    <t>Connie Daniel</t>
  </si>
  <si>
    <t>Sarah Jones</t>
  </si>
  <si>
    <t>E1494</t>
  </si>
  <si>
    <t>Teresa Walters</t>
  </si>
  <si>
    <t>Mitchell White</t>
  </si>
  <si>
    <t>E1495</t>
  </si>
  <si>
    <t>Aaron Lynn</t>
  </si>
  <si>
    <t>Megan King</t>
  </si>
  <si>
    <t>E1496</t>
  </si>
  <si>
    <t>Marcus Floyd</t>
  </si>
  <si>
    <t>Sherri Thomas</t>
  </si>
  <si>
    <t>E1497</t>
  </si>
  <si>
    <t>Susan Brown</t>
  </si>
  <si>
    <t>Allison Hall</t>
  </si>
  <si>
    <t>E1498</t>
  </si>
  <si>
    <t>Douglas Mcgee</t>
  </si>
  <si>
    <t>Destiny Kirk</t>
  </si>
  <si>
    <t>E1499</t>
  </si>
  <si>
    <t>Audrey Hill</t>
  </si>
  <si>
    <t>Natasha Lloyd</t>
  </si>
  <si>
    <t>E1500</t>
  </si>
  <si>
    <t>Amy Tran</t>
  </si>
  <si>
    <t>James Thomas</t>
  </si>
  <si>
    <t>E1501</t>
  </si>
  <si>
    <t>Jennifer Drake</t>
  </si>
  <si>
    <t>Evan Hall</t>
  </si>
  <si>
    <t>E1502</t>
  </si>
  <si>
    <t>Eric Martinez</t>
  </si>
  <si>
    <t>Ashley Contreras</t>
  </si>
  <si>
    <t>E1503</t>
  </si>
  <si>
    <t>Denise Wilson</t>
  </si>
  <si>
    <t>Jennifer Martin</t>
  </si>
  <si>
    <t>E1504</t>
  </si>
  <si>
    <t>Gabrielle Ford</t>
  </si>
  <si>
    <t>E1505</t>
  </si>
  <si>
    <t>Sarah Coleman</t>
  </si>
  <si>
    <t>Matthew Kerr</t>
  </si>
  <si>
    <t>E1506</t>
  </si>
  <si>
    <t>Steven James</t>
  </si>
  <si>
    <t>Stacy Perry</t>
  </si>
  <si>
    <t>E1507</t>
  </si>
  <si>
    <t>Heather Fischer</t>
  </si>
  <si>
    <t>James Deleon</t>
  </si>
  <si>
    <t>E1508</t>
  </si>
  <si>
    <t>Rachel King</t>
  </si>
  <si>
    <t>Monique Chen</t>
  </si>
  <si>
    <t>E1509</t>
  </si>
  <si>
    <t>Kylie Mendoza</t>
  </si>
  <si>
    <t>Leslie Hoffman</t>
  </si>
  <si>
    <t>E1510</t>
  </si>
  <si>
    <t>Danny Rhodes</t>
  </si>
  <si>
    <t>Robert Sparks</t>
  </si>
  <si>
    <t>E1511</t>
  </si>
  <si>
    <t>Michael Gonzalez</t>
  </si>
  <si>
    <t>Bruce Wells MD</t>
  </si>
  <si>
    <t>E1512</t>
  </si>
  <si>
    <t>Tracy Martinez</t>
  </si>
  <si>
    <t>John Rose</t>
  </si>
  <si>
    <t>E1513</t>
  </si>
  <si>
    <t>Jesus Hall</t>
  </si>
  <si>
    <t>Dominique Miller</t>
  </si>
  <si>
    <t>E1514</t>
  </si>
  <si>
    <t>Amanda Conner</t>
  </si>
  <si>
    <t>Rebecca Mullins</t>
  </si>
  <si>
    <t>E1515</t>
  </si>
  <si>
    <t>Robert Mercer</t>
  </si>
  <si>
    <t>Jay Moore</t>
  </si>
  <si>
    <t>E1516</t>
  </si>
  <si>
    <t>Kimberly Foster</t>
  </si>
  <si>
    <t>Olivia Rice</t>
  </si>
  <si>
    <t>E1517</t>
  </si>
  <si>
    <t>Anna Gonzalez</t>
  </si>
  <si>
    <t>Gabriel Martinez</t>
  </si>
  <si>
    <t>E1518</t>
  </si>
  <si>
    <t>Karla Bowman</t>
  </si>
  <si>
    <t>Samuel Martinez</t>
  </si>
  <si>
    <t>E1519</t>
  </si>
  <si>
    <t>Christopher Liu</t>
  </si>
  <si>
    <t>Justin Lopez</t>
  </si>
  <si>
    <t>E1520</t>
  </si>
  <si>
    <t>Joshua Baker</t>
  </si>
  <si>
    <t>Cheryl Soto</t>
  </si>
  <si>
    <t>E1521</t>
  </si>
  <si>
    <t>Kristine Davenport</t>
  </si>
  <si>
    <t>Michael Rivera MD</t>
  </si>
  <si>
    <t>E1522</t>
  </si>
  <si>
    <t>Samantha Barber</t>
  </si>
  <si>
    <t>Tyler Beck</t>
  </si>
  <si>
    <t>E1523</t>
  </si>
  <si>
    <t>Jared Lee</t>
  </si>
  <si>
    <t>Chad Davis</t>
  </si>
  <si>
    <t>E1524</t>
  </si>
  <si>
    <t>Joshua Woods</t>
  </si>
  <si>
    <t>Brian Guzman</t>
  </si>
  <si>
    <t>E1525</t>
  </si>
  <si>
    <t>Bianca Carpenter</t>
  </si>
  <si>
    <t>Thomas James</t>
  </si>
  <si>
    <t>E1526</t>
  </si>
  <si>
    <t>Cynthia Bright</t>
  </si>
  <si>
    <t>Samuel Wilson</t>
  </si>
  <si>
    <t>E1527</t>
  </si>
  <si>
    <t>Dr. Benjamin Chandler</t>
  </si>
  <si>
    <t>Michael Clarke</t>
  </si>
  <si>
    <t>E1528</t>
  </si>
  <si>
    <t>Ashley Ferguson</t>
  </si>
  <si>
    <t>Christopher Atkins</t>
  </si>
  <si>
    <t>E1529</t>
  </si>
  <si>
    <t>Hannah Thomas</t>
  </si>
  <si>
    <t>Anthony Nguyen</t>
  </si>
  <si>
    <t>E1530</t>
  </si>
  <si>
    <t>Mrs. Mikayla Hughes</t>
  </si>
  <si>
    <t>Vanessa Kane</t>
  </si>
  <si>
    <t>E1531</t>
  </si>
  <si>
    <t>James Richards DDS</t>
  </si>
  <si>
    <t>Christopher Smith</t>
  </si>
  <si>
    <t>E1532</t>
  </si>
  <si>
    <t>Andrew Franco</t>
  </si>
  <si>
    <t>Devin Williams</t>
  </si>
  <si>
    <t>E1533</t>
  </si>
  <si>
    <t>Rebecca Smith</t>
  </si>
  <si>
    <t>Kimberly Crawford</t>
  </si>
  <si>
    <t>E1534</t>
  </si>
  <si>
    <t>Michele Alexander</t>
  </si>
  <si>
    <t>Lindsey Hamilton</t>
  </si>
  <si>
    <t>E1535</t>
  </si>
  <si>
    <t>Benjamin Carter</t>
  </si>
  <si>
    <t>Holly Gomez</t>
  </si>
  <si>
    <t>E1536</t>
  </si>
  <si>
    <t>Jenna Santiago</t>
  </si>
  <si>
    <t>Adrian Rose</t>
  </si>
  <si>
    <t>E1537</t>
  </si>
  <si>
    <t>Emily Russell</t>
  </si>
  <si>
    <t>Krista Brooks</t>
  </si>
  <si>
    <t>E1538</t>
  </si>
  <si>
    <t>Mark Rodgers</t>
  </si>
  <si>
    <t>Gary Brandt</t>
  </si>
  <si>
    <t>E1539</t>
  </si>
  <si>
    <t>Courtney Green</t>
  </si>
  <si>
    <t>Lisa Ross</t>
  </si>
  <si>
    <t>E1540</t>
  </si>
  <si>
    <t>Shelby Hale</t>
  </si>
  <si>
    <t>Jeremy Wall</t>
  </si>
  <si>
    <t>E1541</t>
  </si>
  <si>
    <t>Christopher Moss</t>
  </si>
  <si>
    <t>Bryan Sanders</t>
  </si>
  <si>
    <t>E1542</t>
  </si>
  <si>
    <t>Cynthia Howell</t>
  </si>
  <si>
    <t>Jessica Brooks</t>
  </si>
  <si>
    <t>E1543</t>
  </si>
  <si>
    <t>Olivia Hughes</t>
  </si>
  <si>
    <t>Jill Cole</t>
  </si>
  <si>
    <t>E1544</t>
  </si>
  <si>
    <t>Tamara Davis</t>
  </si>
  <si>
    <t>Timothy Zimmerman</t>
  </si>
  <si>
    <t>E1545</t>
  </si>
  <si>
    <t>Zachary Cox</t>
  </si>
  <si>
    <t>Earl Martinez</t>
  </si>
  <si>
    <t>E1546</t>
  </si>
  <si>
    <t>Amy Harrington</t>
  </si>
  <si>
    <t>Michael Wagner</t>
  </si>
  <si>
    <t>E1547</t>
  </si>
  <si>
    <t>Scott Mcgrath</t>
  </si>
  <si>
    <t>David Pitts</t>
  </si>
  <si>
    <t>E1548</t>
  </si>
  <si>
    <t>Shawna Singh</t>
  </si>
  <si>
    <t>Rachel Garner</t>
  </si>
  <si>
    <t>E1549</t>
  </si>
  <si>
    <t>Charles Stewart</t>
  </si>
  <si>
    <t>Michael Hodges</t>
  </si>
  <si>
    <t>E1550</t>
  </si>
  <si>
    <t>Annette Young</t>
  </si>
  <si>
    <t>Michelle Woodward</t>
  </si>
  <si>
    <t>E1551</t>
  </si>
  <si>
    <t>Lisa Thompson</t>
  </si>
  <si>
    <t>Christine Sullivan</t>
  </si>
  <si>
    <t>E1552</t>
  </si>
  <si>
    <t>Joshua Fox</t>
  </si>
  <si>
    <t>Heather Turner</t>
  </si>
  <si>
    <t>E1553</t>
  </si>
  <si>
    <t>Danielle Case</t>
  </si>
  <si>
    <t>Jill Miller</t>
  </si>
  <si>
    <t>E1554</t>
  </si>
  <si>
    <t>Vickie Carr</t>
  </si>
  <si>
    <t>Timothy Williams</t>
  </si>
  <si>
    <t>E1555</t>
  </si>
  <si>
    <t>Lauren Adams</t>
  </si>
  <si>
    <t>Julie House</t>
  </si>
  <si>
    <t>E1556</t>
  </si>
  <si>
    <t>Dr. Matthew Robertson</t>
  </si>
  <si>
    <t>Bryce Gibbs</t>
  </si>
  <si>
    <t>E1557</t>
  </si>
  <si>
    <t>Ariel Miller</t>
  </si>
  <si>
    <t>Brian Henry</t>
  </si>
  <si>
    <t>E1558</t>
  </si>
  <si>
    <t>Cody Bonilla</t>
  </si>
  <si>
    <t>Jeffery Smith</t>
  </si>
  <si>
    <t>E1559</t>
  </si>
  <si>
    <t>Todd Smith</t>
  </si>
  <si>
    <t>Steven Anderson</t>
  </si>
  <si>
    <t>E1560</t>
  </si>
  <si>
    <t>Yvette Hardin</t>
  </si>
  <si>
    <t>Jessica Dominguez</t>
  </si>
  <si>
    <t>E1561</t>
  </si>
  <si>
    <t>Ashlee White</t>
  </si>
  <si>
    <t>Heather Travis</t>
  </si>
  <si>
    <t>E1562</t>
  </si>
  <si>
    <t>Christian Watson</t>
  </si>
  <si>
    <t>Melissa Clark</t>
  </si>
  <si>
    <t>E1563</t>
  </si>
  <si>
    <t>Amanda Barnett</t>
  </si>
  <si>
    <t>Micheal Holmes</t>
  </si>
  <si>
    <t>E1564</t>
  </si>
  <si>
    <t>Robert Wilson</t>
  </si>
  <si>
    <t>Debra Marshall</t>
  </si>
  <si>
    <t>E1565</t>
  </si>
  <si>
    <t>Todd Woodward</t>
  </si>
  <si>
    <t>E1566</t>
  </si>
  <si>
    <t>Logan Jones</t>
  </si>
  <si>
    <t>Danielle Meyers</t>
  </si>
  <si>
    <t>E1567</t>
  </si>
  <si>
    <t>Rachel Hampton</t>
  </si>
  <si>
    <t>Matthew Hart</t>
  </si>
  <si>
    <t>E1568</t>
  </si>
  <si>
    <t>Richard Hancock</t>
  </si>
  <si>
    <t>Anthony Garner</t>
  </si>
  <si>
    <t>E1569</t>
  </si>
  <si>
    <t>Michelle Swanson</t>
  </si>
  <si>
    <t>Randy Smith</t>
  </si>
  <si>
    <t>E1570</t>
  </si>
  <si>
    <t>Marcus Ramirez</t>
  </si>
  <si>
    <t>Amanda Wood</t>
  </si>
  <si>
    <t>E1571</t>
  </si>
  <si>
    <t>Gregory Meyer</t>
  </si>
  <si>
    <t>Robert Curry</t>
  </si>
  <si>
    <t>E1572</t>
  </si>
  <si>
    <t>Elizabeth Jackson</t>
  </si>
  <si>
    <t>Julie Harris</t>
  </si>
  <si>
    <t>E1573</t>
  </si>
  <si>
    <t>Nicholas Baker</t>
  </si>
  <si>
    <t>Ralph Ramos</t>
  </si>
  <si>
    <t>E1574</t>
  </si>
  <si>
    <t>Benjamin Cross</t>
  </si>
  <si>
    <t>Michele Robinson</t>
  </si>
  <si>
    <t>E1575</t>
  </si>
  <si>
    <t>Paul Carter</t>
  </si>
  <si>
    <t>Kristina George</t>
  </si>
  <si>
    <t>E1576</t>
  </si>
  <si>
    <t>Sandra Smith</t>
  </si>
  <si>
    <t>E1577</t>
  </si>
  <si>
    <t>Lindsay Gonzales</t>
  </si>
  <si>
    <t>Mrs. Elizabeth Webster</t>
  </si>
  <si>
    <t>E1578</t>
  </si>
  <si>
    <t>Ashley Tran</t>
  </si>
  <si>
    <t>Nicholas King</t>
  </si>
  <si>
    <t>E1579</t>
  </si>
  <si>
    <t>Kathleen Brown</t>
  </si>
  <si>
    <t>Gary Hardy</t>
  </si>
  <si>
    <t>E1580</t>
  </si>
  <si>
    <t>Beverly Williams</t>
  </si>
  <si>
    <t>Sharon Smith</t>
  </si>
  <si>
    <t>E1581</t>
  </si>
  <si>
    <t>Monica Williams</t>
  </si>
  <si>
    <t>Linda Crawford</t>
  </si>
  <si>
    <t>E1582</t>
  </si>
  <si>
    <t>Christine Martin</t>
  </si>
  <si>
    <t>Michelle Brown</t>
  </si>
  <si>
    <t>E1583</t>
  </si>
  <si>
    <t>Cynthia Williams</t>
  </si>
  <si>
    <t>Jason Johns</t>
  </si>
  <si>
    <t>E1584</t>
  </si>
  <si>
    <t>Deanna Owens</t>
  </si>
  <si>
    <t>E1585</t>
  </si>
  <si>
    <t>Dustin Elliott</t>
  </si>
  <si>
    <t>Joan Lloyd DDS</t>
  </si>
  <si>
    <t>E1586</t>
  </si>
  <si>
    <t>Michael Williams</t>
  </si>
  <si>
    <t>Jeremiah Peterson</t>
  </si>
  <si>
    <t>E1587</t>
  </si>
  <si>
    <t>Joel Dawson</t>
  </si>
  <si>
    <t>Nicole Morrison</t>
  </si>
  <si>
    <t>E1588</t>
  </si>
  <si>
    <t>Victoria Murphy</t>
  </si>
  <si>
    <t>Ann Noble</t>
  </si>
  <si>
    <t>E1589</t>
  </si>
  <si>
    <t>Tyler Mcpherson</t>
  </si>
  <si>
    <t>Michael Cline</t>
  </si>
  <si>
    <t>E1590</t>
  </si>
  <si>
    <t>Megan Robinson PhD</t>
  </si>
  <si>
    <t>Erin Spence</t>
  </si>
  <si>
    <t>E1591</t>
  </si>
  <si>
    <t>Emily Lindsey</t>
  </si>
  <si>
    <t>Krystal Green</t>
  </si>
  <si>
    <t>E1592</t>
  </si>
  <si>
    <t>Rebecca Reid</t>
  </si>
  <si>
    <t>Ronald Chavez</t>
  </si>
  <si>
    <t>E1593</t>
  </si>
  <si>
    <t>Jacob Hamilton</t>
  </si>
  <si>
    <t>Debra Andrews MD</t>
  </si>
  <si>
    <t>E1594</t>
  </si>
  <si>
    <t>Marissa Brooks</t>
  </si>
  <si>
    <t>Jennifer Bradshaw</t>
  </si>
  <si>
    <t>E1595</t>
  </si>
  <si>
    <t>Michael Barnett</t>
  </si>
  <si>
    <t>Brandon Clark</t>
  </si>
  <si>
    <t>E1596</t>
  </si>
  <si>
    <t>Christopher Stafford</t>
  </si>
  <si>
    <t>Aaron Garcia</t>
  </si>
  <si>
    <t>E1597</t>
  </si>
  <si>
    <t>Ashley Ayala</t>
  </si>
  <si>
    <t>Stuart Williams</t>
  </si>
  <si>
    <t>E1598</t>
  </si>
  <si>
    <t>Mark Kelley</t>
  </si>
  <si>
    <t>Theresa Johnson</t>
  </si>
  <si>
    <t>E1599</t>
  </si>
  <si>
    <t>Michael Miller</t>
  </si>
  <si>
    <t>Christina Scott</t>
  </si>
  <si>
    <t>E1600</t>
  </si>
  <si>
    <t>Jennifer Crawford</t>
  </si>
  <si>
    <t>Jason Ross</t>
  </si>
  <si>
    <t>E1601</t>
  </si>
  <si>
    <t>James Butler</t>
  </si>
  <si>
    <t>Donald Wise</t>
  </si>
  <si>
    <t>E1602</t>
  </si>
  <si>
    <t>Melissa Johns</t>
  </si>
  <si>
    <t>Mrs. Amy Harris</t>
  </si>
  <si>
    <t>E1603</t>
  </si>
  <si>
    <t>Gregory Johnson</t>
  </si>
  <si>
    <t>Micheal Newman</t>
  </si>
  <si>
    <t>E1604</t>
  </si>
  <si>
    <t>Lindsay Taylor</t>
  </si>
  <si>
    <t>E1605</t>
  </si>
  <si>
    <t>Miss Tamara Kim</t>
  </si>
  <si>
    <t>Lynn Davis</t>
  </si>
  <si>
    <t>E1606</t>
  </si>
  <si>
    <t>Michael Cole</t>
  </si>
  <si>
    <t>Diane Graves</t>
  </si>
  <si>
    <t>E1607</t>
  </si>
  <si>
    <t>Daniel Robertson</t>
  </si>
  <si>
    <t>Lisa Mays</t>
  </si>
  <si>
    <t>E1608</t>
  </si>
  <si>
    <t>Matthew Young</t>
  </si>
  <si>
    <t>Denise Maynard</t>
  </si>
  <si>
    <t>E1609</t>
  </si>
  <si>
    <t>Glenn Wright</t>
  </si>
  <si>
    <t>Rachel Ford</t>
  </si>
  <si>
    <t>E1610</t>
  </si>
  <si>
    <t>Julia Kelly</t>
  </si>
  <si>
    <t>Brad Phillips</t>
  </si>
  <si>
    <t>E1611</t>
  </si>
  <si>
    <t>Tammy Perry</t>
  </si>
  <si>
    <t>Joshua Lewis</t>
  </si>
  <si>
    <t>E1612</t>
  </si>
  <si>
    <t>Paul Clark</t>
  </si>
  <si>
    <t>James Rogers</t>
  </si>
  <si>
    <t>E1613</t>
  </si>
  <si>
    <t>Mr. Andres Flowers II</t>
  </si>
  <si>
    <t>Jessica Woods</t>
  </si>
  <si>
    <t>E1614</t>
  </si>
  <si>
    <t>Michelle Herring</t>
  </si>
  <si>
    <t>Jose English</t>
  </si>
  <si>
    <t>E1615</t>
  </si>
  <si>
    <t>Sheila Brown</t>
  </si>
  <si>
    <t>Tina Figueroa</t>
  </si>
  <si>
    <t>E1616</t>
  </si>
  <si>
    <t>Joseph Matthews</t>
  </si>
  <si>
    <t>Luis Fernandez</t>
  </si>
  <si>
    <t>E1617</t>
  </si>
  <si>
    <t>Laurie Henderson</t>
  </si>
  <si>
    <t>Benjamin Wagner</t>
  </si>
  <si>
    <t>E1618</t>
  </si>
  <si>
    <t>Beth Brown</t>
  </si>
  <si>
    <t>Michelle Huerta</t>
  </si>
  <si>
    <t>E1619</t>
  </si>
  <si>
    <t>Krista Rodriguez</t>
  </si>
  <si>
    <t>Travis Simmons</t>
  </si>
  <si>
    <t>E1620</t>
  </si>
  <si>
    <t>Michael Keith</t>
  </si>
  <si>
    <t>Destiny Williams DDS</t>
  </si>
  <si>
    <t>E1621</t>
  </si>
  <si>
    <t>Matthew Gonzalez</t>
  </si>
  <si>
    <t>Heather Gilbert</t>
  </si>
  <si>
    <t>E1622</t>
  </si>
  <si>
    <t>Alexis Salas</t>
  </si>
  <si>
    <t>Elizabeth Rice</t>
  </si>
  <si>
    <t>E1623</t>
  </si>
  <si>
    <t>David Butler DDS</t>
  </si>
  <si>
    <t>Anthony Smith</t>
  </si>
  <si>
    <t>E1624</t>
  </si>
  <si>
    <t>David Gonzalez</t>
  </si>
  <si>
    <t>John Nelson</t>
  </si>
  <si>
    <t>E1625</t>
  </si>
  <si>
    <t>Samantha Jones</t>
  </si>
  <si>
    <t>Ricardo Parker</t>
  </si>
  <si>
    <t>E1626</t>
  </si>
  <si>
    <t>Tyler Green</t>
  </si>
  <si>
    <t>Melissa Pollard</t>
  </si>
  <si>
    <t>E1627</t>
  </si>
  <si>
    <t>Sharon Kelly</t>
  </si>
  <si>
    <t>Bruce Marshall</t>
  </si>
  <si>
    <t>E1628</t>
  </si>
  <si>
    <t>Carlos Jimenez</t>
  </si>
  <si>
    <t>Ashley Holland</t>
  </si>
  <si>
    <t>E1629</t>
  </si>
  <si>
    <t>Hannah Lloyd</t>
  </si>
  <si>
    <t>Bridget Martin</t>
  </si>
  <si>
    <t>E1630</t>
  </si>
  <si>
    <t>Lisa Harris</t>
  </si>
  <si>
    <t>Harry Bernard</t>
  </si>
  <si>
    <t>E1631</t>
  </si>
  <si>
    <t>Cory Williams</t>
  </si>
  <si>
    <t>John Harris</t>
  </si>
  <si>
    <t>E1632</t>
  </si>
  <si>
    <t>Jaime Anderson</t>
  </si>
  <si>
    <t>Anthony Dixon</t>
  </si>
  <si>
    <t>E1633</t>
  </si>
  <si>
    <t>Lisa Wilson</t>
  </si>
  <si>
    <t>Jessica Ramirez</t>
  </si>
  <si>
    <t>E1634</t>
  </si>
  <si>
    <t>David Mcintosh</t>
  </si>
  <si>
    <t>Norman Coffey</t>
  </si>
  <si>
    <t>E1635</t>
  </si>
  <si>
    <t>Dr. Robert Davidson</t>
  </si>
  <si>
    <t>Susan White</t>
  </si>
  <si>
    <t>E1636</t>
  </si>
  <si>
    <t>Lisa Ramsey</t>
  </si>
  <si>
    <t>Donna Garrett</t>
  </si>
  <si>
    <t>E1637</t>
  </si>
  <si>
    <t>Cynthia Rice</t>
  </si>
  <si>
    <t>Patricia Garner</t>
  </si>
  <si>
    <t>E1638</t>
  </si>
  <si>
    <t>Paul Brown</t>
  </si>
  <si>
    <t>Matthew Hicks</t>
  </si>
  <si>
    <t>E1639</t>
  </si>
  <si>
    <t>Allison Beard</t>
  </si>
  <si>
    <t>Kenneth Johnson</t>
  </si>
  <si>
    <t>E1640</t>
  </si>
  <si>
    <t>Heather Carr</t>
  </si>
  <si>
    <t>Mariah Herrera</t>
  </si>
  <si>
    <t>E1641</t>
  </si>
  <si>
    <t>Cory Moore</t>
  </si>
  <si>
    <t>Penny Rogers</t>
  </si>
  <si>
    <t>E1642</t>
  </si>
  <si>
    <t>Paul Hughes</t>
  </si>
  <si>
    <t>Antonio Hopkins</t>
  </si>
  <si>
    <t>E1643</t>
  </si>
  <si>
    <t>Michael Pearson</t>
  </si>
  <si>
    <t>Jorge Compton</t>
  </si>
  <si>
    <t>E1644</t>
  </si>
  <si>
    <t>Shannon Ellis</t>
  </si>
  <si>
    <t>Nicholas Wall</t>
  </si>
  <si>
    <t>E1645</t>
  </si>
  <si>
    <t>Melanie Glover</t>
  </si>
  <si>
    <t>Matthew Rodriguez DDS</t>
  </si>
  <si>
    <t>E1646</t>
  </si>
  <si>
    <t>Karen Simmons</t>
  </si>
  <si>
    <t>Carla Morton</t>
  </si>
  <si>
    <t>E1647</t>
  </si>
  <si>
    <t>Christopher Clements</t>
  </si>
  <si>
    <t>Chad Rivers</t>
  </si>
  <si>
    <t>E1648</t>
  </si>
  <si>
    <t>Stephen Gutierrez</t>
  </si>
  <si>
    <t>David Hooper</t>
  </si>
  <si>
    <t>E1649</t>
  </si>
  <si>
    <t>Katherine Watson</t>
  </si>
  <si>
    <t>Suzanne Foley</t>
  </si>
  <si>
    <t>E1650</t>
  </si>
  <si>
    <t>David Brooks</t>
  </si>
  <si>
    <t>Jennifer Smith</t>
  </si>
  <si>
    <t>E1651</t>
  </si>
  <si>
    <t>Thomas Ortiz</t>
  </si>
  <si>
    <t>Phillip Lopez</t>
  </si>
  <si>
    <t>E1652</t>
  </si>
  <si>
    <t>Nicholas Smith</t>
  </si>
  <si>
    <t>Lisa Martinez</t>
  </si>
  <si>
    <t>E1653</t>
  </si>
  <si>
    <t>Kevin Wood</t>
  </si>
  <si>
    <t>E1654</t>
  </si>
  <si>
    <t>Jennifer Chang</t>
  </si>
  <si>
    <t>Jacob Garcia</t>
  </si>
  <si>
    <t>E1655</t>
  </si>
  <si>
    <t>Charles Buckley</t>
  </si>
  <si>
    <t>John Long</t>
  </si>
  <si>
    <t>E1656</t>
  </si>
  <si>
    <t>Phillip Mccarthy</t>
  </si>
  <si>
    <t>Megan Castro</t>
  </si>
  <si>
    <t>E1657</t>
  </si>
  <si>
    <t>Christopher Krueger</t>
  </si>
  <si>
    <t>Julie Walker</t>
  </si>
  <si>
    <t>E1658</t>
  </si>
  <si>
    <t>James Patterson</t>
  </si>
  <si>
    <t>Chris Barton</t>
  </si>
  <si>
    <t>E1659</t>
  </si>
  <si>
    <t>Allison Wilson</t>
  </si>
  <si>
    <t>Michael Thornton</t>
  </si>
  <si>
    <t>E1660</t>
  </si>
  <si>
    <t>Jonathan Jenkins</t>
  </si>
  <si>
    <t>Carlos Cox</t>
  </si>
  <si>
    <t>E1661</t>
  </si>
  <si>
    <t>Cynthia Ball</t>
  </si>
  <si>
    <t>Brandi Parsons</t>
  </si>
  <si>
    <t>E1662</t>
  </si>
  <si>
    <t>Christina Ellis</t>
  </si>
  <si>
    <t>Daniel Diaz</t>
  </si>
  <si>
    <t>E1663</t>
  </si>
  <si>
    <t>Peggy Mason</t>
  </si>
  <si>
    <t>Teresa Bell</t>
  </si>
  <si>
    <t>E1664</t>
  </si>
  <si>
    <t>Amanda Vasquez</t>
  </si>
  <si>
    <t>Samantha Chavez</t>
  </si>
  <si>
    <t>E1665</t>
  </si>
  <si>
    <t>Charles Anderson</t>
  </si>
  <si>
    <t>Cody Moreno</t>
  </si>
  <si>
    <t>E1666</t>
  </si>
  <si>
    <t>Alice Miller</t>
  </si>
  <si>
    <t>Nicholas Perry</t>
  </si>
  <si>
    <t>E1667</t>
  </si>
  <si>
    <t>Carol Atkinson</t>
  </si>
  <si>
    <t>Nicholas Watkins</t>
  </si>
  <si>
    <t>E1668</t>
  </si>
  <si>
    <t>Cody Johnson</t>
  </si>
  <si>
    <t>Brian Craig</t>
  </si>
  <si>
    <t>E1669</t>
  </si>
  <si>
    <t>Stephanie Morris</t>
  </si>
  <si>
    <t>Jerry Chambers</t>
  </si>
  <si>
    <t>E1670</t>
  </si>
  <si>
    <t>Calvin Lee</t>
  </si>
  <si>
    <t>Gregory Yates</t>
  </si>
  <si>
    <t>E1671</t>
  </si>
  <si>
    <t>Daniel Valencia</t>
  </si>
  <si>
    <t>Crystal Stewart</t>
  </si>
  <si>
    <t>E1672</t>
  </si>
  <si>
    <t>Louis Davis</t>
  </si>
  <si>
    <t>Melinda Perez</t>
  </si>
  <si>
    <t>E1673</t>
  </si>
  <si>
    <t>Anthony Reynolds</t>
  </si>
  <si>
    <t>Kimberly Zavala</t>
  </si>
  <si>
    <t>E1674</t>
  </si>
  <si>
    <t>Wanda Stewart</t>
  </si>
  <si>
    <t>Gary Arnold</t>
  </si>
  <si>
    <t>E1675</t>
  </si>
  <si>
    <t>Jeremy Clark</t>
  </si>
  <si>
    <t>Briana Williams</t>
  </si>
  <si>
    <t>E1676</t>
  </si>
  <si>
    <t>Mr. Seth Hamilton</t>
  </si>
  <si>
    <t>Shelby Arias</t>
  </si>
  <si>
    <t>E1677</t>
  </si>
  <si>
    <t>Louis Carpenter</t>
  </si>
  <si>
    <t>Michele Harrell</t>
  </si>
  <si>
    <t>E1678</t>
  </si>
  <si>
    <t>Jeffrey Price</t>
  </si>
  <si>
    <t>Terry Miranda</t>
  </si>
  <si>
    <t>E1679</t>
  </si>
  <si>
    <t>Shannon Miller</t>
  </si>
  <si>
    <t>Phillip Brown</t>
  </si>
  <si>
    <t>E1680</t>
  </si>
  <si>
    <t>Ralph Burgess</t>
  </si>
  <si>
    <t>Amy Baker</t>
  </si>
  <si>
    <t>E1681</t>
  </si>
  <si>
    <t>Gloria Bennett</t>
  </si>
  <si>
    <t>Denise Daniels</t>
  </si>
  <si>
    <t>E1682</t>
  </si>
  <si>
    <t>Cristian Garcia</t>
  </si>
  <si>
    <t>Mark Macias</t>
  </si>
  <si>
    <t>E1683</t>
  </si>
  <si>
    <t>Cassandra Smith</t>
  </si>
  <si>
    <t>Bradley Perry</t>
  </si>
  <si>
    <t>E1684</t>
  </si>
  <si>
    <t>Keith Reid</t>
  </si>
  <si>
    <t>Frank Gonzalez</t>
  </si>
  <si>
    <t>E1685</t>
  </si>
  <si>
    <t>Michael Mayo</t>
  </si>
  <si>
    <t>Brandon Love</t>
  </si>
  <si>
    <t>E1686</t>
  </si>
  <si>
    <t>Robert Fleming</t>
  </si>
  <si>
    <t>Allison Johnson</t>
  </si>
  <si>
    <t>E1687</t>
  </si>
  <si>
    <t>Mitchell Paul</t>
  </si>
  <si>
    <t>Benjamin Nelson</t>
  </si>
  <si>
    <t>E1688</t>
  </si>
  <si>
    <t>Whitney Allen</t>
  </si>
  <si>
    <t>Taylor Peck</t>
  </si>
  <si>
    <t>E1689</t>
  </si>
  <si>
    <t>Cynthia Miller</t>
  </si>
  <si>
    <t>Monica Johnson</t>
  </si>
  <si>
    <t>E1690</t>
  </si>
  <si>
    <t>Michele Meadows</t>
  </si>
  <si>
    <t>Anthony Gomez</t>
  </si>
  <si>
    <t>E1691</t>
  </si>
  <si>
    <t>Dr. Steven Elliott Jr.</t>
  </si>
  <si>
    <t>Ryan Watkins</t>
  </si>
  <si>
    <t>E1692</t>
  </si>
  <si>
    <t>Melissa Ross</t>
  </si>
  <si>
    <t>Amy Baldwin</t>
  </si>
  <si>
    <t>E1693</t>
  </si>
  <si>
    <t>Jennifer Reyes</t>
  </si>
  <si>
    <t>Sarah Daniel</t>
  </si>
  <si>
    <t>E1694</t>
  </si>
  <si>
    <t>Sheila Flores</t>
  </si>
  <si>
    <t>Jonathan Hardin</t>
  </si>
  <si>
    <t>E1695</t>
  </si>
  <si>
    <t>Nathaniel Case</t>
  </si>
  <si>
    <t>Anthony Gates</t>
  </si>
  <si>
    <t>E1696</t>
  </si>
  <si>
    <t>Miss Theresa Brown</t>
  </si>
  <si>
    <t>Donald Hart MD</t>
  </si>
  <si>
    <t>E1697</t>
  </si>
  <si>
    <t>Katie Klein</t>
  </si>
  <si>
    <t>David Alvarez</t>
  </si>
  <si>
    <t>E1698</t>
  </si>
  <si>
    <t>Sarah Roberts</t>
  </si>
  <si>
    <t>David Anderson</t>
  </si>
  <si>
    <t>E1699</t>
  </si>
  <si>
    <t>Ruth Reed</t>
  </si>
  <si>
    <t>Lisa Murillo</t>
  </si>
  <si>
    <t>E1700</t>
  </si>
  <si>
    <t>Rachel Conrad</t>
  </si>
  <si>
    <t>Carl Rosario</t>
  </si>
  <si>
    <t>E1701</t>
  </si>
  <si>
    <t>Kenneth Stephens</t>
  </si>
  <si>
    <t>Mary Walker</t>
  </si>
  <si>
    <t>E1702</t>
  </si>
  <si>
    <t>David Golden</t>
  </si>
  <si>
    <t>Marc Carter</t>
  </si>
  <si>
    <t>E1703</t>
  </si>
  <si>
    <t>Mary Levine</t>
  </si>
  <si>
    <t>Mrs. Stacy Oliver</t>
  </si>
  <si>
    <t>E1704</t>
  </si>
  <si>
    <t>Taylor Roberson</t>
  </si>
  <si>
    <t>Randy Hampton</t>
  </si>
  <si>
    <t>E1705</t>
  </si>
  <si>
    <t>Daniel Ballard</t>
  </si>
  <si>
    <t>Laura Ponce</t>
  </si>
  <si>
    <t>E1706</t>
  </si>
  <si>
    <t>Julie Jenkins</t>
  </si>
  <si>
    <t>Frank Moore</t>
  </si>
  <si>
    <t>E1707</t>
  </si>
  <si>
    <t>Kenneth Robbins</t>
  </si>
  <si>
    <t>David Marshall</t>
  </si>
  <si>
    <t>E1708</t>
  </si>
  <si>
    <t>Jason Ramirez</t>
  </si>
  <si>
    <t>Michael Meyers</t>
  </si>
  <si>
    <t>E1709</t>
  </si>
  <si>
    <t>Kristi Clark</t>
  </si>
  <si>
    <t>Stephanie Coleman</t>
  </si>
  <si>
    <t>E1710</t>
  </si>
  <si>
    <t>Thomas Marshall</t>
  </si>
  <si>
    <t>Anthony Howard</t>
  </si>
  <si>
    <t>E1711</t>
  </si>
  <si>
    <t>Austin Cruz</t>
  </si>
  <si>
    <t>Andrea Peterson</t>
  </si>
  <si>
    <t>E1712</t>
  </si>
  <si>
    <t>Kara Kelley</t>
  </si>
  <si>
    <t>Andrea Page</t>
  </si>
  <si>
    <t>E1713</t>
  </si>
  <si>
    <t>Sonya Nichols</t>
  </si>
  <si>
    <t>Charles Leblanc DDS</t>
  </si>
  <si>
    <t>E1714</t>
  </si>
  <si>
    <t>Carlos Spencer</t>
  </si>
  <si>
    <t>Lynn Shields</t>
  </si>
  <si>
    <t>E1715</t>
  </si>
  <si>
    <t>Nathan Flowers</t>
  </si>
  <si>
    <t>Monica Grimes</t>
  </si>
  <si>
    <t>E1716</t>
  </si>
  <si>
    <t>Jason Freeman</t>
  </si>
  <si>
    <t>John Salas</t>
  </si>
  <si>
    <t>E1717</t>
  </si>
  <si>
    <t>Kathryn Foster</t>
  </si>
  <si>
    <t>Katrina Pope</t>
  </si>
  <si>
    <t>E1718</t>
  </si>
  <si>
    <t>Brian Campos</t>
  </si>
  <si>
    <t>Teresa Hart</t>
  </si>
  <si>
    <t>E1719</t>
  </si>
  <si>
    <t>Alexandra White</t>
  </si>
  <si>
    <t>Maria Smith</t>
  </si>
  <si>
    <t>E1720</t>
  </si>
  <si>
    <t>Mary Kennedy</t>
  </si>
  <si>
    <t>Richard Taylor</t>
  </si>
  <si>
    <t>E1721</t>
  </si>
  <si>
    <t>Bobby Day</t>
  </si>
  <si>
    <t>Elizabeth Zimmerman</t>
  </si>
  <si>
    <t>E1722</t>
  </si>
  <si>
    <t>Denise Moss</t>
  </si>
  <si>
    <t>William Harrison III</t>
  </si>
  <si>
    <t>E1723</t>
  </si>
  <si>
    <t>Melody Fuller</t>
  </si>
  <si>
    <t>Bradley Berger</t>
  </si>
  <si>
    <t>E1724</t>
  </si>
  <si>
    <t>Kyle Patton</t>
  </si>
  <si>
    <t>Mr. Eric Brown DDS</t>
  </si>
  <si>
    <t>E1725</t>
  </si>
  <si>
    <t>Gina Hale</t>
  </si>
  <si>
    <t>Samuel Kennedy</t>
  </si>
  <si>
    <t>E1726</t>
  </si>
  <si>
    <t>Tammy Acevedo</t>
  </si>
  <si>
    <t>Peter Christian</t>
  </si>
  <si>
    <t>E1727</t>
  </si>
  <si>
    <t>Julie Sanders</t>
  </si>
  <si>
    <t>Christy Olsen</t>
  </si>
  <si>
    <t>E1728</t>
  </si>
  <si>
    <t>Angel Gates</t>
  </si>
  <si>
    <t>Thomas Orozco</t>
  </si>
  <si>
    <t>E1729</t>
  </si>
  <si>
    <t>Ronnie Johnson</t>
  </si>
  <si>
    <t>Andrew Jones</t>
  </si>
  <si>
    <t>E1730</t>
  </si>
  <si>
    <t>Ricky Li</t>
  </si>
  <si>
    <t>Betty Peterson</t>
  </si>
  <si>
    <t>E1731</t>
  </si>
  <si>
    <t>Patricia Chan</t>
  </si>
  <si>
    <t>Shelly Bates</t>
  </si>
  <si>
    <t>E1732</t>
  </si>
  <si>
    <t>Alexander Gentry</t>
  </si>
  <si>
    <t>Brenda Mclean</t>
  </si>
  <si>
    <t>E1733</t>
  </si>
  <si>
    <t>Matthew Garcia</t>
  </si>
  <si>
    <t>Lori Dean</t>
  </si>
  <si>
    <t>E1734</t>
  </si>
  <si>
    <t>Nicholas Wilson</t>
  </si>
  <si>
    <t>Alicia Joseph</t>
  </si>
  <si>
    <t>E1735</t>
  </si>
  <si>
    <t>Rebecca Holmes</t>
  </si>
  <si>
    <t>Cindy Hahn</t>
  </si>
  <si>
    <t>E1736</t>
  </si>
  <si>
    <t>Michele Arnold</t>
  </si>
  <si>
    <t>Stephanie Johnson</t>
  </si>
  <si>
    <t>E1737</t>
  </si>
  <si>
    <t>Charles Haynes</t>
  </si>
  <si>
    <t>Susan Nguyen</t>
  </si>
  <si>
    <t>E1738</t>
  </si>
  <si>
    <t>Scott Maddox</t>
  </si>
  <si>
    <t>Mikayla Orozco MD</t>
  </si>
  <si>
    <t>E1739</t>
  </si>
  <si>
    <t>Brian Mason</t>
  </si>
  <si>
    <t>Eric Aguilar</t>
  </si>
  <si>
    <t>E1740</t>
  </si>
  <si>
    <t>Jennifer Baker</t>
  </si>
  <si>
    <t>Joshua Stone</t>
  </si>
  <si>
    <t>E1741</t>
  </si>
  <si>
    <t>Brian Hill</t>
  </si>
  <si>
    <t>Brenda Chandler</t>
  </si>
  <si>
    <t>E1742</t>
  </si>
  <si>
    <t>Michael Greene</t>
  </si>
  <si>
    <t>Michael Fernandez</t>
  </si>
  <si>
    <t>E1743</t>
  </si>
  <si>
    <t>Gerald Richards</t>
  </si>
  <si>
    <t>April Mason</t>
  </si>
  <si>
    <t>E1744</t>
  </si>
  <si>
    <t>Andrew Chan PhD</t>
  </si>
  <si>
    <t>Gary Ballard</t>
  </si>
  <si>
    <t>E1745</t>
  </si>
  <si>
    <t>Kimberly Davis</t>
  </si>
  <si>
    <t>Terry Ryan</t>
  </si>
  <si>
    <t>E1746</t>
  </si>
  <si>
    <t>Howard Moody</t>
  </si>
  <si>
    <t>Donna Mccormick</t>
  </si>
  <si>
    <t>E1747</t>
  </si>
  <si>
    <t>Edward Rodriguez</t>
  </si>
  <si>
    <t>Melissa Harvey</t>
  </si>
  <si>
    <t>E1748</t>
  </si>
  <si>
    <t>Christopher Wood</t>
  </si>
  <si>
    <t>Michael Huffman</t>
  </si>
  <si>
    <t>E1749</t>
  </si>
  <si>
    <t>Bonnie Merritt</t>
  </si>
  <si>
    <t>Emily Doyle</t>
  </si>
  <si>
    <t>E1750</t>
  </si>
  <si>
    <t>Steven Freeman MD</t>
  </si>
  <si>
    <t>Yolanda Riggs</t>
  </si>
  <si>
    <t>E1751</t>
  </si>
  <si>
    <t>Richard Stevens</t>
  </si>
  <si>
    <t>Steve Reyes</t>
  </si>
  <si>
    <t>E1752</t>
  </si>
  <si>
    <t>Douglas Good</t>
  </si>
  <si>
    <t>Nicholas Whitaker</t>
  </si>
  <si>
    <t>E1753</t>
  </si>
  <si>
    <t>James Walters</t>
  </si>
  <si>
    <t>Joseph Parker</t>
  </si>
  <si>
    <t>E1754</t>
  </si>
  <si>
    <t>Mary Monroe</t>
  </si>
  <si>
    <t>Vincent Swanson</t>
  </si>
  <si>
    <t>E1755</t>
  </si>
  <si>
    <t>Donald Brown</t>
  </si>
  <si>
    <t>Patrick Carr</t>
  </si>
  <si>
    <t>E1756</t>
  </si>
  <si>
    <t>Julia King</t>
  </si>
  <si>
    <t>Victor Fitzgerald</t>
  </si>
  <si>
    <t>E1757</t>
  </si>
  <si>
    <t>Yolanda Martin</t>
  </si>
  <si>
    <t>Travis Ingram</t>
  </si>
  <si>
    <t>E1758</t>
  </si>
  <si>
    <t>Catherine Jackson</t>
  </si>
  <si>
    <t>Brian Cox</t>
  </si>
  <si>
    <t>E1759</t>
  </si>
  <si>
    <t>Julia Jones</t>
  </si>
  <si>
    <t>Sylvia Anderson</t>
  </si>
  <si>
    <t>E1760</t>
  </si>
  <si>
    <t>Leslie Morris</t>
  </si>
  <si>
    <t>Nicole Jackson</t>
  </si>
  <si>
    <t>E1761</t>
  </si>
  <si>
    <t>Diane Vaughn</t>
  </si>
  <si>
    <t>Pamela Garcia</t>
  </si>
  <si>
    <t>E1762</t>
  </si>
  <si>
    <t>Debra Walton</t>
  </si>
  <si>
    <t>Katie Stanley</t>
  </si>
  <si>
    <t>E1763</t>
  </si>
  <si>
    <t>Stacy Morgan</t>
  </si>
  <si>
    <t>Christopher Barnett</t>
  </si>
  <si>
    <t>E1764</t>
  </si>
  <si>
    <t>Jesus Chavez</t>
  </si>
  <si>
    <t>E1765</t>
  </si>
  <si>
    <t>James Johnson</t>
  </si>
  <si>
    <t>Tammy Mitchell</t>
  </si>
  <si>
    <t>E1766</t>
  </si>
  <si>
    <t>Luke Rivera</t>
  </si>
  <si>
    <t>Alan Murphy</t>
  </si>
  <si>
    <t>E1767</t>
  </si>
  <si>
    <t>Ivan Conrad</t>
  </si>
  <si>
    <t>Sandra Henry</t>
  </si>
  <si>
    <t>E1768</t>
  </si>
  <si>
    <t>James Bowman</t>
  </si>
  <si>
    <t>Ryan Sherman</t>
  </si>
  <si>
    <t>E1769</t>
  </si>
  <si>
    <t>Chelsea Cuevas</t>
  </si>
  <si>
    <t>Janice Price</t>
  </si>
  <si>
    <t>E1770</t>
  </si>
  <si>
    <t>Shelley Craig</t>
  </si>
  <si>
    <t>Kenneth Beck</t>
  </si>
  <si>
    <t>E1771</t>
  </si>
  <si>
    <t>Isaiah Payne</t>
  </si>
  <si>
    <t>Christopher Young</t>
  </si>
  <si>
    <t>E1772</t>
  </si>
  <si>
    <t>Tina Brock</t>
  </si>
  <si>
    <t>James Garcia</t>
  </si>
  <si>
    <t>E1773</t>
  </si>
  <si>
    <t>Keith Mcgee</t>
  </si>
  <si>
    <t>Michael Campbell</t>
  </si>
  <si>
    <t>E1774</t>
  </si>
  <si>
    <t>Thomas Stephens</t>
  </si>
  <si>
    <t>Alexander Rollins</t>
  </si>
  <si>
    <t>E1775</t>
  </si>
  <si>
    <t>James Kim</t>
  </si>
  <si>
    <t>Timothy Rodriguez</t>
  </si>
  <si>
    <t>E1776</t>
  </si>
  <si>
    <t>Emily Lewis</t>
  </si>
  <si>
    <t>E1777</t>
  </si>
  <si>
    <t>Kirsten Smith</t>
  </si>
  <si>
    <t>Kelly Weeks</t>
  </si>
  <si>
    <t>E1778</t>
  </si>
  <si>
    <t>Miguel Levine</t>
  </si>
  <si>
    <t>E1779</t>
  </si>
  <si>
    <t>Andrew Watkins</t>
  </si>
  <si>
    <t>Heather Barker</t>
  </si>
  <si>
    <t>E1780</t>
  </si>
  <si>
    <t>Kathryn Raymond</t>
  </si>
  <si>
    <t>Richard Leblanc</t>
  </si>
  <si>
    <t>E1781</t>
  </si>
  <si>
    <t>Ryan Mills</t>
  </si>
  <si>
    <t>Tommy Lee</t>
  </si>
  <si>
    <t>E1782</t>
  </si>
  <si>
    <t>Makayla Steele</t>
  </si>
  <si>
    <t>Charles Wilson</t>
  </si>
  <si>
    <t>E1783</t>
  </si>
  <si>
    <t>Jennifer Sellers</t>
  </si>
  <si>
    <t>E1784</t>
  </si>
  <si>
    <t>Kristi King</t>
  </si>
  <si>
    <t>Sarah Clark</t>
  </si>
  <si>
    <t>E1785</t>
  </si>
  <si>
    <t>Susan Taylor</t>
  </si>
  <si>
    <t>Kyle Macdonald</t>
  </si>
  <si>
    <t>E1786</t>
  </si>
  <si>
    <t>James Allen</t>
  </si>
  <si>
    <t>Andrew Fernandez</t>
  </si>
  <si>
    <t>E1787</t>
  </si>
  <si>
    <t>Ashley Marshall</t>
  </si>
  <si>
    <t>Heather Perez</t>
  </si>
  <si>
    <t>E1788</t>
  </si>
  <si>
    <t>Catherine Johnson</t>
  </si>
  <si>
    <t>Kelly Diaz</t>
  </si>
  <si>
    <t>E1789</t>
  </si>
  <si>
    <t>Mark Roberts</t>
  </si>
  <si>
    <t>Elizabeth Garcia DVM</t>
  </si>
  <si>
    <t>E1790</t>
  </si>
  <si>
    <t>Valerie Ramos</t>
  </si>
  <si>
    <t>Lori Baldwin</t>
  </si>
  <si>
    <t>E1791</t>
  </si>
  <si>
    <t>Katherine Osborn</t>
  </si>
  <si>
    <t>Jessica Campos</t>
  </si>
  <si>
    <t>E1792</t>
  </si>
  <si>
    <t>Nicole Callahan</t>
  </si>
  <si>
    <t>Lawrence Ramirez</t>
  </si>
  <si>
    <t>E1793</t>
  </si>
  <si>
    <t>Sherri Meyer</t>
  </si>
  <si>
    <t>Miguel Perry</t>
  </si>
  <si>
    <t>E1794</t>
  </si>
  <si>
    <t>Holly Schneider</t>
  </si>
  <si>
    <t>Heather Summers</t>
  </si>
  <si>
    <t>E1795</t>
  </si>
  <si>
    <t>Christopher Daniels</t>
  </si>
  <si>
    <t>E1796</t>
  </si>
  <si>
    <t>Mrs. Tammy Johnson PhD</t>
  </si>
  <si>
    <t>Timothy Singh</t>
  </si>
  <si>
    <t>E1797</t>
  </si>
  <si>
    <t>Jennifer Lara</t>
  </si>
  <si>
    <t>Jennifer Martinez</t>
  </si>
  <si>
    <t>E1798</t>
  </si>
  <si>
    <t>Melissa Brown</t>
  </si>
  <si>
    <t>Kelly Cohen</t>
  </si>
  <si>
    <t>E1799</t>
  </si>
  <si>
    <t>Marc Mcdonald</t>
  </si>
  <si>
    <t>Brandon Crane DDS</t>
  </si>
  <si>
    <t>E1800</t>
  </si>
  <si>
    <t>Brittany Brown</t>
  </si>
  <si>
    <t>Rebecca Williams</t>
  </si>
  <si>
    <t>E1801</t>
  </si>
  <si>
    <t>Andrea Ramirez</t>
  </si>
  <si>
    <t>Kevin Kelley</t>
  </si>
  <si>
    <t>E1802</t>
  </si>
  <si>
    <t>Shawn Lynn</t>
  </si>
  <si>
    <t>Michelle Sutton</t>
  </si>
  <si>
    <t>E1803</t>
  </si>
  <si>
    <t>Michael Wilkinson</t>
  </si>
  <si>
    <t>David Rowland</t>
  </si>
  <si>
    <t>E1804</t>
  </si>
  <si>
    <t>Lori Reyes</t>
  </si>
  <si>
    <t>Anne Werner</t>
  </si>
  <si>
    <t>E1805</t>
  </si>
  <si>
    <t>Arthur Mitchell</t>
  </si>
  <si>
    <t>Cynthia Wright</t>
  </si>
  <si>
    <t>E1806</t>
  </si>
  <si>
    <t>Brian Watkins</t>
  </si>
  <si>
    <t>Julia Sandoval</t>
  </si>
  <si>
    <t>E1807</t>
  </si>
  <si>
    <t>George Brown</t>
  </si>
  <si>
    <t>Derek Price</t>
  </si>
  <si>
    <t>E1808</t>
  </si>
  <si>
    <t>Kayla Arnold</t>
  </si>
  <si>
    <t>Mr. David Weaver DDS</t>
  </si>
  <si>
    <t>E1809</t>
  </si>
  <si>
    <t>Jill Mitchell</t>
  </si>
  <si>
    <t>Maria Higgins</t>
  </si>
  <si>
    <t>E1810</t>
  </si>
  <si>
    <t>Jonathan Ellis</t>
  </si>
  <si>
    <t>Megan Graham</t>
  </si>
  <si>
    <t>E1811</t>
  </si>
  <si>
    <t>Cynthia Hill</t>
  </si>
  <si>
    <t>Angelica Wallace</t>
  </si>
  <si>
    <t>E1812</t>
  </si>
  <si>
    <t>David Miller</t>
  </si>
  <si>
    <t>Robin Vaughn</t>
  </si>
  <si>
    <t>E1813</t>
  </si>
  <si>
    <t>Aaron Hopkins</t>
  </si>
  <si>
    <t>Michael Romero</t>
  </si>
  <si>
    <t>E1814</t>
  </si>
  <si>
    <t>Jerry Alexander</t>
  </si>
  <si>
    <t>Dr. Maria Martinez</t>
  </si>
  <si>
    <t>E1815</t>
  </si>
  <si>
    <t>Jonathan Miller</t>
  </si>
  <si>
    <t>Kara King</t>
  </si>
  <si>
    <t>E1816</t>
  </si>
  <si>
    <t>Jennifer Hawkins</t>
  </si>
  <si>
    <t>Adrian Mejia</t>
  </si>
  <si>
    <t>E1817</t>
  </si>
  <si>
    <t>Eric Mclaughlin</t>
  </si>
  <si>
    <t>Joseph Bradley</t>
  </si>
  <si>
    <t>E1818</t>
  </si>
  <si>
    <t>Angela White</t>
  </si>
  <si>
    <t>Mr. Jeffrey Harris</t>
  </si>
  <si>
    <t>E1819</t>
  </si>
  <si>
    <t>Jesus Perez DDS</t>
  </si>
  <si>
    <t>Peggy Levine</t>
  </si>
  <si>
    <t>E1820</t>
  </si>
  <si>
    <t>George Macias</t>
  </si>
  <si>
    <t>Jason Fields</t>
  </si>
  <si>
    <t>E1821</t>
  </si>
  <si>
    <t>Nicholas Simpson</t>
  </si>
  <si>
    <t>Katie Burgess</t>
  </si>
  <si>
    <t>E1822</t>
  </si>
  <si>
    <t>Joshua Robbins</t>
  </si>
  <si>
    <t>Robert Hamilton</t>
  </si>
  <si>
    <t>E1823</t>
  </si>
  <si>
    <t>Dana Wright</t>
  </si>
  <si>
    <t>Nicole Sanchez</t>
  </si>
  <si>
    <t>E1824</t>
  </si>
  <si>
    <t>Anthony Villegas</t>
  </si>
  <si>
    <t>Erik Cruz</t>
  </si>
  <si>
    <t>E1825</t>
  </si>
  <si>
    <t>Latasha Johns</t>
  </si>
  <si>
    <t>Kevin Nelson</t>
  </si>
  <si>
    <t>E1826</t>
  </si>
  <si>
    <t>Jill Smith</t>
  </si>
  <si>
    <t>Julia Miller</t>
  </si>
  <si>
    <t>E1827</t>
  </si>
  <si>
    <t>Alice Smith</t>
  </si>
  <si>
    <t>Michael Ruiz</t>
  </si>
  <si>
    <t>E1828</t>
  </si>
  <si>
    <t>Ann Wade</t>
  </si>
  <si>
    <t>Christopher Mckee</t>
  </si>
  <si>
    <t>E1829</t>
  </si>
  <si>
    <t>Casey Perez</t>
  </si>
  <si>
    <t>Philip Stewart</t>
  </si>
  <si>
    <t>E1830</t>
  </si>
  <si>
    <t>Megan Jackson</t>
  </si>
  <si>
    <t>Katrina Giles</t>
  </si>
  <si>
    <t>E1831</t>
  </si>
  <si>
    <t>Clinton Reid</t>
  </si>
  <si>
    <t>William Johnson</t>
  </si>
  <si>
    <t>E1832</t>
  </si>
  <si>
    <t>Andrew Edwards</t>
  </si>
  <si>
    <t>Victoria Bautista</t>
  </si>
  <si>
    <t>E1833</t>
  </si>
  <si>
    <t>Jennifer Craig</t>
  </si>
  <si>
    <t>Monique Ruiz</t>
  </si>
  <si>
    <t>E1834</t>
  </si>
  <si>
    <t>Amber Jimenez</t>
  </si>
  <si>
    <t>Brian Green</t>
  </si>
  <si>
    <t>E1835</t>
  </si>
  <si>
    <t>Megan Bender</t>
  </si>
  <si>
    <t>Derrick Garrison</t>
  </si>
  <si>
    <t>E1836</t>
  </si>
  <si>
    <t>Mary Day</t>
  </si>
  <si>
    <t>Casey Wheeler</t>
  </si>
  <si>
    <t>E1837</t>
  </si>
  <si>
    <t>Monique Morales</t>
  </si>
  <si>
    <t>Matthew Best</t>
  </si>
  <si>
    <t>E1838</t>
  </si>
  <si>
    <t>Lisa French</t>
  </si>
  <si>
    <t>Megan Salazar</t>
  </si>
  <si>
    <t>E1839</t>
  </si>
  <si>
    <t>Ashley Harris</t>
  </si>
  <si>
    <t>Jeffrey Patton</t>
  </si>
  <si>
    <t>E1840</t>
  </si>
  <si>
    <t>Kimberly Allen</t>
  </si>
  <si>
    <t>Troy Parks</t>
  </si>
  <si>
    <t>E1841</t>
  </si>
  <si>
    <t>Joyce Norman</t>
  </si>
  <si>
    <t>Diana Rhodes</t>
  </si>
  <si>
    <t>E1842</t>
  </si>
  <si>
    <t>Ruben Steele</t>
  </si>
  <si>
    <t>Jenny Chang</t>
  </si>
  <si>
    <t>E1843</t>
  </si>
  <si>
    <t>Melissa Tate</t>
  </si>
  <si>
    <t>Danny Kaiser</t>
  </si>
  <si>
    <t>E1844</t>
  </si>
  <si>
    <t>Mr. Carlos Briggs</t>
  </si>
  <si>
    <t>Ashley Hawkins</t>
  </si>
  <si>
    <t>E1845</t>
  </si>
  <si>
    <t>Danny Fisher</t>
  </si>
  <si>
    <t>Robyn Miller</t>
  </si>
  <si>
    <t>E1846</t>
  </si>
  <si>
    <t>Mary Fischer</t>
  </si>
  <si>
    <t>Laurie Escobar</t>
  </si>
  <si>
    <t>E1847</t>
  </si>
  <si>
    <t>Anthony Marshall</t>
  </si>
  <si>
    <t>Mary Washington</t>
  </si>
  <si>
    <t>E1848</t>
  </si>
  <si>
    <t>Michael Hendricks</t>
  </si>
  <si>
    <t>Brian Carpenter</t>
  </si>
  <si>
    <t>E1849</t>
  </si>
  <si>
    <t>Natalie Macias</t>
  </si>
  <si>
    <t>Lindsay Ware DVM</t>
  </si>
  <si>
    <t>E1850</t>
  </si>
  <si>
    <t>Deanna Norton</t>
  </si>
  <si>
    <t>Nicole Stevens</t>
  </si>
  <si>
    <t>E1851</t>
  </si>
  <si>
    <t>Timothy Silva</t>
  </si>
  <si>
    <t>Charles Campos</t>
  </si>
  <si>
    <t>E1852</t>
  </si>
  <si>
    <t>Walter Freeman</t>
  </si>
  <si>
    <t>Jacob Davis</t>
  </si>
  <si>
    <t>E1853</t>
  </si>
  <si>
    <t>Julie Hayes</t>
  </si>
  <si>
    <t>Kim Conley</t>
  </si>
  <si>
    <t>E1854</t>
  </si>
  <si>
    <t>Brenda Murray</t>
  </si>
  <si>
    <t>Natalie Mendoza</t>
  </si>
  <si>
    <t>E1855</t>
  </si>
  <si>
    <t>Harold Lee</t>
  </si>
  <si>
    <t>Steven Rodriguez</t>
  </si>
  <si>
    <t>E1856</t>
  </si>
  <si>
    <t>Colleen Sanchez</t>
  </si>
  <si>
    <t>Ronnie Townsend</t>
  </si>
  <si>
    <t>E1857</t>
  </si>
  <si>
    <t>Stephanie Anthony</t>
  </si>
  <si>
    <t>Michael Sims</t>
  </si>
  <si>
    <t>E1858</t>
  </si>
  <si>
    <t>John Adams</t>
  </si>
  <si>
    <t>Christine Davis</t>
  </si>
  <si>
    <t>E1859</t>
  </si>
  <si>
    <t>Richard Hernandez</t>
  </si>
  <si>
    <t>Emma Johnson</t>
  </si>
  <si>
    <t>E1860</t>
  </si>
  <si>
    <t>Debra Ingram</t>
  </si>
  <si>
    <t>Bradley Cannon</t>
  </si>
  <si>
    <t>E1861</t>
  </si>
  <si>
    <t>Javier Roman</t>
  </si>
  <si>
    <t>Amanda Page</t>
  </si>
  <si>
    <t>E1862</t>
  </si>
  <si>
    <t>Christopher Barrett</t>
  </si>
  <si>
    <t>Mark Berg</t>
  </si>
  <si>
    <t>E1863</t>
  </si>
  <si>
    <t>Jesse Knox</t>
  </si>
  <si>
    <t>Jason Castillo</t>
  </si>
  <si>
    <t>E1864</t>
  </si>
  <si>
    <t>Bill Allen</t>
  </si>
  <si>
    <t>Jesse Wilkerson</t>
  </si>
  <si>
    <t>E1865</t>
  </si>
  <si>
    <t>Jessica Cannon</t>
  </si>
  <si>
    <t>Heather Campbell</t>
  </si>
  <si>
    <t>E1866</t>
  </si>
  <si>
    <t>Kayla Williams</t>
  </si>
  <si>
    <t>Jeffrey Carter</t>
  </si>
  <si>
    <t>E1867</t>
  </si>
  <si>
    <t>Tracy Allison</t>
  </si>
  <si>
    <t>Amy Oneal</t>
  </si>
  <si>
    <t>E1868</t>
  </si>
  <si>
    <t>Jeffrey Miller</t>
  </si>
  <si>
    <t>Frank White</t>
  </si>
  <si>
    <t>E1869</t>
  </si>
  <si>
    <t>Michael Conway</t>
  </si>
  <si>
    <t>Curtis May</t>
  </si>
  <si>
    <t>E1870</t>
  </si>
  <si>
    <t>Michelle Evans</t>
  </si>
  <si>
    <t>Stephanie Aguirre</t>
  </si>
  <si>
    <t>E1871</t>
  </si>
  <si>
    <t>Patricia Peterson</t>
  </si>
  <si>
    <t>Sonya Hall</t>
  </si>
  <si>
    <t>E1872</t>
  </si>
  <si>
    <t>Mr. Taylor Levine</t>
  </si>
  <si>
    <t>Jonathan Peters</t>
  </si>
  <si>
    <t>E1873</t>
  </si>
  <si>
    <t>Amanda Anderson</t>
  </si>
  <si>
    <t>E1874</t>
  </si>
  <si>
    <t>Robert Walker</t>
  </si>
  <si>
    <t>Ricky Oconnor</t>
  </si>
  <si>
    <t>E1875</t>
  </si>
  <si>
    <t>Patricia Robinson</t>
  </si>
  <si>
    <t>Nicole Booker</t>
  </si>
  <si>
    <t>E1876</t>
  </si>
  <si>
    <t>Martin Mann</t>
  </si>
  <si>
    <t>Mia Maxwell</t>
  </si>
  <si>
    <t>E1877</t>
  </si>
  <si>
    <t>Matthew Cox</t>
  </si>
  <si>
    <t>Jason Cooper</t>
  </si>
  <si>
    <t>E1878</t>
  </si>
  <si>
    <t>Stephen Fitzgerald</t>
  </si>
  <si>
    <t>Monica Dunn</t>
  </si>
  <si>
    <t>E1879</t>
  </si>
  <si>
    <t>Joseph Hall</t>
  </si>
  <si>
    <t>Kristen Moore</t>
  </si>
  <si>
    <t>E1880</t>
  </si>
  <si>
    <t>Kelli Logan</t>
  </si>
  <si>
    <t>Matthew Flynn</t>
  </si>
  <si>
    <t>E1881</t>
  </si>
  <si>
    <t>Jasmine Soto</t>
  </si>
  <si>
    <t>Zachary Roberts</t>
  </si>
  <si>
    <t>E1882</t>
  </si>
  <si>
    <t>Matthew Sullivan</t>
  </si>
  <si>
    <t>Elizabeth Johnson</t>
  </si>
  <si>
    <t>E1883</t>
  </si>
  <si>
    <t>Sherry Avila</t>
  </si>
  <si>
    <t>Lisa Marshall</t>
  </si>
  <si>
    <t>E1884</t>
  </si>
  <si>
    <t>Wayne Smith</t>
  </si>
  <si>
    <t>Jeffery Long</t>
  </si>
  <si>
    <t>E1885</t>
  </si>
  <si>
    <t>Jason Barnes</t>
  </si>
  <si>
    <t>Eric Williamson</t>
  </si>
  <si>
    <t>E1886</t>
  </si>
  <si>
    <t>Kenneth Aguilar</t>
  </si>
  <si>
    <t>Tracy Barrera</t>
  </si>
  <si>
    <t>E1887</t>
  </si>
  <si>
    <t>Todd Grant</t>
  </si>
  <si>
    <t>Nathan Hopkins</t>
  </si>
  <si>
    <t>E1888</t>
  </si>
  <si>
    <t>Jason Novak</t>
  </si>
  <si>
    <t>Cynthia Barker</t>
  </si>
  <si>
    <t>E1889</t>
  </si>
  <si>
    <t>Ricardo Walker</t>
  </si>
  <si>
    <t>Daniel Robbins</t>
  </si>
  <si>
    <t>E1890</t>
  </si>
  <si>
    <t>Ashley Mcintyre</t>
  </si>
  <si>
    <t>Crystal Ross</t>
  </si>
  <si>
    <t>E1891</t>
  </si>
  <si>
    <t>Katherine Stevens</t>
  </si>
  <si>
    <t>Brandon French</t>
  </si>
  <si>
    <t>E1892</t>
  </si>
  <si>
    <t>Mary Pena</t>
  </si>
  <si>
    <t>Brittany Arnold</t>
  </si>
  <si>
    <t>E1893</t>
  </si>
  <si>
    <t>Dawn Hughes</t>
  </si>
  <si>
    <t>E1894</t>
  </si>
  <si>
    <t>Matthew Pena</t>
  </si>
  <si>
    <t>Melissa Nelson</t>
  </si>
  <si>
    <t>E1895</t>
  </si>
  <si>
    <t>Angel Webb</t>
  </si>
  <si>
    <t>Michael Carter</t>
  </si>
  <si>
    <t>E1896</t>
  </si>
  <si>
    <t>Kristen Robbins</t>
  </si>
  <si>
    <t>Marc Paul</t>
  </si>
  <si>
    <t>E1897</t>
  </si>
  <si>
    <t>Samuel Santos</t>
  </si>
  <si>
    <t>Carolyn Pierce DVM</t>
  </si>
  <si>
    <t>E1898</t>
  </si>
  <si>
    <t>Katelyn Downs</t>
  </si>
  <si>
    <t>Jessica Payne</t>
  </si>
  <si>
    <t>E1899</t>
  </si>
  <si>
    <t>Jerry Murphy</t>
  </si>
  <si>
    <t>Amber Davis</t>
  </si>
  <si>
    <t>E1900</t>
  </si>
  <si>
    <t>Jessica Foster</t>
  </si>
  <si>
    <t>Allison Jackson</t>
  </si>
  <si>
    <t>E1901</t>
  </si>
  <si>
    <t>James White</t>
  </si>
  <si>
    <t>Joshua Mcpherson</t>
  </si>
  <si>
    <t>E1902</t>
  </si>
  <si>
    <t>Megan Ramos</t>
  </si>
  <si>
    <t>Raymond Clark</t>
  </si>
  <si>
    <t>E1903</t>
  </si>
  <si>
    <t>Dennis Cobb</t>
  </si>
  <si>
    <t>Eric Nguyen</t>
  </si>
  <si>
    <t>E1904</t>
  </si>
  <si>
    <t>Sean Walters</t>
  </si>
  <si>
    <t>Thomas Carr</t>
  </si>
  <si>
    <t>E1905</t>
  </si>
  <si>
    <t>Jennifer Romero</t>
  </si>
  <si>
    <t>Shawn Miller</t>
  </si>
  <si>
    <t>E1906</t>
  </si>
  <si>
    <t>John Marquez</t>
  </si>
  <si>
    <t>Dana Perez</t>
  </si>
  <si>
    <t>E1907</t>
  </si>
  <si>
    <t>Sarah Cameron</t>
  </si>
  <si>
    <t>Thomas Lopez</t>
  </si>
  <si>
    <t>E1908</t>
  </si>
  <si>
    <t>Tracy Bell</t>
  </si>
  <si>
    <t>E1909</t>
  </si>
  <si>
    <t>Casey Shaw</t>
  </si>
  <si>
    <t>Jonathan Osborn</t>
  </si>
  <si>
    <t>E1910</t>
  </si>
  <si>
    <t>Stephanie Odom</t>
  </si>
  <si>
    <t>Phillip Lee</t>
  </si>
  <si>
    <t>E1911</t>
  </si>
  <si>
    <t>Bryan Cooley</t>
  </si>
  <si>
    <t>Jaime Mckenzie</t>
  </si>
  <si>
    <t>E1912</t>
  </si>
  <si>
    <t>Derek Flynn</t>
  </si>
  <si>
    <t>Stephen Williams</t>
  </si>
  <si>
    <t>E1913</t>
  </si>
  <si>
    <t>Joel Carrillo</t>
  </si>
  <si>
    <t>Benjamin Ruiz</t>
  </si>
  <si>
    <t>E1914</t>
  </si>
  <si>
    <t>Curtis Price</t>
  </si>
  <si>
    <t>Angel Weaver</t>
  </si>
  <si>
    <t>E1915</t>
  </si>
  <si>
    <t>Sean Richards</t>
  </si>
  <si>
    <t>Jennifer Davis</t>
  </si>
  <si>
    <t>E1916</t>
  </si>
  <si>
    <t>Tammy Carroll</t>
  </si>
  <si>
    <t>Travis Landry</t>
  </si>
  <si>
    <t>E1917</t>
  </si>
  <si>
    <t>Meghan Johnson</t>
  </si>
  <si>
    <t>Nicole Roberson</t>
  </si>
  <si>
    <t>E1918</t>
  </si>
  <si>
    <t>Julia Richardson</t>
  </si>
  <si>
    <t>James Rivas</t>
  </si>
  <si>
    <t>E1919</t>
  </si>
  <si>
    <t>Mark Price</t>
  </si>
  <si>
    <t>John Miller</t>
  </si>
  <si>
    <t>E1920</t>
  </si>
  <si>
    <t>Christine Waters</t>
  </si>
  <si>
    <t>Linda Miller</t>
  </si>
  <si>
    <t>E1921</t>
  </si>
  <si>
    <t>Valerie Ashley</t>
  </si>
  <si>
    <t>Emily Parks</t>
  </si>
  <si>
    <t>E1922</t>
  </si>
  <si>
    <t>Sarah Rodriguez</t>
  </si>
  <si>
    <t>Shannon Thompson</t>
  </si>
  <si>
    <t>E1923</t>
  </si>
  <si>
    <t>Kristen Zamora</t>
  </si>
  <si>
    <t>Zachary Bowers</t>
  </si>
  <si>
    <t>E1924</t>
  </si>
  <si>
    <t>Michael Davis</t>
  </si>
  <si>
    <t>Katie Walker</t>
  </si>
  <si>
    <t>E1925</t>
  </si>
  <si>
    <t>Nicholas Dixon</t>
  </si>
  <si>
    <t>Zachary Ruiz</t>
  </si>
  <si>
    <t>E1926</t>
  </si>
  <si>
    <t>Samantha Rivera</t>
  </si>
  <si>
    <t>James Andrews</t>
  </si>
  <si>
    <t>E1927</t>
  </si>
  <si>
    <t>Stacey Harmon</t>
  </si>
  <si>
    <t>Shannon Parks</t>
  </si>
  <si>
    <t>E1928</t>
  </si>
  <si>
    <t>Rachel Miller</t>
  </si>
  <si>
    <t>E1929</t>
  </si>
  <si>
    <t>Matthew Davis</t>
  </si>
  <si>
    <t>Lauren Haney</t>
  </si>
  <si>
    <t>E1930</t>
  </si>
  <si>
    <t>Kimberly Spencer</t>
  </si>
  <si>
    <t>David Johnson</t>
  </si>
  <si>
    <t>E1931</t>
  </si>
  <si>
    <t>Alexander Anderson</t>
  </si>
  <si>
    <t>Darryl Sherman</t>
  </si>
  <si>
    <t>E1932</t>
  </si>
  <si>
    <t>Kyle Camacho</t>
  </si>
  <si>
    <t>Ryan Lee</t>
  </si>
  <si>
    <t>E1933</t>
  </si>
  <si>
    <t>Michael Glenn III</t>
  </si>
  <si>
    <t>Douglas Mccullough</t>
  </si>
  <si>
    <t>E1934</t>
  </si>
  <si>
    <t>Alexandra Huynh</t>
  </si>
  <si>
    <t>Natasha Vaughn</t>
  </si>
  <si>
    <t>E1935</t>
  </si>
  <si>
    <t>Russell Robinson</t>
  </si>
  <si>
    <t>Mark Brown</t>
  </si>
  <si>
    <t>E1936</t>
  </si>
  <si>
    <t>Gregory Gutierrez</t>
  </si>
  <si>
    <t>Amy Simpson</t>
  </si>
  <si>
    <t>E1937</t>
  </si>
  <si>
    <t>Alan Matthews</t>
  </si>
  <si>
    <t>Amy Cook</t>
  </si>
  <si>
    <t>E1938</t>
  </si>
  <si>
    <t>Mark Moran</t>
  </si>
  <si>
    <t>Natasha Lopez</t>
  </si>
  <si>
    <t>E1939</t>
  </si>
  <si>
    <t>Kathryn Jensen</t>
  </si>
  <si>
    <t>Michelle Serrano</t>
  </si>
  <si>
    <t>E1940</t>
  </si>
  <si>
    <t>Diana Hill</t>
  </si>
  <si>
    <t>Tammie David</t>
  </si>
  <si>
    <t>E1941</t>
  </si>
  <si>
    <t>Sonya Wyatt</t>
  </si>
  <si>
    <t>John Mcdonald</t>
  </si>
  <si>
    <t>E1942</t>
  </si>
  <si>
    <t>Joshua Foster MD</t>
  </si>
  <si>
    <t>E1943</t>
  </si>
  <si>
    <t>Garrett Marquez</t>
  </si>
  <si>
    <t>Kim Powell</t>
  </si>
  <si>
    <t>E1944</t>
  </si>
  <si>
    <t>Scott Vasquez</t>
  </si>
  <si>
    <t>E1945</t>
  </si>
  <si>
    <t>Brian Williams</t>
  </si>
  <si>
    <t>Carrie Ramirez</t>
  </si>
  <si>
    <t>E1946</t>
  </si>
  <si>
    <t>Angela Scott</t>
  </si>
  <si>
    <t>Jennifer Peterson</t>
  </si>
  <si>
    <t>E1947</t>
  </si>
  <si>
    <t>Benjamin Giles</t>
  </si>
  <si>
    <t>Joshua Robertson</t>
  </si>
  <si>
    <t>E1948</t>
  </si>
  <si>
    <t>Eric Allen</t>
  </si>
  <si>
    <t>Travis Melendez</t>
  </si>
  <si>
    <t>E1949</t>
  </si>
  <si>
    <t>Leslie Tapia</t>
  </si>
  <si>
    <t>Kevin Baker</t>
  </si>
  <si>
    <t>E1950</t>
  </si>
  <si>
    <t>Jennifer Dean</t>
  </si>
  <si>
    <t>Richard Hart</t>
  </si>
  <si>
    <t>E1951</t>
  </si>
  <si>
    <t>Roger Wilson</t>
  </si>
  <si>
    <t>Carolyn Reed</t>
  </si>
  <si>
    <t>E1952</t>
  </si>
  <si>
    <t>Debra Boone</t>
  </si>
  <si>
    <t>Willie Moore</t>
  </si>
  <si>
    <t>E1953</t>
  </si>
  <si>
    <t>Michelle Holder</t>
  </si>
  <si>
    <t>Wesley Schultz</t>
  </si>
  <si>
    <t>E1954</t>
  </si>
  <si>
    <t>Heather Bailey</t>
  </si>
  <si>
    <t>Kelly Flowers</t>
  </si>
  <si>
    <t>E1955</t>
  </si>
  <si>
    <t>Darlene Rivera</t>
  </si>
  <si>
    <t>David Robinson</t>
  </si>
  <si>
    <t>E1956</t>
  </si>
  <si>
    <t>Courtney Bell</t>
  </si>
  <si>
    <t>Denise Diaz</t>
  </si>
  <si>
    <t>E1957</t>
  </si>
  <si>
    <t>Kyle Peck</t>
  </si>
  <si>
    <t>Ronald Smith</t>
  </si>
  <si>
    <t>E1958</t>
  </si>
  <si>
    <t>Michelle Nelson</t>
  </si>
  <si>
    <t>Heather Porter</t>
  </si>
  <si>
    <t>E1959</t>
  </si>
  <si>
    <t>Jennifer Krueger</t>
  </si>
  <si>
    <t>Jessica Collins</t>
  </si>
  <si>
    <t>E1960</t>
  </si>
  <si>
    <t>Carol Moon</t>
  </si>
  <si>
    <t>Aaron Murphy</t>
  </si>
  <si>
    <t>E1961</t>
  </si>
  <si>
    <t>Erin Hernandez</t>
  </si>
  <si>
    <t>Richard Ramirez</t>
  </si>
  <si>
    <t>E1962</t>
  </si>
  <si>
    <t>Cindy Wilson</t>
  </si>
  <si>
    <t>Destiny Fowler</t>
  </si>
  <si>
    <t>E1963</t>
  </si>
  <si>
    <t>Leslie Simpson</t>
  </si>
  <si>
    <t>Maria Gonzalez</t>
  </si>
  <si>
    <t>E1964</t>
  </si>
  <si>
    <t>Dawn Martinez</t>
  </si>
  <si>
    <t>Michael Mcclain</t>
  </si>
  <si>
    <t>E1965</t>
  </si>
  <si>
    <t>David Martin</t>
  </si>
  <si>
    <t>Sharon Cardenas MD</t>
  </si>
  <si>
    <t>E1966</t>
  </si>
  <si>
    <t>Kristin Garcia</t>
  </si>
  <si>
    <t>Anna Cole</t>
  </si>
  <si>
    <t>E1967</t>
  </si>
  <si>
    <t>Zachary Hoffman</t>
  </si>
  <si>
    <t>Jacqueline Miller</t>
  </si>
  <si>
    <t>E1968</t>
  </si>
  <si>
    <t>April Perez</t>
  </si>
  <si>
    <t>Sharon Dean</t>
  </si>
  <si>
    <t>E1969</t>
  </si>
  <si>
    <t>Mark Jenkins</t>
  </si>
  <si>
    <t>Shelly Gomez</t>
  </si>
  <si>
    <t>E1970</t>
  </si>
  <si>
    <t>Amy Gibson</t>
  </si>
  <si>
    <t>Tyler Barton</t>
  </si>
  <si>
    <t>E1971</t>
  </si>
  <si>
    <t>Miranda Williams</t>
  </si>
  <si>
    <t>Stephanie Reeves</t>
  </si>
  <si>
    <t>E1972</t>
  </si>
  <si>
    <t>Michael Reed</t>
  </si>
  <si>
    <t>Stephen Sanchez</t>
  </si>
  <si>
    <t>E1973</t>
  </si>
  <si>
    <t>Steven Dixon</t>
  </si>
  <si>
    <t>Kelly Blankenship</t>
  </si>
  <si>
    <t>E1974</t>
  </si>
  <si>
    <t>Richard Scott</t>
  </si>
  <si>
    <t>Mathew Wells</t>
  </si>
  <si>
    <t>E1975</t>
  </si>
  <si>
    <t>Elijah Johnson</t>
  </si>
  <si>
    <t>Duane Flores</t>
  </si>
  <si>
    <t>E1976</t>
  </si>
  <si>
    <t>Michael Vincent</t>
  </si>
  <si>
    <t>Jeffrey Kirby</t>
  </si>
  <si>
    <t>E1977</t>
  </si>
  <si>
    <t>Christina Parks</t>
  </si>
  <si>
    <t>William Shepherd</t>
  </si>
  <si>
    <t>E1978</t>
  </si>
  <si>
    <t>Charles Fields</t>
  </si>
  <si>
    <t>Michael Moore</t>
  </si>
  <si>
    <t>E1979</t>
  </si>
  <si>
    <t>Angela Jones</t>
  </si>
  <si>
    <t>Justin Norton</t>
  </si>
  <si>
    <t>E1980</t>
  </si>
  <si>
    <t>Arthur Mayer</t>
  </si>
  <si>
    <t>Peggy Butler</t>
  </si>
  <si>
    <t>E1981</t>
  </si>
  <si>
    <t>Kimberly Choi</t>
  </si>
  <si>
    <t>Thomas Webb</t>
  </si>
  <si>
    <t>E1982</t>
  </si>
  <si>
    <t>Fred Stone</t>
  </si>
  <si>
    <t>Jasmine Myers</t>
  </si>
  <si>
    <t>E1983</t>
  </si>
  <si>
    <t>Jasmine Young</t>
  </si>
  <si>
    <t>Christopher Edwards</t>
  </si>
  <si>
    <t>E1984</t>
  </si>
  <si>
    <t>Mary Wise</t>
  </si>
  <si>
    <t>Terri Hernandez PhD</t>
  </si>
  <si>
    <t>E1985</t>
  </si>
  <si>
    <t>Brett Wilson</t>
  </si>
  <si>
    <t>Angela Mckenzie</t>
  </si>
  <si>
    <t>E1986</t>
  </si>
  <si>
    <t>Stephen Hernandez</t>
  </si>
  <si>
    <t>Kristy Marquez DDS</t>
  </si>
  <si>
    <t>E1987</t>
  </si>
  <si>
    <t>Nicole Phillips</t>
  </si>
  <si>
    <t>Jessica Bowman</t>
  </si>
  <si>
    <t>E1988</t>
  </si>
  <si>
    <t>Cindy Williams</t>
  </si>
  <si>
    <t>Timothy Hawkins</t>
  </si>
  <si>
    <t>E1989</t>
  </si>
  <si>
    <t>Steven Hogan</t>
  </si>
  <si>
    <t>Melissa Hicks</t>
  </si>
  <si>
    <t>E1990</t>
  </si>
  <si>
    <t>Hector Jones</t>
  </si>
  <si>
    <t>Laura Dodson</t>
  </si>
  <si>
    <t>E1991</t>
  </si>
  <si>
    <t>Alison Sloan</t>
  </si>
  <si>
    <t>Eric Romero</t>
  </si>
  <si>
    <t>E1992</t>
  </si>
  <si>
    <t>Cameron Jackson</t>
  </si>
  <si>
    <t>Juan Snyder</t>
  </si>
  <si>
    <t>E1993</t>
  </si>
  <si>
    <t>Mrs. Kaitlyn Lopez</t>
  </si>
  <si>
    <t>Isabel Castaneda</t>
  </si>
  <si>
    <t>E1994</t>
  </si>
  <si>
    <t>Keith Parker</t>
  </si>
  <si>
    <t>Ethan Reid</t>
  </si>
  <si>
    <t>E1995</t>
  </si>
  <si>
    <t>Carla Cabrera</t>
  </si>
  <si>
    <t>Herbert Cooper</t>
  </si>
  <si>
    <t>E1996</t>
  </si>
  <si>
    <t>Anthony Moore</t>
  </si>
  <si>
    <t>Scott Brown</t>
  </si>
  <si>
    <t>E1997</t>
  </si>
  <si>
    <t>John Ward</t>
  </si>
  <si>
    <t>Zachary Nguyen</t>
  </si>
  <si>
    <t>E1998</t>
  </si>
  <si>
    <t>James Jackson</t>
  </si>
  <si>
    <t>David Rivers</t>
  </si>
  <si>
    <t>E1999</t>
  </si>
  <si>
    <t>Donald Paul</t>
  </si>
  <si>
    <t>Jasmine Lopez</t>
  </si>
  <si>
    <t>E2000</t>
  </si>
  <si>
    <t>Jonathan Henderson</t>
  </si>
  <si>
    <t>Kimberly Rogers</t>
  </si>
  <si>
    <t>E2001</t>
  </si>
  <si>
    <t>Luis Ortiz</t>
  </si>
  <si>
    <t>Ronald Levine</t>
  </si>
  <si>
    <t>E2002</t>
  </si>
  <si>
    <t>Ashley Peters</t>
  </si>
  <si>
    <t>Alexis Obrien</t>
  </si>
  <si>
    <t>E2003</t>
  </si>
  <si>
    <t>Amber Jefferson</t>
  </si>
  <si>
    <t>Bradley Wong</t>
  </si>
  <si>
    <t>E2004</t>
  </si>
  <si>
    <t>William Robinson</t>
  </si>
  <si>
    <t>Angela Chang</t>
  </si>
  <si>
    <t>E2005</t>
  </si>
  <si>
    <t>Tracy Bennett</t>
  </si>
  <si>
    <t>Katherine Griffin</t>
  </si>
  <si>
    <t>E2006</t>
  </si>
  <si>
    <t>Kevin Mosley</t>
  </si>
  <si>
    <t>Thomas Berger</t>
  </si>
  <si>
    <t>E2007</t>
  </si>
  <si>
    <t>Peter Russell</t>
  </si>
  <si>
    <t>Christopher Garza</t>
  </si>
  <si>
    <t>E2008</t>
  </si>
  <si>
    <t>Jeffrey Huang</t>
  </si>
  <si>
    <t>Erika Thomas</t>
  </si>
  <si>
    <t>E2009</t>
  </si>
  <si>
    <t>Cassandra Kennedy</t>
  </si>
  <si>
    <t>Sandra Perez</t>
  </si>
  <si>
    <t>E2010</t>
  </si>
  <si>
    <t>Melissa Chavez</t>
  </si>
  <si>
    <t>Jessica Hodge</t>
  </si>
  <si>
    <t>E2011</t>
  </si>
  <si>
    <t>Eric Joseph</t>
  </si>
  <si>
    <t>Mitchell Sutton</t>
  </si>
  <si>
    <t>E2012</t>
  </si>
  <si>
    <t>Anna Conner</t>
  </si>
  <si>
    <t>E2013</t>
  </si>
  <si>
    <t>Laura Fischer</t>
  </si>
  <si>
    <t>Brett Osborne</t>
  </si>
  <si>
    <t>E2014</t>
  </si>
  <si>
    <t>Steven Walker</t>
  </si>
  <si>
    <t>Marvin Buchanan</t>
  </si>
  <si>
    <t>E2015</t>
  </si>
  <si>
    <t>Kelli Martin</t>
  </si>
  <si>
    <t>Lynn Stokes</t>
  </si>
  <si>
    <t>E2016</t>
  </si>
  <si>
    <t>Joseph Daniels</t>
  </si>
  <si>
    <t>William Estrada</t>
  </si>
  <si>
    <t>E2017</t>
  </si>
  <si>
    <t>Maurice Rodriguez</t>
  </si>
  <si>
    <t>Scott Nichols</t>
  </si>
  <si>
    <t>E2018</t>
  </si>
  <si>
    <t>Danielle Russell</t>
  </si>
  <si>
    <t>Kendra Sims</t>
  </si>
  <si>
    <t>E2019</t>
  </si>
  <si>
    <t>Kathy Harris</t>
  </si>
  <si>
    <t>Matthew Gardner</t>
  </si>
  <si>
    <t>E2020</t>
  </si>
  <si>
    <t>Alyssa Cruz</t>
  </si>
  <si>
    <t>Eric Maynard</t>
  </si>
  <si>
    <t>E2021</t>
  </si>
  <si>
    <t>Theresa Todd</t>
  </si>
  <si>
    <t>Ronald Daugherty</t>
  </si>
  <si>
    <t>E2022</t>
  </si>
  <si>
    <t>Lisa Gonzalez</t>
  </si>
  <si>
    <t>Adam Mendoza</t>
  </si>
  <si>
    <t>E2023</t>
  </si>
  <si>
    <t>Charles Aguilar</t>
  </si>
  <si>
    <t>Todd Vincent</t>
  </si>
  <si>
    <t>E2024</t>
  </si>
  <si>
    <t>Richard Douglas</t>
  </si>
  <si>
    <t>Holly Young</t>
  </si>
  <si>
    <t>E2025</t>
  </si>
  <si>
    <t>Maureen Brown</t>
  </si>
  <si>
    <t>Kelly Martinez</t>
  </si>
  <si>
    <t>E2026</t>
  </si>
  <si>
    <t>Robin Smith</t>
  </si>
  <si>
    <t>Donna Walters</t>
  </si>
  <si>
    <t>E2027</t>
  </si>
  <si>
    <t>Samuel Roberson</t>
  </si>
  <si>
    <t>Melissa Buckley</t>
  </si>
  <si>
    <t>E2028</t>
  </si>
  <si>
    <t>Maria Andersen</t>
  </si>
  <si>
    <t>Nicole Martin</t>
  </si>
  <si>
    <t>E2029</t>
  </si>
  <si>
    <t>Elizabeth Garrett</t>
  </si>
  <si>
    <t>Janice Williams</t>
  </si>
  <si>
    <t>E2030</t>
  </si>
  <si>
    <t>Melissa Barnes</t>
  </si>
  <si>
    <t>E2031</t>
  </si>
  <si>
    <t>Mary Moses</t>
  </si>
  <si>
    <t>Barbara Anderson</t>
  </si>
  <si>
    <t>E2032</t>
  </si>
  <si>
    <t>Christopher Craig</t>
  </si>
  <si>
    <t>Wendy Brown</t>
  </si>
  <si>
    <t>E2033</t>
  </si>
  <si>
    <t>Brittany Marshall</t>
  </si>
  <si>
    <t>Louis Schaefer</t>
  </si>
  <si>
    <t>E2034</t>
  </si>
  <si>
    <t>Anthony Peterson</t>
  </si>
  <si>
    <t>Emily Moore</t>
  </si>
  <si>
    <t>E2035</t>
  </si>
  <si>
    <t>Phyllis Gordon</t>
  </si>
  <si>
    <t>Kristen Carpenter</t>
  </si>
  <si>
    <t>E2036</t>
  </si>
  <si>
    <t>Theresa Smith</t>
  </si>
  <si>
    <t>Daniel Trujillo</t>
  </si>
  <si>
    <t>E2037</t>
  </si>
  <si>
    <t>Gregory Adkins</t>
  </si>
  <si>
    <t>Darlene Glass</t>
  </si>
  <si>
    <t>E2038</t>
  </si>
  <si>
    <t>James Adams</t>
  </si>
  <si>
    <t>Angela Wilson</t>
  </si>
  <si>
    <t>E2039</t>
  </si>
  <si>
    <t>Latoya Williams</t>
  </si>
  <si>
    <t>Thomas Montoya</t>
  </si>
  <si>
    <t>E2040</t>
  </si>
  <si>
    <t>Christopher Baker</t>
  </si>
  <si>
    <t>Yvonne Scott</t>
  </si>
  <si>
    <t>E2041</t>
  </si>
  <si>
    <t>Kevin Grimes</t>
  </si>
  <si>
    <t>E2042</t>
  </si>
  <si>
    <t>Chris Cruz</t>
  </si>
  <si>
    <t>Robert Serrano</t>
  </si>
  <si>
    <t>E2043</t>
  </si>
  <si>
    <t>Cory Page</t>
  </si>
  <si>
    <t>Destiny Austin</t>
  </si>
  <si>
    <t>E2044</t>
  </si>
  <si>
    <t>Mr. Ronald King MD</t>
  </si>
  <si>
    <t>Shannon Wilson</t>
  </si>
  <si>
    <t>E2045</t>
  </si>
  <si>
    <t>Pamela Cain</t>
  </si>
  <si>
    <t>Michelle Mcdonald</t>
  </si>
  <si>
    <t>E2046</t>
  </si>
  <si>
    <t>Steven Webb</t>
  </si>
  <si>
    <t>Johnathan Mcdonald</t>
  </si>
  <si>
    <t>E2047</t>
  </si>
  <si>
    <t>Sara Gardner</t>
  </si>
  <si>
    <t>Hannah Schwartz</t>
  </si>
  <si>
    <t>E2048</t>
  </si>
  <si>
    <t>Stanley Bates</t>
  </si>
  <si>
    <t>Chase Foster</t>
  </si>
  <si>
    <t>E2049</t>
  </si>
  <si>
    <t>Sherry Ramirez</t>
  </si>
  <si>
    <t>Michelle Cohen</t>
  </si>
  <si>
    <t>E2050</t>
  </si>
  <si>
    <t>Cynthia Hester</t>
  </si>
  <si>
    <t>Richard Smith</t>
  </si>
  <si>
    <t>E2051</t>
  </si>
  <si>
    <t>Melissa Mccormick</t>
  </si>
  <si>
    <t>Christine Peters</t>
  </si>
  <si>
    <t>E2052</t>
  </si>
  <si>
    <t>Nicole Rivera</t>
  </si>
  <si>
    <t>Tracy Morrison</t>
  </si>
  <si>
    <t>E2053</t>
  </si>
  <si>
    <t>Jennifer Everett</t>
  </si>
  <si>
    <t>Jeffrey Williams</t>
  </si>
  <si>
    <t>E2054</t>
  </si>
  <si>
    <t>Juan Hayden</t>
  </si>
  <si>
    <t>Shannon Williams</t>
  </si>
  <si>
    <t>E2055</t>
  </si>
  <si>
    <t>Gavin Wilson</t>
  </si>
  <si>
    <t>Walter Lopez</t>
  </si>
  <si>
    <t>E2056</t>
  </si>
  <si>
    <t>Katie Contreras</t>
  </si>
  <si>
    <t>Charles White</t>
  </si>
  <si>
    <t>E2057</t>
  </si>
  <si>
    <t>Paula Morton</t>
  </si>
  <si>
    <t>Heather Davis</t>
  </si>
  <si>
    <t>E2058</t>
  </si>
  <si>
    <t>Andre Peterson</t>
  </si>
  <si>
    <t>Monica Morgan</t>
  </si>
  <si>
    <t>E2059</t>
  </si>
  <si>
    <t>Melanie Buchanan</t>
  </si>
  <si>
    <t>Casey Bowen</t>
  </si>
  <si>
    <t>E2060</t>
  </si>
  <si>
    <t>Tracy Knight</t>
  </si>
  <si>
    <t>Candice Taylor MD</t>
  </si>
  <si>
    <t>E2061</t>
  </si>
  <si>
    <t>Jose Jimenez</t>
  </si>
  <si>
    <t>E2062</t>
  </si>
  <si>
    <t>Kathleen Blake</t>
  </si>
  <si>
    <t>Lori Lyons</t>
  </si>
  <si>
    <t>E2063</t>
  </si>
  <si>
    <t>Corey Glass</t>
  </si>
  <si>
    <t>Barbara Smith</t>
  </si>
  <si>
    <t>E2064</t>
  </si>
  <si>
    <t>Glenn Gonzalez</t>
  </si>
  <si>
    <t>Taylor Harrington</t>
  </si>
  <si>
    <t>E2065</t>
  </si>
  <si>
    <t>Antonio Cooley</t>
  </si>
  <si>
    <t>Anthony Hamilton</t>
  </si>
  <si>
    <t>E2066</t>
  </si>
  <si>
    <t>Kimberly Sanders</t>
  </si>
  <si>
    <t>Ronald Martin</t>
  </si>
  <si>
    <t>E2067</t>
  </si>
  <si>
    <t>Megan Mendez</t>
  </si>
  <si>
    <t>Gregory Webb</t>
  </si>
  <si>
    <t>E2068</t>
  </si>
  <si>
    <t>Melinda Crawford</t>
  </si>
  <si>
    <t>Craig Garrett</t>
  </si>
  <si>
    <t>E2069</t>
  </si>
  <si>
    <t>Nicole Goodwin</t>
  </si>
  <si>
    <t>Christopher Ramos</t>
  </si>
  <si>
    <t>E2070</t>
  </si>
  <si>
    <t>Alicia Franklin</t>
  </si>
  <si>
    <t>Barbara Blake</t>
  </si>
  <si>
    <t>E2071</t>
  </si>
  <si>
    <t>Mr. Michael Johnston</t>
  </si>
  <si>
    <t>Jennifer Bryan</t>
  </si>
  <si>
    <t>E2072</t>
  </si>
  <si>
    <t>Evelyn Miller</t>
  </si>
  <si>
    <t>Kerry Dominguez</t>
  </si>
  <si>
    <t>E2073</t>
  </si>
  <si>
    <t>Shannon Green</t>
  </si>
  <si>
    <t>Jodi Webster</t>
  </si>
  <si>
    <t>E2074</t>
  </si>
  <si>
    <t>Dylan White</t>
  </si>
  <si>
    <t>Diane Guzman</t>
  </si>
  <si>
    <t>E2075</t>
  </si>
  <si>
    <t>Adam Merritt</t>
  </si>
  <si>
    <t>Joseph Contreras</t>
  </si>
  <si>
    <t>E2076</t>
  </si>
  <si>
    <t>Michael Mcdonald</t>
  </si>
  <si>
    <t>Allison Sanders</t>
  </si>
  <si>
    <t>E2077</t>
  </si>
  <si>
    <t>Michael Beck</t>
  </si>
  <si>
    <t>Jeremy Smith</t>
  </si>
  <si>
    <t>E2078</t>
  </si>
  <si>
    <t>Mark Fisher</t>
  </si>
  <si>
    <t>E2079</t>
  </si>
  <si>
    <t>David Randall</t>
  </si>
  <si>
    <t>Jennifer Wang</t>
  </si>
  <si>
    <t>E2080</t>
  </si>
  <si>
    <t>Tiffany Hayden</t>
  </si>
  <si>
    <t>Rebecca Bell</t>
  </si>
  <si>
    <t>E2081</t>
  </si>
  <si>
    <t>Tamara Valenzuela</t>
  </si>
  <si>
    <t>Kimberly Brooks</t>
  </si>
  <si>
    <t>E2082</t>
  </si>
  <si>
    <t>Amber Fischer</t>
  </si>
  <si>
    <t>Bruce Morris</t>
  </si>
  <si>
    <t>E2083</t>
  </si>
  <si>
    <t>Mr. Christopher Wright</t>
  </si>
  <si>
    <t>Patricia Miller</t>
  </si>
  <si>
    <t>E2084</t>
  </si>
  <si>
    <t>Jonathan Tapia</t>
  </si>
  <si>
    <t>Angela Rocha</t>
  </si>
  <si>
    <t>E2085</t>
  </si>
  <si>
    <t>Kaylee Smith</t>
  </si>
  <si>
    <t>Tamara Simon</t>
  </si>
  <si>
    <t>E2086</t>
  </si>
  <si>
    <t>Dustin Duncan</t>
  </si>
  <si>
    <t>Deborah Elliott</t>
  </si>
  <si>
    <t>E2087</t>
  </si>
  <si>
    <t>Dr. Karen Arnold</t>
  </si>
  <si>
    <t>Daniel Stewart</t>
  </si>
  <si>
    <t>E2088</t>
  </si>
  <si>
    <t>Jimmy Smith</t>
  </si>
  <si>
    <t>E2089</t>
  </si>
  <si>
    <t>Timothy Beck</t>
  </si>
  <si>
    <t>Erin Scott</t>
  </si>
  <si>
    <t>E2090</t>
  </si>
  <si>
    <t>Kyle Mccarthy</t>
  </si>
  <si>
    <t>Andrew Wong</t>
  </si>
  <si>
    <t>E2091</t>
  </si>
  <si>
    <t>Karen Powell</t>
  </si>
  <si>
    <t>E2092</t>
  </si>
  <si>
    <t>Morgan Walton</t>
  </si>
  <si>
    <t>Donald Mcguire</t>
  </si>
  <si>
    <t>E2093</t>
  </si>
  <si>
    <t>Craig Young</t>
  </si>
  <si>
    <t>Sarah Wolf</t>
  </si>
  <si>
    <t>E2094</t>
  </si>
  <si>
    <t>Keith Hart</t>
  </si>
  <si>
    <t>Sarah Ferguson</t>
  </si>
  <si>
    <t>E2095</t>
  </si>
  <si>
    <t>Natalie Hendrix</t>
  </si>
  <si>
    <t>Melissa Nguyen</t>
  </si>
  <si>
    <t>E2096</t>
  </si>
  <si>
    <t>Julie Haynes</t>
  </si>
  <si>
    <t>Taylor Garrison</t>
  </si>
  <si>
    <t>E2097</t>
  </si>
  <si>
    <t>Jordan Taylor</t>
  </si>
  <si>
    <t>David Jones</t>
  </si>
  <si>
    <t>E2098</t>
  </si>
  <si>
    <t>Daniel Black</t>
  </si>
  <si>
    <t>Cheryl Robles</t>
  </si>
  <si>
    <t>E2099</t>
  </si>
  <si>
    <t>James Ali</t>
  </si>
  <si>
    <t>Janet Rodriguez</t>
  </si>
  <si>
    <t>E2100</t>
  </si>
  <si>
    <t>Derek Tucker</t>
  </si>
  <si>
    <t>Anthony Kelly</t>
  </si>
  <si>
    <t>E2101</t>
  </si>
  <si>
    <t>Brendan Kennedy</t>
  </si>
  <si>
    <t>Anthony Price</t>
  </si>
  <si>
    <t>E2102</t>
  </si>
  <si>
    <t>Jose Collins</t>
  </si>
  <si>
    <t>Katherine Flores</t>
  </si>
  <si>
    <t>E2103</t>
  </si>
  <si>
    <t>Angelica Wheeler</t>
  </si>
  <si>
    <t>E2104</t>
  </si>
  <si>
    <t>Robert Allen</t>
  </si>
  <si>
    <t>Rachael Manning</t>
  </si>
  <si>
    <t>E2105</t>
  </si>
  <si>
    <t>Tracey Jackson</t>
  </si>
  <si>
    <t>Laura Steele</t>
  </si>
  <si>
    <t>E2106</t>
  </si>
  <si>
    <t>Ann Harrison</t>
  </si>
  <si>
    <t>Ronald Garcia</t>
  </si>
  <si>
    <t>E2107</t>
  </si>
  <si>
    <t>Kayla Hunter</t>
  </si>
  <si>
    <t>Andrew Carter</t>
  </si>
  <si>
    <t>E2108</t>
  </si>
  <si>
    <t>Richard Wood</t>
  </si>
  <si>
    <t>Lisa Villa</t>
  </si>
  <si>
    <t>E2109</t>
  </si>
  <si>
    <t>Mrs. Jennifer Monroe MD</t>
  </si>
  <si>
    <t>Tracy Smith</t>
  </si>
  <si>
    <t>E2110</t>
  </si>
  <si>
    <t>Mrs. Veronica Steele</t>
  </si>
  <si>
    <t>Donald Thompson</t>
  </si>
  <si>
    <t>E2111</t>
  </si>
  <si>
    <t>Donna Sanchez</t>
  </si>
  <si>
    <t>E2112</t>
  </si>
  <si>
    <t>David Harris</t>
  </si>
  <si>
    <t>Veronica Rosales</t>
  </si>
  <si>
    <t>E2113</t>
  </si>
  <si>
    <t>Robert Meadows</t>
  </si>
  <si>
    <t>Bradley Carter</t>
  </si>
  <si>
    <t>E2114</t>
  </si>
  <si>
    <t>Corey Gonzalez</t>
  </si>
  <si>
    <t>Annette Randall</t>
  </si>
  <si>
    <t>E2115</t>
  </si>
  <si>
    <t>Matthew Hays</t>
  </si>
  <si>
    <t>E2116</t>
  </si>
  <si>
    <t>Brenda Walker</t>
  </si>
  <si>
    <t>Pedro Andersen</t>
  </si>
  <si>
    <t>E2117</t>
  </si>
  <si>
    <t>Susan Vazquez</t>
  </si>
  <si>
    <t>Jesse Jennings</t>
  </si>
  <si>
    <t>E2118</t>
  </si>
  <si>
    <t>Lisa Stevens</t>
  </si>
  <si>
    <t>Anthony Carlson</t>
  </si>
  <si>
    <t>E2119</t>
  </si>
  <si>
    <t>Dennis Ochoa</t>
  </si>
  <si>
    <t>E2120</t>
  </si>
  <si>
    <t>Matthew Charles</t>
  </si>
  <si>
    <t>Sarah Adams</t>
  </si>
  <si>
    <t>E2121</t>
  </si>
  <si>
    <t>David George</t>
  </si>
  <si>
    <t>Benjamin Thompson</t>
  </si>
  <si>
    <t>E2122</t>
  </si>
  <si>
    <t>Paul Cortez</t>
  </si>
  <si>
    <t>Roger Williams</t>
  </si>
  <si>
    <t>E2123</t>
  </si>
  <si>
    <t>Monica Young</t>
  </si>
  <si>
    <t>Patricia Hernandez</t>
  </si>
  <si>
    <t>E2124</t>
  </si>
  <si>
    <t>Alex Parker</t>
  </si>
  <si>
    <t>Sean Michael</t>
  </si>
  <si>
    <t>E2125</t>
  </si>
  <si>
    <t>Mandy Sloan</t>
  </si>
  <si>
    <t>Jonathan York</t>
  </si>
  <si>
    <t>E2126</t>
  </si>
  <si>
    <t>Cathy Bond</t>
  </si>
  <si>
    <t>Juan Norris</t>
  </si>
  <si>
    <t>E2127</t>
  </si>
  <si>
    <t>Elizabeth Thompson</t>
  </si>
  <si>
    <t>Joshua Mills</t>
  </si>
  <si>
    <t>E2128</t>
  </si>
  <si>
    <t>Karen Randolph</t>
  </si>
  <si>
    <t>Natalie Collins</t>
  </si>
  <si>
    <t>E2129</t>
  </si>
  <si>
    <t>Robert Greene</t>
  </si>
  <si>
    <t>E2130</t>
  </si>
  <si>
    <t>Brenda Richards</t>
  </si>
  <si>
    <t>Christy Martinez</t>
  </si>
  <si>
    <t>E2131</t>
  </si>
  <si>
    <t>Laurie Garcia</t>
  </si>
  <si>
    <t>Katherine Campbell</t>
  </si>
  <si>
    <t>E2132</t>
  </si>
  <si>
    <t>Brenda Robinson</t>
  </si>
  <si>
    <t>David Le</t>
  </si>
  <si>
    <t>E2133</t>
  </si>
  <si>
    <t>Jacob Huber</t>
  </si>
  <si>
    <t>Linda Wright</t>
  </si>
  <si>
    <t>E2134</t>
  </si>
  <si>
    <t>Dominic Wilson</t>
  </si>
  <si>
    <t>Jessica Wolfe</t>
  </si>
  <si>
    <t>E2135</t>
  </si>
  <si>
    <t>Jennifer Dennis</t>
  </si>
  <si>
    <t>Stephanie Orr MD</t>
  </si>
  <si>
    <t>E2136</t>
  </si>
  <si>
    <t>Tina Hooper</t>
  </si>
  <si>
    <t>Tammy Fisher</t>
  </si>
  <si>
    <t>E2137</t>
  </si>
  <si>
    <t>Anthony Young</t>
  </si>
  <si>
    <t>Timothy Bennett</t>
  </si>
  <si>
    <t>E2138</t>
  </si>
  <si>
    <t>Jason Haney</t>
  </si>
  <si>
    <t>E2139</t>
  </si>
  <si>
    <t>Kyle Boyer</t>
  </si>
  <si>
    <t>Douglas Williams</t>
  </si>
  <si>
    <t>E2140</t>
  </si>
  <si>
    <t>Amy Garza</t>
  </si>
  <si>
    <t>Derrick Kim</t>
  </si>
  <si>
    <t>E2141</t>
  </si>
  <si>
    <t>Jessica Roman</t>
  </si>
  <si>
    <t>Derrick Lewis</t>
  </si>
  <si>
    <t>E2142</t>
  </si>
  <si>
    <t>Brian Terrell</t>
  </si>
  <si>
    <t>Carol Roach</t>
  </si>
  <si>
    <t>E2143</t>
  </si>
  <si>
    <t>Daniel Mitchell</t>
  </si>
  <si>
    <t>Brian Alvarado</t>
  </si>
  <si>
    <t>E2144</t>
  </si>
  <si>
    <t>Cynthia Hinton</t>
  </si>
  <si>
    <t>Christopher Carlson</t>
  </si>
  <si>
    <t>E2145</t>
  </si>
  <si>
    <t>Robert Diaz</t>
  </si>
  <si>
    <t>William Velez</t>
  </si>
  <si>
    <t>E2146</t>
  </si>
  <si>
    <t>Jacob Martin</t>
  </si>
  <si>
    <t>Harold Delacruz</t>
  </si>
  <si>
    <t>E2147</t>
  </si>
  <si>
    <t>Emily Simmons</t>
  </si>
  <si>
    <t>Shaun Myers</t>
  </si>
  <si>
    <t>E2148</t>
  </si>
  <si>
    <t>Douglas Walker</t>
  </si>
  <si>
    <t>Kelly Green</t>
  </si>
  <si>
    <t>E2149</t>
  </si>
  <si>
    <t>Carlos Dixon</t>
  </si>
  <si>
    <t>Kathryn Smith</t>
  </si>
  <si>
    <t>E2150</t>
  </si>
  <si>
    <t>Barbara Miller</t>
  </si>
  <si>
    <t>Barbara Powell</t>
  </si>
  <si>
    <t>E2151</t>
  </si>
  <si>
    <t>Cindy Jones</t>
  </si>
  <si>
    <t>E2152</t>
  </si>
  <si>
    <t>Steven White</t>
  </si>
  <si>
    <t>John Davis</t>
  </si>
  <si>
    <t>E2153</t>
  </si>
  <si>
    <t>Todd Waller</t>
  </si>
  <si>
    <t>Timothy Smith</t>
  </si>
  <si>
    <t>E2154</t>
  </si>
  <si>
    <t>Shannon Stokes</t>
  </si>
  <si>
    <t>E2155</t>
  </si>
  <si>
    <t>Jose Lee</t>
  </si>
  <si>
    <t>Ryan Mcbride</t>
  </si>
  <si>
    <t>E2156</t>
  </si>
  <si>
    <t>Michael White</t>
  </si>
  <si>
    <t>Holly Marshall</t>
  </si>
  <si>
    <t>E2157</t>
  </si>
  <si>
    <t>Patrick Fuller</t>
  </si>
  <si>
    <t>Caitlin Powell</t>
  </si>
  <si>
    <t>E2158</t>
  </si>
  <si>
    <t>Mrs. Charlotte Anderson</t>
  </si>
  <si>
    <t>Francis Henry</t>
  </si>
  <si>
    <t>E2159</t>
  </si>
  <si>
    <t>Daniel Williams</t>
  </si>
  <si>
    <t>Michael Nielsen</t>
  </si>
  <si>
    <t>E2160</t>
  </si>
  <si>
    <t>Ashley Moody</t>
  </si>
  <si>
    <t>Joseph Burton</t>
  </si>
  <si>
    <t>E2161</t>
  </si>
  <si>
    <t>Jonathan Gonzalez</t>
  </si>
  <si>
    <t>Jason Walker</t>
  </si>
  <si>
    <t>E2162</t>
  </si>
  <si>
    <t>Gabriel Martin</t>
  </si>
  <si>
    <t>Kevin Noble</t>
  </si>
  <si>
    <t>E2163</t>
  </si>
  <si>
    <t>Carmen Chen</t>
  </si>
  <si>
    <t>Frances Mitchell</t>
  </si>
  <si>
    <t>E2164</t>
  </si>
  <si>
    <t>Pamela Hoover</t>
  </si>
  <si>
    <t>Julia Carson</t>
  </si>
  <si>
    <t>E2165</t>
  </si>
  <si>
    <t>Angela Morgan</t>
  </si>
  <si>
    <t>Aaron Ortega</t>
  </si>
  <si>
    <t>E2166</t>
  </si>
  <si>
    <t>Justin Beck</t>
  </si>
  <si>
    <t>Tara Graves</t>
  </si>
  <si>
    <t>E2167</t>
  </si>
  <si>
    <t>Danielle Chapman</t>
  </si>
  <si>
    <t>Willie Hunter MD</t>
  </si>
  <si>
    <t>E2168</t>
  </si>
  <si>
    <t>Jason Le</t>
  </si>
  <si>
    <t>Jason Ellis</t>
  </si>
  <si>
    <t>E2169</t>
  </si>
  <si>
    <t>Linda Shaw</t>
  </si>
  <si>
    <t>Timothy Edwards</t>
  </si>
  <si>
    <t>E2170</t>
  </si>
  <si>
    <t>Jennifer Nichols</t>
  </si>
  <si>
    <t>Laura Burns</t>
  </si>
  <si>
    <t>E2171</t>
  </si>
  <si>
    <t>Kellie Hall</t>
  </si>
  <si>
    <t>Mary Porter DVM</t>
  </si>
  <si>
    <t>E2172</t>
  </si>
  <si>
    <t>Angela Camacho</t>
  </si>
  <si>
    <t>Frank Howard</t>
  </si>
  <si>
    <t>E2173</t>
  </si>
  <si>
    <t>Michael Diaz</t>
  </si>
  <si>
    <t>Paula Edwards DVM</t>
  </si>
  <si>
    <t>E2174</t>
  </si>
  <si>
    <t>James Lloyd</t>
  </si>
  <si>
    <t>Ross Herring</t>
  </si>
  <si>
    <t>E2175</t>
  </si>
  <si>
    <t>Brian Jackson</t>
  </si>
  <si>
    <t>Zachary Hernandez</t>
  </si>
  <si>
    <t>E2176</t>
  </si>
  <si>
    <t>Richard Haas</t>
  </si>
  <si>
    <t>Jonathan Sims</t>
  </si>
  <si>
    <t>E2177</t>
  </si>
  <si>
    <t>Melanie Blackburn</t>
  </si>
  <si>
    <t>Richard Phillips</t>
  </si>
  <si>
    <t>E2178</t>
  </si>
  <si>
    <t>Melissa Santiago</t>
  </si>
  <si>
    <t>Russell Deleon</t>
  </si>
  <si>
    <t>E2179</t>
  </si>
  <si>
    <t>Christine Nelson</t>
  </si>
  <si>
    <t>April Trevino</t>
  </si>
  <si>
    <t>E2180</t>
  </si>
  <si>
    <t>Noah Scott</t>
  </si>
  <si>
    <t>Angela Harmon</t>
  </si>
  <si>
    <t>E2181</t>
  </si>
  <si>
    <t>Jonathan Johnson</t>
  </si>
  <si>
    <t>Brian Singleton</t>
  </si>
  <si>
    <t>E2182</t>
  </si>
  <si>
    <t>Terri Johnson</t>
  </si>
  <si>
    <t>Mary Warner</t>
  </si>
  <si>
    <t>E2183</t>
  </si>
  <si>
    <t>Chelsey Alexander</t>
  </si>
  <si>
    <t>Nicole Fleming</t>
  </si>
  <si>
    <t>E2184</t>
  </si>
  <si>
    <t>Mr. William Matthews</t>
  </si>
  <si>
    <t>Michael Mcpherson</t>
  </si>
  <si>
    <t>E2185</t>
  </si>
  <si>
    <t>Richard Escobar</t>
  </si>
  <si>
    <t>Mary Flores</t>
  </si>
  <si>
    <t>E2186</t>
  </si>
  <si>
    <t>James Spears</t>
  </si>
  <si>
    <t>Samuel Rodriguez</t>
  </si>
  <si>
    <t>E2187</t>
  </si>
  <si>
    <t>Clifford Chapman</t>
  </si>
  <si>
    <t>Melissa Boyd</t>
  </si>
  <si>
    <t>E2188</t>
  </si>
  <si>
    <t>Lisa Johnson</t>
  </si>
  <si>
    <t>Jon Lane</t>
  </si>
  <si>
    <t>E2189</t>
  </si>
  <si>
    <t>Rodney Haney</t>
  </si>
  <si>
    <t>Devin Wagner</t>
  </si>
  <si>
    <t>E2190</t>
  </si>
  <si>
    <t>Kyle Johnson</t>
  </si>
  <si>
    <t>Clifford Williams</t>
  </si>
  <si>
    <t>E2191</t>
  </si>
  <si>
    <t>David Warren</t>
  </si>
  <si>
    <t>Nathan Martinez</t>
  </si>
  <si>
    <t>E2192</t>
  </si>
  <si>
    <t>Leslie Turner</t>
  </si>
  <si>
    <t>Megan Glover</t>
  </si>
  <si>
    <t>E2193</t>
  </si>
  <si>
    <t>Beth Wilson</t>
  </si>
  <si>
    <t>Cynthia Washington</t>
  </si>
  <si>
    <t>E2194</t>
  </si>
  <si>
    <t>Melinda Chen</t>
  </si>
  <si>
    <t>Carlos Hernandez</t>
  </si>
  <si>
    <t>E2195</t>
  </si>
  <si>
    <t>Jill Jones</t>
  </si>
  <si>
    <t>Brian Porter</t>
  </si>
  <si>
    <t>E2196</t>
  </si>
  <si>
    <t>Erica Webster</t>
  </si>
  <si>
    <t>Diana Johnson</t>
  </si>
  <si>
    <t>E2197</t>
  </si>
  <si>
    <t>Cameron Rice</t>
  </si>
  <si>
    <t>Adam Mason</t>
  </si>
  <si>
    <t>E2198</t>
  </si>
  <si>
    <t>Carol Stark</t>
  </si>
  <si>
    <t>Oscar Cooper</t>
  </si>
  <si>
    <t>E2199</t>
  </si>
  <si>
    <t>Mr. Jimmy Robles</t>
  </si>
  <si>
    <t>Julie Martinez</t>
  </si>
  <si>
    <t>E2200</t>
  </si>
  <si>
    <t>Danielle Jenkins</t>
  </si>
  <si>
    <t>Sharon Baker</t>
  </si>
  <si>
    <t>E2201</t>
  </si>
  <si>
    <t>Alvin Brown</t>
  </si>
  <si>
    <t>Wayne Brooks</t>
  </si>
  <si>
    <t>E2202</t>
  </si>
  <si>
    <t>Daniel Miller MD</t>
  </si>
  <si>
    <t>Jacob Jones</t>
  </si>
  <si>
    <t>E2203</t>
  </si>
  <si>
    <t>Jennifer Kennedy</t>
  </si>
  <si>
    <t>Loretta Parker</t>
  </si>
  <si>
    <t>E2204</t>
  </si>
  <si>
    <t>Monica Perry</t>
  </si>
  <si>
    <t>Karla Randolph</t>
  </si>
  <si>
    <t>E2205</t>
  </si>
  <si>
    <t>Charles Russell</t>
  </si>
  <si>
    <t>Tony Frederick</t>
  </si>
  <si>
    <t>E2206</t>
  </si>
  <si>
    <t>Phyllis Miller</t>
  </si>
  <si>
    <t>Heather Smith</t>
  </si>
  <si>
    <t>E2207</t>
  </si>
  <si>
    <t>Thomas Vance</t>
  </si>
  <si>
    <t>William Arnold</t>
  </si>
  <si>
    <t>E2208</t>
  </si>
  <si>
    <t>Joshua Jones</t>
  </si>
  <si>
    <t>Joe Carter</t>
  </si>
  <si>
    <t>E2209</t>
  </si>
  <si>
    <t>Aaron Clark</t>
  </si>
  <si>
    <t>Cassandra Rivera</t>
  </si>
  <si>
    <t>E2210</t>
  </si>
  <si>
    <t>Kimberly Chan</t>
  </si>
  <si>
    <t>Christian Cuevas</t>
  </si>
  <si>
    <t>E2211</t>
  </si>
  <si>
    <t>Kathy Quinn</t>
  </si>
  <si>
    <t>E2212</t>
  </si>
  <si>
    <t>Kristie Wright</t>
  </si>
  <si>
    <t>Donald Rodriguez</t>
  </si>
  <si>
    <t>E2213</t>
  </si>
  <si>
    <t>Adam Woods</t>
  </si>
  <si>
    <t>Margaret Johnson</t>
  </si>
  <si>
    <t>E2214</t>
  </si>
  <si>
    <t>Kimberly Klein</t>
  </si>
  <si>
    <t>Angela Patton</t>
  </si>
  <si>
    <t>E2215</t>
  </si>
  <si>
    <t>Thomas Curry</t>
  </si>
  <si>
    <t>Michelle George</t>
  </si>
  <si>
    <t>E2216</t>
  </si>
  <si>
    <t>Richard Booth</t>
  </si>
  <si>
    <t>Michelle Harrington</t>
  </si>
  <si>
    <t>E2217</t>
  </si>
  <si>
    <t>Maria Brown</t>
  </si>
  <si>
    <t>Kathleen Perez</t>
  </si>
  <si>
    <t>E2218</t>
  </si>
  <si>
    <t>John Edwards</t>
  </si>
  <si>
    <t>John Chavez</t>
  </si>
  <si>
    <t>E2219</t>
  </si>
  <si>
    <t>Alicia Campbell</t>
  </si>
  <si>
    <t>April Walters</t>
  </si>
  <si>
    <t>E2220</t>
  </si>
  <si>
    <t>David Barnes</t>
  </si>
  <si>
    <t>Mrs. Cynthia Thompson</t>
  </si>
  <si>
    <t>E2221</t>
  </si>
  <si>
    <t>Allison Smith</t>
  </si>
  <si>
    <t>Julia Williams</t>
  </si>
  <si>
    <t>E2222</t>
  </si>
  <si>
    <t>Randall Garner</t>
  </si>
  <si>
    <t>Debra Williams</t>
  </si>
  <si>
    <t>E2223</t>
  </si>
  <si>
    <t>Lindsey Kennedy</t>
  </si>
  <si>
    <t>Brian Dominguez</t>
  </si>
  <si>
    <t>E2224</t>
  </si>
  <si>
    <t>Kathleen Flynn</t>
  </si>
  <si>
    <t>James Mitchell</t>
  </si>
  <si>
    <t>E2225</t>
  </si>
  <si>
    <t>Lauren Brewer</t>
  </si>
  <si>
    <t>Mrs. Rebecca Foster</t>
  </si>
  <si>
    <t>E2226</t>
  </si>
  <si>
    <t>Jennifer Hanson</t>
  </si>
  <si>
    <t>Michael Hunter</t>
  </si>
  <si>
    <t>E2227</t>
  </si>
  <si>
    <t>Curtis Gibbs</t>
  </si>
  <si>
    <t>Jody Christian</t>
  </si>
  <si>
    <t>E2228</t>
  </si>
  <si>
    <t>Stephen Henry</t>
  </si>
  <si>
    <t>Nicholas Guerra</t>
  </si>
  <si>
    <t>E2229</t>
  </si>
  <si>
    <t>James Davidson</t>
  </si>
  <si>
    <t>Christian Mills</t>
  </si>
  <si>
    <t>E2230</t>
  </si>
  <si>
    <t>Theresa Newman</t>
  </si>
  <si>
    <t>Kyle Montoya</t>
  </si>
  <si>
    <t>E2231</t>
  </si>
  <si>
    <t>William Everett</t>
  </si>
  <si>
    <t>Stephanie Green</t>
  </si>
  <si>
    <t>E2232</t>
  </si>
  <si>
    <t>Julie Cooley</t>
  </si>
  <si>
    <t>Christopher Gonzalez</t>
  </si>
  <si>
    <t>E2233</t>
  </si>
  <si>
    <t>Hailey Gonzales</t>
  </si>
  <si>
    <t>Heather Benson</t>
  </si>
  <si>
    <t>E2234</t>
  </si>
  <si>
    <t>Elizabeth Dodson</t>
  </si>
  <si>
    <t>Lauren Wright</t>
  </si>
  <si>
    <t>E2235</t>
  </si>
  <si>
    <t>Regina Mccall</t>
  </si>
  <si>
    <t>E2236</t>
  </si>
  <si>
    <t>Kathy Mcmillan</t>
  </si>
  <si>
    <t>Joseph Deleon</t>
  </si>
  <si>
    <t>E2237</t>
  </si>
  <si>
    <t>Brett Moore</t>
  </si>
  <si>
    <t>Ryan Hopkins</t>
  </si>
  <si>
    <t>E2238</t>
  </si>
  <si>
    <t>Catherine Thomas</t>
  </si>
  <si>
    <t>Jeremy Stewart</t>
  </si>
  <si>
    <t>E2239</t>
  </si>
  <si>
    <t>Brooke Rodgers</t>
  </si>
  <si>
    <t>Alexandra Young</t>
  </si>
  <si>
    <t>E2240</t>
  </si>
  <si>
    <t>Shelly Johnson</t>
  </si>
  <si>
    <t>Haley Jones</t>
  </si>
  <si>
    <t>E2241</t>
  </si>
  <si>
    <t>Lisa Meadows</t>
  </si>
  <si>
    <t>Emily Vega</t>
  </si>
  <si>
    <t>E2242</t>
  </si>
  <si>
    <t>Pamela Torres</t>
  </si>
  <si>
    <t>David Hudson</t>
  </si>
  <si>
    <t>E2243</t>
  </si>
  <si>
    <t>George Taylor</t>
  </si>
  <si>
    <t>David Palmer</t>
  </si>
  <si>
    <t>E2244</t>
  </si>
  <si>
    <t>Anthony Webb</t>
  </si>
  <si>
    <t>Phillip Finley</t>
  </si>
  <si>
    <t>E2245</t>
  </si>
  <si>
    <t>Alex Graham</t>
  </si>
  <si>
    <t>Richard Shaw</t>
  </si>
  <si>
    <t>E2246</t>
  </si>
  <si>
    <t>Mary Brown</t>
  </si>
  <si>
    <t>Micheal King</t>
  </si>
  <si>
    <t>E2247</t>
  </si>
  <si>
    <t>Samuel Castaneda</t>
  </si>
  <si>
    <t>Tonya Lopez</t>
  </si>
  <si>
    <t>E2248</t>
  </si>
  <si>
    <t>Adrian Lopez</t>
  </si>
  <si>
    <t>Jaclyn Ward</t>
  </si>
  <si>
    <t>E2249</t>
  </si>
  <si>
    <t>Kristin Thompson</t>
  </si>
  <si>
    <t>Vanessa Watkins</t>
  </si>
  <si>
    <t>E2250</t>
  </si>
  <si>
    <t>Cathy Frazier</t>
  </si>
  <si>
    <t>E2251</t>
  </si>
  <si>
    <t>Patrick Jones</t>
  </si>
  <si>
    <t>Mark Carlson</t>
  </si>
  <si>
    <t>E2252</t>
  </si>
  <si>
    <t>Calvin Summers</t>
  </si>
  <si>
    <t>Carla Johnson</t>
  </si>
  <si>
    <t>E2253</t>
  </si>
  <si>
    <t>Jamie Zamora</t>
  </si>
  <si>
    <t>Adam Rogers</t>
  </si>
  <si>
    <t>E2254</t>
  </si>
  <si>
    <t>Anthony Mcpherson</t>
  </si>
  <si>
    <t>Anthony Lawrence</t>
  </si>
  <si>
    <t>E2255</t>
  </si>
  <si>
    <t>Elaine Ramirez</t>
  </si>
  <si>
    <t>Kyle Jackson</t>
  </si>
  <si>
    <t>E2256</t>
  </si>
  <si>
    <t>Kristina Reed</t>
  </si>
  <si>
    <t>Joseph Ferguson</t>
  </si>
  <si>
    <t>E2257</t>
  </si>
  <si>
    <t>Amanda Hill</t>
  </si>
  <si>
    <t>Abigail Hall</t>
  </si>
  <si>
    <t>E2258</t>
  </si>
  <si>
    <t>Stephanie Gonzalez</t>
  </si>
  <si>
    <t>Judy Powell</t>
  </si>
  <si>
    <t>E2259</t>
  </si>
  <si>
    <t>Diane Young</t>
  </si>
  <si>
    <t>Michele Lloyd</t>
  </si>
  <si>
    <t>E2260</t>
  </si>
  <si>
    <t>Catherine Pratt</t>
  </si>
  <si>
    <t>Paul Turner</t>
  </si>
  <si>
    <t>E2261</t>
  </si>
  <si>
    <t>Kimberly Smith</t>
  </si>
  <si>
    <t>Lori Cantu</t>
  </si>
  <si>
    <t>E2262</t>
  </si>
  <si>
    <t>Wendy Terry</t>
  </si>
  <si>
    <t>Jessica Brown</t>
  </si>
  <si>
    <t>E2263</t>
  </si>
  <si>
    <t>Monica Cabrera</t>
  </si>
  <si>
    <t>Michael Rivera</t>
  </si>
  <si>
    <t>E2264</t>
  </si>
  <si>
    <t>Elizabeth Christensen</t>
  </si>
  <si>
    <t>Dennis Lopez</t>
  </si>
  <si>
    <t>E2265</t>
  </si>
  <si>
    <t>Joseph Hammond</t>
  </si>
  <si>
    <t>Christopher York</t>
  </si>
  <si>
    <t>E2266</t>
  </si>
  <si>
    <t>Donald Vasquez</t>
  </si>
  <si>
    <t>Sarah Lopez</t>
  </si>
  <si>
    <t>E2267</t>
  </si>
  <si>
    <t>Alexander Green</t>
  </si>
  <si>
    <t>Michael Clark</t>
  </si>
  <si>
    <t>E2268</t>
  </si>
  <si>
    <t>Dr. Sandra Stark</t>
  </si>
  <si>
    <t>Kaylee Brown</t>
  </si>
  <si>
    <t>E2269</t>
  </si>
  <si>
    <t>Douglas Haley</t>
  </si>
  <si>
    <t>Jack Mclaughlin</t>
  </si>
  <si>
    <t>E2270</t>
  </si>
  <si>
    <t>Richard Pacheco</t>
  </si>
  <si>
    <t>Jeremy Fox</t>
  </si>
  <si>
    <t>E2271</t>
  </si>
  <si>
    <t>Samuel Thompson</t>
  </si>
  <si>
    <t>Jesus Zamora</t>
  </si>
  <si>
    <t>E2272</t>
  </si>
  <si>
    <t>Jeffrey Gray</t>
  </si>
  <si>
    <t>Joshua Tran</t>
  </si>
  <si>
    <t>E2273</t>
  </si>
  <si>
    <t>Amy Rodriguez</t>
  </si>
  <si>
    <t>Wendy Cooper</t>
  </si>
  <si>
    <t>E2274</t>
  </si>
  <si>
    <t>Andrew Neal</t>
  </si>
  <si>
    <t>Timothy Bernard</t>
  </si>
  <si>
    <t>E2275</t>
  </si>
  <si>
    <t>Barbara Levy</t>
  </si>
  <si>
    <t>Tracy Bullock</t>
  </si>
  <si>
    <t>E2276</t>
  </si>
  <si>
    <t>Heather Curtis</t>
  </si>
  <si>
    <t>Kevin Vargas</t>
  </si>
  <si>
    <t>E2277</t>
  </si>
  <si>
    <t>Ernest Brown</t>
  </si>
  <si>
    <t>Holly Garcia</t>
  </si>
  <si>
    <t>E2278</t>
  </si>
  <si>
    <t>Randall Russell</t>
  </si>
  <si>
    <t>Kathleen Robinson</t>
  </si>
  <si>
    <t>E2279</t>
  </si>
  <si>
    <t>Brian Kirk</t>
  </si>
  <si>
    <t>Felicia Jackson</t>
  </si>
  <si>
    <t>E2280</t>
  </si>
  <si>
    <t>Peter Cunningham</t>
  </si>
  <si>
    <t>Danielle Gallagher</t>
  </si>
  <si>
    <t>E2281</t>
  </si>
  <si>
    <t>Shane Merritt</t>
  </si>
  <si>
    <t>Michael Salazar</t>
  </si>
  <si>
    <t>E2282</t>
  </si>
  <si>
    <t>Brianna Rodriguez</t>
  </si>
  <si>
    <t>Jimmy Alvarez</t>
  </si>
  <si>
    <t>E2283</t>
  </si>
  <si>
    <t>Henry Bauer</t>
  </si>
  <si>
    <t>Chad Clayton</t>
  </si>
  <si>
    <t>E2284</t>
  </si>
  <si>
    <t>Madison Stokes</t>
  </si>
  <si>
    <t>Anthony Jenkins</t>
  </si>
  <si>
    <t>E2285</t>
  </si>
  <si>
    <t>Susan Chavez</t>
  </si>
  <si>
    <t>E2286</t>
  </si>
  <si>
    <t>Joseph Smith</t>
  </si>
  <si>
    <t>Mario Roberson</t>
  </si>
  <si>
    <t>E2287</t>
  </si>
  <si>
    <t>Melanie Wiggins</t>
  </si>
  <si>
    <t>E2288</t>
  </si>
  <si>
    <t>Elizabeth Perry PhD</t>
  </si>
  <si>
    <t>Sharon Taylor</t>
  </si>
  <si>
    <t>E2289</t>
  </si>
  <si>
    <t>Bryan Williamson</t>
  </si>
  <si>
    <t>Jason Lopez</t>
  </si>
  <si>
    <t>E2290</t>
  </si>
  <si>
    <t>Heidi Martinez</t>
  </si>
  <si>
    <t>Tammy Allen</t>
  </si>
  <si>
    <t>E2291</t>
  </si>
  <si>
    <t>Kenneth Salinas</t>
  </si>
  <si>
    <t>Joseph Campbell</t>
  </si>
  <si>
    <t>E2292</t>
  </si>
  <si>
    <t>Deborah Krause</t>
  </si>
  <si>
    <t>Carrie Warren</t>
  </si>
  <si>
    <t>E2293</t>
  </si>
  <si>
    <t>Todd Watson</t>
  </si>
  <si>
    <t>Jeffery Little</t>
  </si>
  <si>
    <t>E2294</t>
  </si>
  <si>
    <t>Sherri Bean</t>
  </si>
  <si>
    <t>Sherry Campbell</t>
  </si>
  <si>
    <t>E2295</t>
  </si>
  <si>
    <t>Olivia Campbell</t>
  </si>
  <si>
    <t>Travis Haney</t>
  </si>
  <si>
    <t>E2296</t>
  </si>
  <si>
    <t>Terri Osborne</t>
  </si>
  <si>
    <t>Sarah Fry</t>
  </si>
  <si>
    <t>E2297</t>
  </si>
  <si>
    <t>Ronald Johnson</t>
  </si>
  <si>
    <t>Richard Christian</t>
  </si>
  <si>
    <t>E2298</t>
  </si>
  <si>
    <t>Barbara Richardson</t>
  </si>
  <si>
    <t>Stuart Barrett</t>
  </si>
  <si>
    <t>E2299</t>
  </si>
  <si>
    <t>Glenda Foley</t>
  </si>
  <si>
    <t>Kim Bullock</t>
  </si>
  <si>
    <t>E2300</t>
  </si>
  <si>
    <t>Kristin Gross</t>
  </si>
  <si>
    <t>E2301</t>
  </si>
  <si>
    <t>Mary James</t>
  </si>
  <si>
    <t>Kevin Conway</t>
  </si>
  <si>
    <t>E2302</t>
  </si>
  <si>
    <t>Jason Singh</t>
  </si>
  <si>
    <t>Jonathan Berry</t>
  </si>
  <si>
    <t>E2303</t>
  </si>
  <si>
    <t>Sara Palmer</t>
  </si>
  <si>
    <t>E2304</t>
  </si>
  <si>
    <t>Leah Cunningham</t>
  </si>
  <si>
    <t>E2305</t>
  </si>
  <si>
    <t>Ann Bryant</t>
  </si>
  <si>
    <t>Brian Barnes</t>
  </si>
  <si>
    <t>E2306</t>
  </si>
  <si>
    <t>Michael Ray</t>
  </si>
  <si>
    <t>Jennifer Bauer</t>
  </si>
  <si>
    <t>E2307</t>
  </si>
  <si>
    <t>Diana Herrera</t>
  </si>
  <si>
    <t>Daniel Powell</t>
  </si>
  <si>
    <t>E2308</t>
  </si>
  <si>
    <t>Anthony Herrera</t>
  </si>
  <si>
    <t>Kerri Reid</t>
  </si>
  <si>
    <t>E2309</t>
  </si>
  <si>
    <t>Sophia Alvarez</t>
  </si>
  <si>
    <t>Jennifer King</t>
  </si>
  <si>
    <t>E2310</t>
  </si>
  <si>
    <t>Michael Curtis</t>
  </si>
  <si>
    <t>Jordan Flores</t>
  </si>
  <si>
    <t>E2311</t>
  </si>
  <si>
    <t>Joseph Dickson</t>
  </si>
  <si>
    <t>Anthony Vincent</t>
  </si>
  <si>
    <t>E2312</t>
  </si>
  <si>
    <t>Mark Miller</t>
  </si>
  <si>
    <t>Gregory Turner</t>
  </si>
  <si>
    <t>E2313</t>
  </si>
  <si>
    <t>Patrick Woods</t>
  </si>
  <si>
    <t>Jessica Colon</t>
  </si>
  <si>
    <t>E2314</t>
  </si>
  <si>
    <t>Joshua Flores</t>
  </si>
  <si>
    <t>Lauren Medina</t>
  </si>
  <si>
    <t>E2315</t>
  </si>
  <si>
    <t>Cynthia Arnold</t>
  </si>
  <si>
    <t>Courtney Hernandez</t>
  </si>
  <si>
    <t>E2316</t>
  </si>
  <si>
    <t>Melissa Mitchell</t>
  </si>
  <si>
    <t>Samuel Olsen</t>
  </si>
  <si>
    <t>E2317</t>
  </si>
  <si>
    <t>Holly Hendricks</t>
  </si>
  <si>
    <t>Rachael Martinez</t>
  </si>
  <si>
    <t>E2318</t>
  </si>
  <si>
    <t>Michael Mitchell</t>
  </si>
  <si>
    <t>Steve Fernandez</t>
  </si>
  <si>
    <t>E2319</t>
  </si>
  <si>
    <t>Jessica Griffin</t>
  </si>
  <si>
    <t>Katrina Harper</t>
  </si>
  <si>
    <t>E2320</t>
  </si>
  <si>
    <t>Kevin Jensen</t>
  </si>
  <si>
    <t>Alexandra Gilmore</t>
  </si>
  <si>
    <t>E2321</t>
  </si>
  <si>
    <t>Daniel Bates</t>
  </si>
  <si>
    <t>Nancy Roberts</t>
  </si>
  <si>
    <t>E2322</t>
  </si>
  <si>
    <t>Alexander Morgan</t>
  </si>
  <si>
    <t>Kyle Ford</t>
  </si>
  <si>
    <t>E2323</t>
  </si>
  <si>
    <t>Cynthia Fitzgerald</t>
  </si>
  <si>
    <t>Frank Dyer</t>
  </si>
  <si>
    <t>E2324</t>
  </si>
  <si>
    <t>Amy Obrien</t>
  </si>
  <si>
    <t>Monica Escobar</t>
  </si>
  <si>
    <t>E2325</t>
  </si>
  <si>
    <t>Miss Dawn Cook</t>
  </si>
  <si>
    <t>Kelly Livingston</t>
  </si>
  <si>
    <t>E2326</t>
  </si>
  <si>
    <t>Cindy Flynn</t>
  </si>
  <si>
    <t>Linda Farmer</t>
  </si>
  <si>
    <t>E2327</t>
  </si>
  <si>
    <t>Jennifer Alexander</t>
  </si>
  <si>
    <t>Brian Love</t>
  </si>
  <si>
    <t>E2328</t>
  </si>
  <si>
    <t>Kelly White</t>
  </si>
  <si>
    <t>Michele Smith</t>
  </si>
  <si>
    <t>E2329</t>
  </si>
  <si>
    <t>Kayla Scott</t>
  </si>
  <si>
    <t>Alyssa Reyes</t>
  </si>
  <si>
    <t>E2330</t>
  </si>
  <si>
    <t>Pamela Daniels</t>
  </si>
  <si>
    <t>Marcus Johnson</t>
  </si>
  <si>
    <t>E2331</t>
  </si>
  <si>
    <t>Teresa Jordan</t>
  </si>
  <si>
    <t>Zachary Romero</t>
  </si>
  <si>
    <t>E2332</t>
  </si>
  <si>
    <t>Alexander Mcmillan</t>
  </si>
  <si>
    <t>Robert Jensen</t>
  </si>
  <si>
    <t>E2333</t>
  </si>
  <si>
    <t>Cassandra Baker</t>
  </si>
  <si>
    <t>Dr. Chelsea Cooley</t>
  </si>
  <si>
    <t>E2334</t>
  </si>
  <si>
    <t>Daniel Jones</t>
  </si>
  <si>
    <t>Joseph Estrada</t>
  </si>
  <si>
    <t>E2335</t>
  </si>
  <si>
    <t>Thomas Ward</t>
  </si>
  <si>
    <t>Alexander Saunders</t>
  </si>
  <si>
    <t>E2336</t>
  </si>
  <si>
    <t>Andrew King</t>
  </si>
  <si>
    <t>Mitchell Ibarra</t>
  </si>
  <si>
    <t>E2337</t>
  </si>
  <si>
    <t>Richard Medina</t>
  </si>
  <si>
    <t>Todd Thompson</t>
  </si>
  <si>
    <t>E2338</t>
  </si>
  <si>
    <t>Heather Parks</t>
  </si>
  <si>
    <t>Allison Padilla</t>
  </si>
  <si>
    <t>E2339</t>
  </si>
  <si>
    <t>Jacob Bennett</t>
  </si>
  <si>
    <t>Erin Young</t>
  </si>
  <si>
    <t>E2340</t>
  </si>
  <si>
    <t>William Harrell</t>
  </si>
  <si>
    <t>Mary Rowe</t>
  </si>
  <si>
    <t>E2341</t>
  </si>
  <si>
    <t>Robert Maxwell</t>
  </si>
  <si>
    <t>Derrick Fischer Jr.</t>
  </si>
  <si>
    <t>E2342</t>
  </si>
  <si>
    <t>Daniel West</t>
  </si>
  <si>
    <t>Valerie Gilbert</t>
  </si>
  <si>
    <t>E2343</t>
  </si>
  <si>
    <t>John Duncan</t>
  </si>
  <si>
    <t>Sarah Young</t>
  </si>
  <si>
    <t>E2344</t>
  </si>
  <si>
    <t>Bradley Giles</t>
  </si>
  <si>
    <t>Kevin Haas</t>
  </si>
  <si>
    <t>E2345</t>
  </si>
  <si>
    <t>Stephanie Peterson</t>
  </si>
  <si>
    <t>John Page</t>
  </si>
  <si>
    <t>E2346</t>
  </si>
  <si>
    <t>Emma Ramirez</t>
  </si>
  <si>
    <t>E2347</t>
  </si>
  <si>
    <t>Emma Bender</t>
  </si>
  <si>
    <t>Jason Moss</t>
  </si>
  <si>
    <t>E2348</t>
  </si>
  <si>
    <t>Christina Hayes</t>
  </si>
  <si>
    <t>Chad Lynch</t>
  </si>
  <si>
    <t>E2349</t>
  </si>
  <si>
    <t>Mrs. Jacqueline Henry</t>
  </si>
  <si>
    <t>Gregory Smith</t>
  </si>
  <si>
    <t>E2350</t>
  </si>
  <si>
    <t>Deanna Lyons</t>
  </si>
  <si>
    <t>Rachel Meyer</t>
  </si>
  <si>
    <t>E2351</t>
  </si>
  <si>
    <t>Brandon Nicholson</t>
  </si>
  <si>
    <t>Rachel Thompson</t>
  </si>
  <si>
    <t>E2352</t>
  </si>
  <si>
    <t>Heather Rodriguez</t>
  </si>
  <si>
    <t>Toni Morton</t>
  </si>
  <si>
    <t>E2353</t>
  </si>
  <si>
    <t>Kayla Cooley</t>
  </si>
  <si>
    <t>Bobby Jones</t>
  </si>
  <si>
    <t>E2354</t>
  </si>
  <si>
    <t>Lisa Swanson</t>
  </si>
  <si>
    <t>Jackson Hampton</t>
  </si>
  <si>
    <t>E2355</t>
  </si>
  <si>
    <t>Melissa Thomas</t>
  </si>
  <si>
    <t>Renee Payne</t>
  </si>
  <si>
    <t>E2356</t>
  </si>
  <si>
    <t>Raymond Perez</t>
  </si>
  <si>
    <t>Joshua Kelly</t>
  </si>
  <si>
    <t>E2357</t>
  </si>
  <si>
    <t>Hector Bentley</t>
  </si>
  <si>
    <t>Robert Robinson</t>
  </si>
  <si>
    <t>E2358</t>
  </si>
  <si>
    <t>Richard Morris</t>
  </si>
  <si>
    <t>Lacey Parker</t>
  </si>
  <si>
    <t>E2359</t>
  </si>
  <si>
    <t>Joseph Ford</t>
  </si>
  <si>
    <t>Courtney Thompson</t>
  </si>
  <si>
    <t>E2360</t>
  </si>
  <si>
    <t>Nathan Boyd</t>
  </si>
  <si>
    <t>Sandra Larsen</t>
  </si>
  <si>
    <t>E2361</t>
  </si>
  <si>
    <t>Kevin Larson</t>
  </si>
  <si>
    <t>E2362</t>
  </si>
  <si>
    <t>David Nelson</t>
  </si>
  <si>
    <t>Sharon Gomez</t>
  </si>
  <si>
    <t>E2363</t>
  </si>
  <si>
    <t>Jeremy Brown</t>
  </si>
  <si>
    <t>E2364</t>
  </si>
  <si>
    <t>David Yu</t>
  </si>
  <si>
    <t>Patrick Owens</t>
  </si>
  <si>
    <t>E2365</t>
  </si>
  <si>
    <t>Robyn Vang</t>
  </si>
  <si>
    <t>E2366</t>
  </si>
  <si>
    <t>Jessica Thompson</t>
  </si>
  <si>
    <t>Shaun Rodgers</t>
  </si>
  <si>
    <t>E2367</t>
  </si>
  <si>
    <t>Christopher Miller</t>
  </si>
  <si>
    <t>Melinda Murphy</t>
  </si>
  <si>
    <t>E2368</t>
  </si>
  <si>
    <t>Mark Becker</t>
  </si>
  <si>
    <t>Melissa Atkinson</t>
  </si>
  <si>
    <t>E2369</t>
  </si>
  <si>
    <t>Michelle Chandler</t>
  </si>
  <si>
    <t>David Roth</t>
  </si>
  <si>
    <t>E2370</t>
  </si>
  <si>
    <t>Jason Davis</t>
  </si>
  <si>
    <t>Bryan Martinez</t>
  </si>
  <si>
    <t>E2371</t>
  </si>
  <si>
    <t>Erica Cummings</t>
  </si>
  <si>
    <t>Shawna Thompson DVM</t>
  </si>
  <si>
    <t>E2372</t>
  </si>
  <si>
    <t>James Herring</t>
  </si>
  <si>
    <t>Shannon Gross</t>
  </si>
  <si>
    <t>E2373</t>
  </si>
  <si>
    <t>Robin Stone</t>
  </si>
  <si>
    <t>Courtney Cortez</t>
  </si>
  <si>
    <t>E2374</t>
  </si>
  <si>
    <t>Alexander Torres</t>
  </si>
  <si>
    <t>Daniel Alvarez</t>
  </si>
  <si>
    <t>E2375</t>
  </si>
  <si>
    <t>Bradley King</t>
  </si>
  <si>
    <t>Nicholas Solis</t>
  </si>
  <si>
    <t>E2376</t>
  </si>
  <si>
    <t>Matthew Delgado</t>
  </si>
  <si>
    <t>Daisy Harvey</t>
  </si>
  <si>
    <t>E2377</t>
  </si>
  <si>
    <t>Diane Watts</t>
  </si>
  <si>
    <t>Jose Lawrence</t>
  </si>
  <si>
    <t>E2378</t>
  </si>
  <si>
    <t>Jennifer Phillips</t>
  </si>
  <si>
    <t>Christina Brown</t>
  </si>
  <si>
    <t>E2379</t>
  </si>
  <si>
    <t>Larry Smith</t>
  </si>
  <si>
    <t>Brittany Murray</t>
  </si>
  <si>
    <t>E2380</t>
  </si>
  <si>
    <t>Michael Davies</t>
  </si>
  <si>
    <t>E2381</t>
  </si>
  <si>
    <t>Stephen Sharp</t>
  </si>
  <si>
    <t>Joe Robertson</t>
  </si>
  <si>
    <t>E2382</t>
  </si>
  <si>
    <t>Joshua Perez</t>
  </si>
  <si>
    <t>Lori Stevens</t>
  </si>
  <si>
    <t>E2383</t>
  </si>
  <si>
    <t>Eric Chavez</t>
  </si>
  <si>
    <t>Donald Davis</t>
  </si>
  <si>
    <t>E2384</t>
  </si>
  <si>
    <t>Jordan Sanchez</t>
  </si>
  <si>
    <t>Joseph Lewis</t>
  </si>
  <si>
    <t>E2385</t>
  </si>
  <si>
    <t>Abigail Morgan</t>
  </si>
  <si>
    <t>Steven Aguilar</t>
  </si>
  <si>
    <t>E2386</t>
  </si>
  <si>
    <t>Nicholas Taylor MD</t>
  </si>
  <si>
    <t>Richard Mitchell</t>
  </si>
  <si>
    <t>E2387</t>
  </si>
  <si>
    <t>Dr. Alexis Lopez</t>
  </si>
  <si>
    <t>Robert West</t>
  </si>
  <si>
    <t>E2388</t>
  </si>
  <si>
    <t>Cheyenne Kidd</t>
  </si>
  <si>
    <t>Ann Frank</t>
  </si>
  <si>
    <t>E2389</t>
  </si>
  <si>
    <t>Melissa Farley</t>
  </si>
  <si>
    <t>Shannon Harvey</t>
  </si>
  <si>
    <t>E2390</t>
  </si>
  <si>
    <t>Olivia Williams</t>
  </si>
  <si>
    <t>Justin Miller</t>
  </si>
  <si>
    <t>E2391</t>
  </si>
  <si>
    <t>Omar Thomas</t>
  </si>
  <si>
    <t>Karen Lyons</t>
  </si>
  <si>
    <t>E2392</t>
  </si>
  <si>
    <t>Paula Burnett</t>
  </si>
  <si>
    <t>Zachary Cook</t>
  </si>
  <si>
    <t>E2393</t>
  </si>
  <si>
    <t>Alexander Cruz</t>
  </si>
  <si>
    <t>Dylan Martinez</t>
  </si>
  <si>
    <t>E2394</t>
  </si>
  <si>
    <t>Kathleen Brandt</t>
  </si>
  <si>
    <t>Kristin Davis MD</t>
  </si>
  <si>
    <t>E2395</t>
  </si>
  <si>
    <t>Richard Robinson</t>
  </si>
  <si>
    <t>Kenneth Parker</t>
  </si>
  <si>
    <t>E2396</t>
  </si>
  <si>
    <t>Shawn Charles</t>
  </si>
  <si>
    <t>Susan Schwartz</t>
  </si>
  <si>
    <t>E2397</t>
  </si>
  <si>
    <t>Wanda Nguyen</t>
  </si>
  <si>
    <t>Toni English</t>
  </si>
  <si>
    <t>E2398</t>
  </si>
  <si>
    <t>Brenda Jennings</t>
  </si>
  <si>
    <t>E2399</t>
  </si>
  <si>
    <t>Matthew Greene</t>
  </si>
  <si>
    <t>E2400</t>
  </si>
  <si>
    <t>Amanda Washington</t>
  </si>
  <si>
    <t>Mike Todd</t>
  </si>
  <si>
    <t>E2401</t>
  </si>
  <si>
    <t>Gabriel Flowers</t>
  </si>
  <si>
    <t>Erik Robinson</t>
  </si>
  <si>
    <t>E2402</t>
  </si>
  <si>
    <t>Sandra Serrano</t>
  </si>
  <si>
    <t>Michael Brown</t>
  </si>
  <si>
    <t>E2403</t>
  </si>
  <si>
    <t>Daniel Sanchez</t>
  </si>
  <si>
    <t>Jessica Sanders</t>
  </si>
  <si>
    <t>E2404</t>
  </si>
  <si>
    <t>Amy Robinson</t>
  </si>
  <si>
    <t>Katherine Wood</t>
  </si>
  <si>
    <t>E2405</t>
  </si>
  <si>
    <t>Jonathan Knox</t>
  </si>
  <si>
    <t>Jason Farrell</t>
  </si>
  <si>
    <t>E2406</t>
  </si>
  <si>
    <t>Melissa Jones</t>
  </si>
  <si>
    <t>Christina Miller</t>
  </si>
  <si>
    <t>E2407</t>
  </si>
  <si>
    <t>Laura Murphy</t>
  </si>
  <si>
    <t>Kelly Davis</t>
  </si>
  <si>
    <t>E2408</t>
  </si>
  <si>
    <t>Wendy Salazar</t>
  </si>
  <si>
    <t>Ryan Sutton</t>
  </si>
  <si>
    <t>E2409</t>
  </si>
  <si>
    <t>Katherine Stephens</t>
  </si>
  <si>
    <t>Cody Brown</t>
  </si>
  <si>
    <t>E2410</t>
  </si>
  <si>
    <t>James Cantu</t>
  </si>
  <si>
    <t>James Roy</t>
  </si>
  <si>
    <t>E2411</t>
  </si>
  <si>
    <t>Sherry White</t>
  </si>
  <si>
    <t>Nichole Moore</t>
  </si>
  <si>
    <t>E2412</t>
  </si>
  <si>
    <t>Nicholas Duncan</t>
  </si>
  <si>
    <t>Carrie Collins</t>
  </si>
  <si>
    <t>E2413</t>
  </si>
  <si>
    <t>Lucas Ortiz</t>
  </si>
  <si>
    <t>Cory Taylor</t>
  </si>
  <si>
    <t>E2414</t>
  </si>
  <si>
    <t>Jennifer Green</t>
  </si>
  <si>
    <t>Christine Morales</t>
  </si>
  <si>
    <t>E2415</t>
  </si>
  <si>
    <t>Kimberly Carter</t>
  </si>
  <si>
    <t>Tracy Morgan</t>
  </si>
  <si>
    <t>E2416</t>
  </si>
  <si>
    <t>Erica Newton</t>
  </si>
  <si>
    <t>John Alvarado</t>
  </si>
  <si>
    <t>E2417</t>
  </si>
  <si>
    <t>Gerald Wolf</t>
  </si>
  <si>
    <t>Kenneth Smith</t>
  </si>
  <si>
    <t>E2418</t>
  </si>
  <si>
    <t>Joseph Pratt</t>
  </si>
  <si>
    <t>Jose Mccoy</t>
  </si>
  <si>
    <t>E2419</t>
  </si>
  <si>
    <t>Randy Patterson</t>
  </si>
  <si>
    <t>Jeremy Roberts</t>
  </si>
  <si>
    <t>E2420</t>
  </si>
  <si>
    <t>Sheila Larson</t>
  </si>
  <si>
    <t>Miranda Bryant</t>
  </si>
  <si>
    <t>E2421</t>
  </si>
  <si>
    <t>Sylvia White</t>
  </si>
  <si>
    <t>Megan Dixon</t>
  </si>
  <si>
    <t>E2422</t>
  </si>
  <si>
    <t>Rachel Simmons</t>
  </si>
  <si>
    <t>E2423</t>
  </si>
  <si>
    <t>Katie Smith DVM</t>
  </si>
  <si>
    <t>Michelle Shea</t>
  </si>
  <si>
    <t>E2424</t>
  </si>
  <si>
    <t>Jacob Byrd</t>
  </si>
  <si>
    <t>Shelby Ross</t>
  </si>
  <si>
    <t>E2425</t>
  </si>
  <si>
    <t>Michael Douglas</t>
  </si>
  <si>
    <t>Kevin Shelton</t>
  </si>
  <si>
    <t>E2426</t>
  </si>
  <si>
    <t>Alyssa Hensley</t>
  </si>
  <si>
    <t>Jonathan Sanders</t>
  </si>
  <si>
    <t>E2427</t>
  </si>
  <si>
    <t>Stephen Wright</t>
  </si>
  <si>
    <t>E2428</t>
  </si>
  <si>
    <t>Sarah Maddox</t>
  </si>
  <si>
    <t>Christina Conley</t>
  </si>
  <si>
    <t>E2429</t>
  </si>
  <si>
    <t>Stephanie Woods</t>
  </si>
  <si>
    <t>Robert Hernandez</t>
  </si>
  <si>
    <t>E2430</t>
  </si>
  <si>
    <t>Steven Clarke</t>
  </si>
  <si>
    <t>Tara Dunn</t>
  </si>
  <si>
    <t>E2431</t>
  </si>
  <si>
    <t>Julie Krueger</t>
  </si>
  <si>
    <t>Candice White</t>
  </si>
  <si>
    <t>E2432</t>
  </si>
  <si>
    <t>Larry James</t>
  </si>
  <si>
    <t>Debbie Green</t>
  </si>
  <si>
    <t>E2433</t>
  </si>
  <si>
    <t>Ian Butler</t>
  </si>
  <si>
    <t>Brittany Ross</t>
  </si>
  <si>
    <t>E2434</t>
  </si>
  <si>
    <t>Lori Taylor</t>
  </si>
  <si>
    <t>Michael Hunt</t>
  </si>
  <si>
    <t>E2435</t>
  </si>
  <si>
    <t>Kevin Jones</t>
  </si>
  <si>
    <t>Alison Mccarthy</t>
  </si>
  <si>
    <t>E2436</t>
  </si>
  <si>
    <t>Brian Lopez</t>
  </si>
  <si>
    <t>Jeffrey Edwards</t>
  </si>
  <si>
    <t>E2437</t>
  </si>
  <si>
    <t>Amanda Gonzalez</t>
  </si>
  <si>
    <t>Raymond Herrera</t>
  </si>
  <si>
    <t>E2438</t>
  </si>
  <si>
    <t>Kathy Fisher</t>
  </si>
  <si>
    <t>E2439</t>
  </si>
  <si>
    <t>Kevin Alexander</t>
  </si>
  <si>
    <t>Nicholas Vargas</t>
  </si>
  <si>
    <t>E2440</t>
  </si>
  <si>
    <t>Shannon Evans</t>
  </si>
  <si>
    <t>Julie Anderson</t>
  </si>
  <si>
    <t>E2441</t>
  </si>
  <si>
    <t>Edgar Yang</t>
  </si>
  <si>
    <t>Rebecca West</t>
  </si>
  <si>
    <t>E2442</t>
  </si>
  <si>
    <t>Jesus Acosta</t>
  </si>
  <si>
    <t>Leah Gray</t>
  </si>
  <si>
    <t>E2443</t>
  </si>
  <si>
    <t>Denise Singleton</t>
  </si>
  <si>
    <t>Matthew Kim</t>
  </si>
  <si>
    <t>E2444</t>
  </si>
  <si>
    <t>Jason Velasquez</t>
  </si>
  <si>
    <t>E2445</t>
  </si>
  <si>
    <t>Austin Ramos</t>
  </si>
  <si>
    <t>Paul Heath</t>
  </si>
  <si>
    <t>E2446</t>
  </si>
  <si>
    <t>Jeremy Peterson</t>
  </si>
  <si>
    <t>Tony Norris</t>
  </si>
  <si>
    <t>E2447</t>
  </si>
  <si>
    <t>Christie Lawson</t>
  </si>
  <si>
    <t>Karen Love</t>
  </si>
  <si>
    <t>E2448</t>
  </si>
  <si>
    <t>James Berger</t>
  </si>
  <si>
    <t>Amanda Long</t>
  </si>
  <si>
    <t>E2449</t>
  </si>
  <si>
    <t>Laura Miller</t>
  </si>
  <si>
    <t>Eric Ferrell</t>
  </si>
  <si>
    <t>E2450</t>
  </si>
  <si>
    <t>Joseph Baker</t>
  </si>
  <si>
    <t>April Higgins</t>
  </si>
  <si>
    <t>E2451</t>
  </si>
  <si>
    <t>Oscar Wilson</t>
  </si>
  <si>
    <t>Christopher Weber</t>
  </si>
  <si>
    <t>E2452</t>
  </si>
  <si>
    <t>Ryan Cobb</t>
  </si>
  <si>
    <t>Wendy Donovan</t>
  </si>
  <si>
    <t>E2453</t>
  </si>
  <si>
    <t>Amanda Boyd</t>
  </si>
  <si>
    <t>Herbert Gay</t>
  </si>
  <si>
    <t>E2454</t>
  </si>
  <si>
    <t>Benjamin Adams</t>
  </si>
  <si>
    <t>Jennifer Mcdonald</t>
  </si>
  <si>
    <t>E2455</t>
  </si>
  <si>
    <t>Christopher Lyons</t>
  </si>
  <si>
    <t>Emma Allen</t>
  </si>
  <si>
    <t>E2456</t>
  </si>
  <si>
    <t>Dale Singleton</t>
  </si>
  <si>
    <t>Laura Doyle</t>
  </si>
  <si>
    <t>E2457</t>
  </si>
  <si>
    <t>Elizabeth King PhD</t>
  </si>
  <si>
    <t>Christine Booth</t>
  </si>
  <si>
    <t>E2458</t>
  </si>
  <si>
    <t>Larry Miller</t>
  </si>
  <si>
    <t>Breanna Roy</t>
  </si>
  <si>
    <t>E2459</t>
  </si>
  <si>
    <t>John Ortiz</t>
  </si>
  <si>
    <t>Randy Hunter</t>
  </si>
  <si>
    <t>E2460</t>
  </si>
  <si>
    <t>Cody Dunlap</t>
  </si>
  <si>
    <t>Allison Webb</t>
  </si>
  <si>
    <t>E2461</t>
  </si>
  <si>
    <t>Tiffany Sandoval</t>
  </si>
  <si>
    <t>Rebecca Christensen</t>
  </si>
  <si>
    <t>E2462</t>
  </si>
  <si>
    <t>James Perkins</t>
  </si>
  <si>
    <t>Roy Tucker</t>
  </si>
  <si>
    <t>E2463</t>
  </si>
  <si>
    <t>Angela Lopez</t>
  </si>
  <si>
    <t>Sydney Clements</t>
  </si>
  <si>
    <t>E2464</t>
  </si>
  <si>
    <t>Kristy Johnson</t>
  </si>
  <si>
    <t>Betty Hamilton</t>
  </si>
  <si>
    <t>E2465</t>
  </si>
  <si>
    <t>Anthony Barker</t>
  </si>
  <si>
    <t>E2466</t>
  </si>
  <si>
    <t>Tami Lester</t>
  </si>
  <si>
    <t>E2467</t>
  </si>
  <si>
    <t>Steven Bridges</t>
  </si>
  <si>
    <t>E2468</t>
  </si>
  <si>
    <t>James Lawson</t>
  </si>
  <si>
    <t>Nathan Russo</t>
  </si>
  <si>
    <t>E2469</t>
  </si>
  <si>
    <t>Cody Jones</t>
  </si>
  <si>
    <t>Benjamin Frye DDS</t>
  </si>
  <si>
    <t>E2470</t>
  </si>
  <si>
    <t>Chelsea Lyons</t>
  </si>
  <si>
    <t>Anthony Arias</t>
  </si>
  <si>
    <t>E2471</t>
  </si>
  <si>
    <t>Lindsay Vargas</t>
  </si>
  <si>
    <t>Nicholas Villanueva</t>
  </si>
  <si>
    <t>E2472</t>
  </si>
  <si>
    <t>Ivan Stanley</t>
  </si>
  <si>
    <t>Rachel Rhodes</t>
  </si>
  <si>
    <t>E2473</t>
  </si>
  <si>
    <t>Mark Simmons</t>
  </si>
  <si>
    <t>Alison Cordova</t>
  </si>
  <si>
    <t>E2474</t>
  </si>
  <si>
    <t>Lori Hubbard</t>
  </si>
  <si>
    <t>Nathan Mcmillan</t>
  </si>
  <si>
    <t>E2475</t>
  </si>
  <si>
    <t>Jennifer Brown</t>
  </si>
  <si>
    <t>Jeffrey Griffin</t>
  </si>
  <si>
    <t>E2476</t>
  </si>
  <si>
    <t>Tyler Underwood III</t>
  </si>
  <si>
    <t>Richard Kelly</t>
  </si>
  <si>
    <t>E2477</t>
  </si>
  <si>
    <t>Cindy Daniels</t>
  </si>
  <si>
    <t>Katie Taylor</t>
  </si>
  <si>
    <t>E2478</t>
  </si>
  <si>
    <t>Tina Kent</t>
  </si>
  <si>
    <t>Michelle Frost</t>
  </si>
  <si>
    <t>E2479</t>
  </si>
  <si>
    <t>Crystal Weaver</t>
  </si>
  <si>
    <t>Richard Cohen</t>
  </si>
  <si>
    <t>E2480</t>
  </si>
  <si>
    <t>Ashley Luna</t>
  </si>
  <si>
    <t>Erin Hill</t>
  </si>
  <si>
    <t>E2481</t>
  </si>
  <si>
    <t>Margaret Colon</t>
  </si>
  <si>
    <t>William Nielsen</t>
  </si>
  <si>
    <t>E2482</t>
  </si>
  <si>
    <t>Rebecca Freeman</t>
  </si>
  <si>
    <t>Derek Acosta</t>
  </si>
  <si>
    <t>E2483</t>
  </si>
  <si>
    <t>Lisa Hudson</t>
  </si>
  <si>
    <t>Crystal Smith MD</t>
  </si>
  <si>
    <t>E2484</t>
  </si>
  <si>
    <t>Natalie Flores</t>
  </si>
  <si>
    <t>Jacob Walker</t>
  </si>
  <si>
    <t>E2485</t>
  </si>
  <si>
    <t>Timothy Martin</t>
  </si>
  <si>
    <t>David Hoffman</t>
  </si>
  <si>
    <t>E2486</t>
  </si>
  <si>
    <t>Jacqueline Caldwell</t>
  </si>
  <si>
    <t>Donald Davidson</t>
  </si>
  <si>
    <t>E2487</t>
  </si>
  <si>
    <t>Anthony Keith</t>
  </si>
  <si>
    <t>Randall Lowe</t>
  </si>
  <si>
    <t>E2488</t>
  </si>
  <si>
    <t>Brett Gibbs</t>
  </si>
  <si>
    <t>Michael Ryan</t>
  </si>
  <si>
    <t>E2489</t>
  </si>
  <si>
    <t>George Anderson</t>
  </si>
  <si>
    <t>Andrea Noble</t>
  </si>
  <si>
    <t>E2490</t>
  </si>
  <si>
    <t>Stacy Henson</t>
  </si>
  <si>
    <t>Joseph Bennett</t>
  </si>
  <si>
    <t>E2491</t>
  </si>
  <si>
    <t>Samantha Hooper</t>
  </si>
  <si>
    <t>Curtis Rojas</t>
  </si>
  <si>
    <t>E2492</t>
  </si>
  <si>
    <t>James Crawford</t>
  </si>
  <si>
    <t>Rodney Riddle</t>
  </si>
  <si>
    <t>E2493</t>
  </si>
  <si>
    <t>Steven Johnson</t>
  </si>
  <si>
    <t>Ronald Hughes</t>
  </si>
  <si>
    <t>E2494</t>
  </si>
  <si>
    <t>Jill Barnes</t>
  </si>
  <si>
    <t>Betty Richardson</t>
  </si>
  <si>
    <t>E2495</t>
  </si>
  <si>
    <t>William Daniels</t>
  </si>
  <si>
    <t>E2496</t>
  </si>
  <si>
    <t>Chad Murphy</t>
  </si>
  <si>
    <t>David Ward</t>
  </si>
  <si>
    <t>E2497</t>
  </si>
  <si>
    <t>Jasmine Robinson</t>
  </si>
  <si>
    <t>Michael Norman</t>
  </si>
  <si>
    <t>E2498</t>
  </si>
  <si>
    <t>Sara Smith</t>
  </si>
  <si>
    <t>Joshua Chavez</t>
  </si>
  <si>
    <t>E2499</t>
  </si>
  <si>
    <t>Zachary Schultz</t>
  </si>
  <si>
    <t>Michael Dunn</t>
  </si>
  <si>
    <t>Row Labels</t>
  </si>
  <si>
    <t>Grand Total</t>
  </si>
  <si>
    <t>Count of Employee_ID</t>
  </si>
  <si>
    <t>Sum of Performance_Rating</t>
  </si>
  <si>
    <t>Average of Performance_Rating</t>
  </si>
  <si>
    <t>Average of Hours_Spent</t>
  </si>
  <si>
    <t>Count of Task_Status</t>
  </si>
  <si>
    <t>Column Labels</t>
  </si>
  <si>
    <t>Count of Remote_Work</t>
  </si>
  <si>
    <t>Count of Project_Name</t>
  </si>
  <si>
    <t>Due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</si>
</sst>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48"/>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git.xlsx]Sheet3!PivotTable1</c:name>
    <c:fmtId val="3"/>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US"/>
              <a:t>total employees per</a:t>
            </a:r>
            <a:r>
              <a:rPr lang="en-US" baseline="0"/>
              <a:t>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Sheet3!$A$4:$A$10</c:f>
              <c:strCache>
                <c:ptCount val="6"/>
                <c:pt idx="0">
                  <c:v>Customer Support</c:v>
                </c:pt>
                <c:pt idx="1">
                  <c:v>HR</c:v>
                </c:pt>
                <c:pt idx="2">
                  <c:v>IT</c:v>
                </c:pt>
                <c:pt idx="3">
                  <c:v>Marketing</c:v>
                </c:pt>
                <c:pt idx="4">
                  <c:v>Operations</c:v>
                </c:pt>
                <c:pt idx="5">
                  <c:v>R&amp;D</c:v>
                </c:pt>
              </c:strCache>
            </c:strRef>
          </c:cat>
          <c:val>
            <c:numRef>
              <c:f>Sheet3!$B$4:$B$10</c:f>
              <c:numCache>
                <c:formatCode>General</c:formatCode>
                <c:ptCount val="6"/>
                <c:pt idx="0">
                  <c:v>2</c:v>
                </c:pt>
                <c:pt idx="1">
                  <c:v>1</c:v>
                </c:pt>
                <c:pt idx="2">
                  <c:v>1</c:v>
                </c:pt>
                <c:pt idx="3">
                  <c:v>3</c:v>
                </c:pt>
                <c:pt idx="4">
                  <c:v>1</c:v>
                </c:pt>
                <c:pt idx="5">
                  <c:v>1</c:v>
                </c:pt>
              </c:numCache>
            </c:numRef>
          </c:val>
          <c:extLst>
            <c:ext xmlns:c16="http://schemas.microsoft.com/office/drawing/2014/chart" uri="{C3380CC4-5D6E-409C-BE32-E72D297353CC}">
              <c16:uniqueId val="{00000000-35B6-4A3C-9758-F8A1DD59FF47}"/>
            </c:ext>
          </c:extLst>
        </c:ser>
        <c:dLbls>
          <c:dLblPos val="outEnd"/>
          <c:showLegendKey val="0"/>
          <c:showVal val="1"/>
          <c:showCatName val="0"/>
          <c:showSerName val="0"/>
          <c:showPercent val="0"/>
          <c:showBubbleSize val="0"/>
        </c:dLbls>
        <c:gapWidth val="219"/>
        <c:overlap val="-27"/>
        <c:axId val="1207237359"/>
        <c:axId val="1207246479"/>
      </c:barChart>
      <c:catAx>
        <c:axId val="120723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207246479"/>
        <c:crosses val="autoZero"/>
        <c:auto val="1"/>
        <c:lblAlgn val="ctr"/>
        <c:lblOffset val="100"/>
        <c:noMultiLvlLbl val="0"/>
      </c:catAx>
      <c:valAx>
        <c:axId val="1207246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20723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git.xlsx]Sheet4!PivotTable2</c:name>
    <c:fmtId val="5"/>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US"/>
              <a:t>average performance rating per departing</a:t>
            </a:r>
          </a:p>
        </c:rich>
      </c:tx>
      <c:layout>
        <c:manualLayout>
          <c:xMode val="edge"/>
          <c:yMode val="edge"/>
          <c:x val="0.17122900143213793"/>
          <c:y val="0.130193120388919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Sheet4!$A$4:$A$10</c:f>
              <c:strCache>
                <c:ptCount val="6"/>
                <c:pt idx="0">
                  <c:v>Customer Support</c:v>
                </c:pt>
                <c:pt idx="1">
                  <c:v>HR</c:v>
                </c:pt>
                <c:pt idx="2">
                  <c:v>IT</c:v>
                </c:pt>
                <c:pt idx="3">
                  <c:v>Marketing</c:v>
                </c:pt>
                <c:pt idx="4">
                  <c:v>Operations</c:v>
                </c:pt>
                <c:pt idx="5">
                  <c:v>R&amp;D</c:v>
                </c:pt>
              </c:strCache>
            </c:strRef>
          </c:cat>
          <c:val>
            <c:numRef>
              <c:f>Sheet4!$B$4:$B$10</c:f>
              <c:numCache>
                <c:formatCode>General</c:formatCode>
                <c:ptCount val="6"/>
                <c:pt idx="0">
                  <c:v>1</c:v>
                </c:pt>
                <c:pt idx="1">
                  <c:v>1</c:v>
                </c:pt>
                <c:pt idx="2">
                  <c:v>1</c:v>
                </c:pt>
                <c:pt idx="3">
                  <c:v>3.6666666666666665</c:v>
                </c:pt>
                <c:pt idx="4">
                  <c:v>5</c:v>
                </c:pt>
                <c:pt idx="5">
                  <c:v>2</c:v>
                </c:pt>
              </c:numCache>
            </c:numRef>
          </c:val>
          <c:extLst>
            <c:ext xmlns:c16="http://schemas.microsoft.com/office/drawing/2014/chart" uri="{C3380CC4-5D6E-409C-BE32-E72D297353CC}">
              <c16:uniqueId val="{00000000-C4DA-4B68-865F-C9DEB6A3C1A3}"/>
            </c:ext>
          </c:extLst>
        </c:ser>
        <c:dLbls>
          <c:dLblPos val="ctr"/>
          <c:showLegendKey val="0"/>
          <c:showVal val="1"/>
          <c:showCatName val="0"/>
          <c:showSerName val="0"/>
          <c:showPercent val="0"/>
          <c:showBubbleSize val="0"/>
        </c:dLbls>
        <c:gapWidth val="150"/>
        <c:overlap val="100"/>
        <c:axId val="1342953151"/>
        <c:axId val="1342956031"/>
      </c:barChart>
      <c:catAx>
        <c:axId val="134295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342956031"/>
        <c:crosses val="autoZero"/>
        <c:auto val="1"/>
        <c:lblAlgn val="ctr"/>
        <c:lblOffset val="100"/>
        <c:noMultiLvlLbl val="0"/>
      </c:catAx>
      <c:valAx>
        <c:axId val="1342956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34295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git.xlsx]Sheet5!PivotTable3</c:name>
    <c:fmtId val="9"/>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US"/>
              <a:t>department has highest average hour spent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IT</c:v>
                </c:pt>
                <c:pt idx="1">
                  <c:v>Customer Support</c:v>
                </c:pt>
                <c:pt idx="2">
                  <c:v>R&amp;D</c:v>
                </c:pt>
                <c:pt idx="3">
                  <c:v>Marketing</c:v>
                </c:pt>
                <c:pt idx="4">
                  <c:v>Operations</c:v>
                </c:pt>
                <c:pt idx="5">
                  <c:v>HR</c:v>
                </c:pt>
              </c:strCache>
            </c:strRef>
          </c:cat>
          <c:val>
            <c:numRef>
              <c:f>Sheet5!$B$4:$B$10</c:f>
              <c:numCache>
                <c:formatCode>General</c:formatCode>
                <c:ptCount val="6"/>
                <c:pt idx="0">
                  <c:v>1.25</c:v>
                </c:pt>
                <c:pt idx="1">
                  <c:v>1.1850000000000001</c:v>
                </c:pt>
                <c:pt idx="2">
                  <c:v>1.1599999999999999</c:v>
                </c:pt>
                <c:pt idx="3">
                  <c:v>1.1133333333333333</c:v>
                </c:pt>
                <c:pt idx="4">
                  <c:v>1.1000000000000001</c:v>
                </c:pt>
                <c:pt idx="5">
                  <c:v>1.02</c:v>
                </c:pt>
              </c:numCache>
            </c:numRef>
          </c:val>
          <c:extLst>
            <c:ext xmlns:c16="http://schemas.microsoft.com/office/drawing/2014/chart" uri="{C3380CC4-5D6E-409C-BE32-E72D297353CC}">
              <c16:uniqueId val="{00000000-9F59-4CE7-9BEE-D6107311BE7F}"/>
            </c:ext>
          </c:extLst>
        </c:ser>
        <c:dLbls>
          <c:dLblPos val="ctr"/>
          <c:showLegendKey val="0"/>
          <c:showVal val="1"/>
          <c:showCatName val="0"/>
          <c:showSerName val="0"/>
          <c:showPercent val="0"/>
          <c:showBubbleSize val="0"/>
        </c:dLbls>
        <c:gapWidth val="150"/>
        <c:overlap val="100"/>
        <c:axId val="1342962751"/>
        <c:axId val="1342963231"/>
      </c:barChart>
      <c:catAx>
        <c:axId val="134296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342963231"/>
        <c:crosses val="autoZero"/>
        <c:auto val="1"/>
        <c:lblAlgn val="ctr"/>
        <c:lblOffset val="100"/>
        <c:noMultiLvlLbl val="0"/>
      </c:catAx>
      <c:valAx>
        <c:axId val="1342963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342962751"/>
        <c:crosses val="autoZero"/>
        <c:crossBetween val="between"/>
      </c:valAx>
      <c:spPr>
        <a:solidFill>
          <a:schemeClr val="tx1">
            <a:lumMod val="95000"/>
            <a:lumOff val="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git.xlsx]Sheet6!PivotTable4</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distribution of task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68-4959-BBDD-CE6B474395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68-4959-BBDD-CE6B474395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68-4959-BBDD-CE6B474395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68-4959-BBDD-CE6B474395A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Sheet6!$A$4:$A$8</c:f>
              <c:strCache>
                <c:ptCount val="4"/>
                <c:pt idx="0">
                  <c:v>Completed</c:v>
                </c:pt>
                <c:pt idx="1">
                  <c:v>In Progress</c:v>
                </c:pt>
                <c:pt idx="2">
                  <c:v>Not Started</c:v>
                </c:pt>
                <c:pt idx="3">
                  <c:v>On Hold</c:v>
                </c:pt>
              </c:strCache>
            </c:strRef>
          </c:cat>
          <c:val>
            <c:numRef>
              <c:f>Sheet6!$B$4:$B$8</c:f>
              <c:numCache>
                <c:formatCode>0.00%</c:formatCode>
                <c:ptCount val="4"/>
                <c:pt idx="0">
                  <c:v>0.1111111111111111</c:v>
                </c:pt>
                <c:pt idx="1">
                  <c:v>0.33333333333333331</c:v>
                </c:pt>
                <c:pt idx="2">
                  <c:v>0.22222222222222221</c:v>
                </c:pt>
                <c:pt idx="3">
                  <c:v>0.33333333333333331</c:v>
                </c:pt>
              </c:numCache>
            </c:numRef>
          </c:val>
          <c:extLst>
            <c:ext xmlns:c16="http://schemas.microsoft.com/office/drawing/2014/chart" uri="{C3380CC4-5D6E-409C-BE32-E72D297353CC}">
              <c16:uniqueId val="{00000008-8268-4959-BBDD-CE6B474395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git.xlsx]Sheet7!PivotTable5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project are active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04-4F70-87B4-937D9C05E7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04-4F70-87B4-937D9C05E7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04-4F70-87B4-937D9C05E7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D2-4935-9F06-75CC2C29C9C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Sheet7!$A$4:$A$8</c:f>
              <c:strCache>
                <c:ptCount val="4"/>
                <c:pt idx="0">
                  <c:v>Completed</c:v>
                </c:pt>
                <c:pt idx="1">
                  <c:v>In Progress</c:v>
                </c:pt>
                <c:pt idx="2">
                  <c:v>Not Started</c:v>
                </c:pt>
                <c:pt idx="3">
                  <c:v>On Hold</c:v>
                </c:pt>
              </c:strCache>
            </c:strRef>
          </c:cat>
          <c:val>
            <c:numRef>
              <c:f>Sheet7!$B$4:$B$8</c:f>
              <c:numCache>
                <c:formatCode>General</c:formatCode>
                <c:ptCount val="4"/>
                <c:pt idx="0">
                  <c:v>1</c:v>
                </c:pt>
                <c:pt idx="1">
                  <c:v>3</c:v>
                </c:pt>
                <c:pt idx="2">
                  <c:v>2</c:v>
                </c:pt>
                <c:pt idx="3">
                  <c:v>3</c:v>
                </c:pt>
              </c:numCache>
            </c:numRef>
          </c:val>
          <c:extLst>
            <c:ext xmlns:c16="http://schemas.microsoft.com/office/drawing/2014/chart" uri="{C3380CC4-5D6E-409C-BE32-E72D297353CC}">
              <c16:uniqueId val="{00000006-DA04-4F70-87B4-937D9C05E73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git.xlsx]Sheet8!PivotTable6</c:name>
    <c:fmtId val="8"/>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US"/>
              <a:t>manager handle the most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Sheet8!$A$4:$A$13</c:f>
              <c:strCache>
                <c:ptCount val="9"/>
                <c:pt idx="0">
                  <c:v>Ryan Adams</c:v>
                </c:pt>
                <c:pt idx="1">
                  <c:v>Riley Andrews</c:v>
                </c:pt>
                <c:pt idx="2">
                  <c:v>Derrick Lewis</c:v>
                </c:pt>
                <c:pt idx="3">
                  <c:v>Holly Young</c:v>
                </c:pt>
                <c:pt idx="4">
                  <c:v>Robert Mata</c:v>
                </c:pt>
                <c:pt idx="5">
                  <c:v>Jacob Walker</c:v>
                </c:pt>
                <c:pt idx="6">
                  <c:v>Samuel Velazquez</c:v>
                </c:pt>
                <c:pt idx="7">
                  <c:v>James Moore</c:v>
                </c:pt>
                <c:pt idx="8">
                  <c:v>Mrs. Cynthia Thompson</c:v>
                </c:pt>
              </c:strCache>
            </c:strRef>
          </c:cat>
          <c:val>
            <c:numRef>
              <c:f>Sheet8!$B$4:$B$13</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A261-497B-B241-9D00FCAA5232}"/>
            </c:ext>
          </c:extLst>
        </c:ser>
        <c:dLbls>
          <c:dLblPos val="outEnd"/>
          <c:showLegendKey val="0"/>
          <c:showVal val="1"/>
          <c:showCatName val="0"/>
          <c:showSerName val="0"/>
          <c:showPercent val="0"/>
          <c:showBubbleSize val="0"/>
        </c:dLbls>
        <c:gapWidth val="219"/>
        <c:overlap val="-27"/>
        <c:axId val="1470636399"/>
        <c:axId val="1470655599"/>
      </c:barChart>
      <c:catAx>
        <c:axId val="147063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470655599"/>
        <c:crosses val="autoZero"/>
        <c:auto val="1"/>
        <c:lblAlgn val="ctr"/>
        <c:lblOffset val="100"/>
        <c:noMultiLvlLbl val="0"/>
      </c:catAx>
      <c:valAx>
        <c:axId val="1470655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47063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git.xlsx]Sheet9!PivotTable7</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remote vs office employees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2B-478F-97B7-FE6A48B4C4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2B-478F-97B7-FE6A48B4C447}"/>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Sheet9!$A$4:$A$6</c:f>
              <c:strCache>
                <c:ptCount val="2"/>
                <c:pt idx="0">
                  <c:v>No</c:v>
                </c:pt>
                <c:pt idx="1">
                  <c:v>Yes</c:v>
                </c:pt>
              </c:strCache>
            </c:strRef>
          </c:cat>
          <c:val>
            <c:numRef>
              <c:f>Sheet9!$B$4:$B$6</c:f>
              <c:numCache>
                <c:formatCode>0.00%</c:formatCode>
                <c:ptCount val="2"/>
                <c:pt idx="0">
                  <c:v>0.44444444444444442</c:v>
                </c:pt>
                <c:pt idx="1">
                  <c:v>0.55555555555555558</c:v>
                </c:pt>
              </c:numCache>
            </c:numRef>
          </c:val>
          <c:extLst>
            <c:ext xmlns:c16="http://schemas.microsoft.com/office/drawing/2014/chart" uri="{C3380CC4-5D6E-409C-BE32-E72D297353CC}">
              <c16:uniqueId val="{00000004-E5AF-4B31-BDD0-CD4B5C17710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git.xlsx]Sheet10!PivotTable8</c:name>
    <c:fmtId val="7"/>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t>average performance of remote and non remote</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Sheet10!$A$4:$A$6</c:f>
              <c:strCache>
                <c:ptCount val="2"/>
                <c:pt idx="0">
                  <c:v>No</c:v>
                </c:pt>
                <c:pt idx="1">
                  <c:v>Yes</c:v>
                </c:pt>
              </c:strCache>
            </c:strRef>
          </c:cat>
          <c:val>
            <c:numRef>
              <c:f>Sheet10!$B$4:$B$6</c:f>
              <c:numCache>
                <c:formatCode>General</c:formatCode>
                <c:ptCount val="2"/>
                <c:pt idx="0">
                  <c:v>3.5</c:v>
                </c:pt>
                <c:pt idx="1">
                  <c:v>1.6</c:v>
                </c:pt>
              </c:numCache>
            </c:numRef>
          </c:val>
          <c:extLst>
            <c:ext xmlns:c16="http://schemas.microsoft.com/office/drawing/2014/chart" uri="{C3380CC4-5D6E-409C-BE32-E72D297353CC}">
              <c16:uniqueId val="{00000000-D5D3-45AA-B8BE-B15DC415FB7C}"/>
            </c:ext>
          </c:extLst>
        </c:ser>
        <c:dLbls>
          <c:dLblPos val="outEnd"/>
          <c:showLegendKey val="0"/>
          <c:showVal val="1"/>
          <c:showCatName val="0"/>
          <c:showSerName val="0"/>
          <c:showPercent val="0"/>
          <c:showBubbleSize val="0"/>
        </c:dLbls>
        <c:gapWidth val="219"/>
        <c:overlap val="-27"/>
        <c:axId val="3078703"/>
        <c:axId val="3097903"/>
      </c:barChart>
      <c:catAx>
        <c:axId val="307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097903"/>
        <c:crosses val="autoZero"/>
        <c:auto val="1"/>
        <c:lblAlgn val="ctr"/>
        <c:lblOffset val="100"/>
        <c:noMultiLvlLbl val="0"/>
      </c:catAx>
      <c:valAx>
        <c:axId val="309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078703"/>
        <c:crosses val="autoZero"/>
        <c:crossBetween val="between"/>
      </c:valAx>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git.xlsx]Sheet14!PivotTable10</c:name>
    <c:fmtId val="9"/>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IN"/>
              <a:t>average hours spent per 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Sheet14!$A$4:$A$8</c:f>
              <c:strCache>
                <c:ptCount val="4"/>
                <c:pt idx="0">
                  <c:v>Apollo</c:v>
                </c:pt>
                <c:pt idx="1">
                  <c:v>Hermes</c:v>
                </c:pt>
                <c:pt idx="2">
                  <c:v>Neptune</c:v>
                </c:pt>
                <c:pt idx="3">
                  <c:v>Zephyr</c:v>
                </c:pt>
              </c:strCache>
            </c:strRef>
          </c:cat>
          <c:val>
            <c:numRef>
              <c:f>Sheet14!$B$4:$B$8</c:f>
              <c:numCache>
                <c:formatCode>General</c:formatCode>
                <c:ptCount val="4"/>
                <c:pt idx="0">
                  <c:v>1.1633333333333333</c:v>
                </c:pt>
                <c:pt idx="1">
                  <c:v>1.06</c:v>
                </c:pt>
                <c:pt idx="2">
                  <c:v>1.1566666666666667</c:v>
                </c:pt>
                <c:pt idx="3">
                  <c:v>1.1599999999999999</c:v>
                </c:pt>
              </c:numCache>
            </c:numRef>
          </c:val>
          <c:extLst>
            <c:ext xmlns:c16="http://schemas.microsoft.com/office/drawing/2014/chart" uri="{C3380CC4-5D6E-409C-BE32-E72D297353CC}">
              <c16:uniqueId val="{00000000-FE27-4A15-A715-FA73F2C8739D}"/>
            </c:ext>
          </c:extLst>
        </c:ser>
        <c:dLbls>
          <c:dLblPos val="ctr"/>
          <c:showLegendKey val="0"/>
          <c:showVal val="1"/>
          <c:showCatName val="0"/>
          <c:showSerName val="0"/>
          <c:showPercent val="0"/>
          <c:showBubbleSize val="0"/>
        </c:dLbls>
        <c:gapWidth val="150"/>
        <c:overlap val="100"/>
        <c:axId val="3030703"/>
        <c:axId val="3062383"/>
      </c:barChart>
      <c:catAx>
        <c:axId val="303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3062383"/>
        <c:crosses val="autoZero"/>
        <c:auto val="1"/>
        <c:lblAlgn val="ctr"/>
        <c:lblOffset val="100"/>
        <c:noMultiLvlLbl val="0"/>
      </c:catAx>
      <c:valAx>
        <c:axId val="3062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303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git.xlsx]Sheet18!PivotTable11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top 5 employees by performance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Sheet18!$B$3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76-4A05-84E9-B1621F9C3F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76-4A05-84E9-B1621F9C3F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76-4A05-84E9-B1621F9C3F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76-4A05-84E9-B1621F9C3F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76-4A05-84E9-B1621F9C3FC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Sheet18!$A$4:$A$8</c:f>
              <c:strCache>
                <c:ptCount val="4"/>
                <c:pt idx="0">
                  <c:v>Apollo</c:v>
                </c:pt>
                <c:pt idx="1">
                  <c:v>Hermes</c:v>
                </c:pt>
                <c:pt idx="2">
                  <c:v>Neptune</c:v>
                </c:pt>
                <c:pt idx="3">
                  <c:v>Zephyr</c:v>
                </c:pt>
              </c:strCache>
            </c:strRef>
          </c:cat>
          <c:val>
            <c:numRef>
              <c:f>Sheet18!$B$4:$B$8</c:f>
              <c:numCache>
                <c:formatCode>General</c:formatCode>
                <c:ptCount val="4"/>
                <c:pt idx="0">
                  <c:v>8</c:v>
                </c:pt>
                <c:pt idx="1">
                  <c:v>5</c:v>
                </c:pt>
                <c:pt idx="2">
                  <c:v>7</c:v>
                </c:pt>
                <c:pt idx="3">
                  <c:v>2</c:v>
                </c:pt>
              </c:numCache>
            </c:numRef>
          </c:val>
          <c:extLst>
            <c:ext xmlns:c16="http://schemas.microsoft.com/office/drawing/2014/chart" uri="{C3380CC4-5D6E-409C-BE32-E72D297353CC}">
              <c16:uniqueId val="{0000000A-8276-4A05-84E9-B1621F9C3FC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git.xlsx]Sheet22!PivotTable14</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performance rating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Sheet22!$B$3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8C-4B17-8305-37F0910728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8C-4B17-8305-37F0910728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8C-4B17-8305-37F0910728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8C-4B17-8305-37F0910728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68C-4B17-8305-37F0910728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68C-4B17-8305-37F09107284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Sheet22!$A$4:$A$8</c:f>
              <c:strCache>
                <c:ptCount val="4"/>
                <c:pt idx="0">
                  <c:v>Apollo</c:v>
                </c:pt>
                <c:pt idx="1">
                  <c:v>Hermes</c:v>
                </c:pt>
                <c:pt idx="2">
                  <c:v>Neptune</c:v>
                </c:pt>
                <c:pt idx="3">
                  <c:v>Zephyr</c:v>
                </c:pt>
              </c:strCache>
            </c:strRef>
          </c:cat>
          <c:val>
            <c:numRef>
              <c:f>Sheet22!$B$4:$B$8</c:f>
              <c:numCache>
                <c:formatCode>0.00%</c:formatCode>
                <c:ptCount val="4"/>
                <c:pt idx="0">
                  <c:v>0.36363636363636365</c:v>
                </c:pt>
                <c:pt idx="1">
                  <c:v>0.22727272727272727</c:v>
                </c:pt>
                <c:pt idx="2">
                  <c:v>0.31818181818181818</c:v>
                </c:pt>
                <c:pt idx="3">
                  <c:v>9.0909090909090912E-2</c:v>
                </c:pt>
              </c:numCache>
            </c:numRef>
          </c:val>
          <c:extLst>
            <c:ext xmlns:c16="http://schemas.microsoft.com/office/drawing/2014/chart" uri="{C3380CC4-5D6E-409C-BE32-E72D297353CC}">
              <c16:uniqueId val="{0000000C-A68C-4B17-8305-37F09107284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git.xlsx]Sheet23!PivotTable15</c:name>
    <c:fmtId val="5"/>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r>
              <a:rPr lang="en-IN"/>
              <a:t>overall project status summary(matric)</a:t>
            </a:r>
          </a:p>
        </c:rich>
      </c:tx>
      <c:layout>
        <c:manualLayout>
          <c:xMode val="edge"/>
          <c:yMode val="edge"/>
          <c:x val="0.20900203639172452"/>
          <c:y val="0.132573576246594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Sheet23!$A$4:$A$8</c:f>
              <c:strCache>
                <c:ptCount val="4"/>
                <c:pt idx="0">
                  <c:v>Completed</c:v>
                </c:pt>
                <c:pt idx="1">
                  <c:v>In Progress</c:v>
                </c:pt>
                <c:pt idx="2">
                  <c:v>Not Started</c:v>
                </c:pt>
                <c:pt idx="3">
                  <c:v>On Hold</c:v>
                </c:pt>
              </c:strCache>
            </c:strRef>
          </c:cat>
          <c:val>
            <c:numRef>
              <c:f>Sheet23!$B$4:$B$8</c:f>
              <c:numCache>
                <c:formatCode>General</c:formatCode>
                <c:ptCount val="4"/>
                <c:pt idx="0">
                  <c:v>353</c:v>
                </c:pt>
                <c:pt idx="1">
                  <c:v>402</c:v>
                </c:pt>
                <c:pt idx="2">
                  <c:v>382</c:v>
                </c:pt>
                <c:pt idx="3">
                  <c:v>363</c:v>
                </c:pt>
              </c:numCache>
            </c:numRef>
          </c:val>
          <c:extLst>
            <c:ext xmlns:c16="http://schemas.microsoft.com/office/drawing/2014/chart" uri="{C3380CC4-5D6E-409C-BE32-E72D297353CC}">
              <c16:uniqueId val="{00000000-276E-4DBA-8158-30098AB0DBED}"/>
            </c:ext>
          </c:extLst>
        </c:ser>
        <c:dLbls>
          <c:dLblPos val="outEnd"/>
          <c:showLegendKey val="0"/>
          <c:showVal val="1"/>
          <c:showCatName val="0"/>
          <c:showSerName val="0"/>
          <c:showPercent val="0"/>
          <c:showBubbleSize val="0"/>
        </c:dLbls>
        <c:gapWidth val="182"/>
        <c:axId val="1899774351"/>
        <c:axId val="1899771471"/>
      </c:barChart>
      <c:catAx>
        <c:axId val="189977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899771471"/>
        <c:crosses val="autoZero"/>
        <c:auto val="1"/>
        <c:lblAlgn val="ctr"/>
        <c:lblOffset val="100"/>
        <c:noMultiLvlLbl val="0"/>
      </c:catAx>
      <c:valAx>
        <c:axId val="1899771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89977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git.xlsx]Sheet25!PivotTable16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calculate performance score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Sheet25!$B$3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68-494F-85D1-5C294B2918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68-494F-85D1-5C294B2918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68-494F-85D1-5C294B2918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68-494F-85D1-5C294B2918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368-494F-85D1-5C294B2918C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Sheet25!$A$4:$A$9</c:f>
              <c:strCache>
                <c:ptCount val="5"/>
                <c:pt idx="0">
                  <c:v>1</c:v>
                </c:pt>
                <c:pt idx="1">
                  <c:v>2</c:v>
                </c:pt>
                <c:pt idx="2">
                  <c:v>3</c:v>
                </c:pt>
                <c:pt idx="3">
                  <c:v>4</c:v>
                </c:pt>
                <c:pt idx="4">
                  <c:v>5</c:v>
                </c:pt>
              </c:strCache>
            </c:strRef>
          </c:cat>
          <c:val>
            <c:numRef>
              <c:f>Sheet25!$B$4:$B$9</c:f>
              <c:numCache>
                <c:formatCode>0.00%</c:formatCode>
                <c:ptCount val="5"/>
                <c:pt idx="0">
                  <c:v>6.1237928007023705E-2</c:v>
                </c:pt>
                <c:pt idx="1">
                  <c:v>0.1356453028972783</c:v>
                </c:pt>
                <c:pt idx="2">
                  <c:v>0.20741878841088673</c:v>
                </c:pt>
                <c:pt idx="3">
                  <c:v>0.23792800702370501</c:v>
                </c:pt>
                <c:pt idx="4">
                  <c:v>0.35776997366110624</c:v>
                </c:pt>
              </c:numCache>
            </c:numRef>
          </c:val>
          <c:extLst>
            <c:ext xmlns:c16="http://schemas.microsoft.com/office/drawing/2014/chart" uri="{C3380CC4-5D6E-409C-BE32-E72D297353CC}">
              <c16:uniqueId val="{0000000A-5368-494F-85D1-5C294B2918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git.xlsx]Sheet26!PivotTable17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calculate completion ratio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Sheet26!$B$3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3C-4754-A161-F179697931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3C-4754-A161-F179697931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3C-4754-A161-F179697931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3C-4754-A161-F1796979318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Sheet26!$A$4:$A$8</c:f>
              <c:strCache>
                <c:ptCount val="4"/>
                <c:pt idx="0">
                  <c:v>Completed</c:v>
                </c:pt>
                <c:pt idx="1">
                  <c:v>In Progress</c:v>
                </c:pt>
                <c:pt idx="2">
                  <c:v>Not Started</c:v>
                </c:pt>
                <c:pt idx="3">
                  <c:v>On Hold</c:v>
                </c:pt>
              </c:strCache>
            </c:strRef>
          </c:cat>
          <c:val>
            <c:numRef>
              <c:f>Sheet26!$B$4:$B$8</c:f>
              <c:numCache>
                <c:formatCode>0.00%</c:formatCode>
                <c:ptCount val="4"/>
                <c:pt idx="0">
                  <c:v>0.1111111111111111</c:v>
                </c:pt>
                <c:pt idx="1">
                  <c:v>0.33333333333333331</c:v>
                </c:pt>
                <c:pt idx="2">
                  <c:v>0.22222222222222221</c:v>
                </c:pt>
                <c:pt idx="3">
                  <c:v>0.33333333333333331</c:v>
                </c:pt>
              </c:numCache>
            </c:numRef>
          </c:val>
          <c:extLst>
            <c:ext xmlns:c16="http://schemas.microsoft.com/office/drawing/2014/chart" uri="{C3380CC4-5D6E-409C-BE32-E72D297353CC}">
              <c16:uniqueId val="{00000008-DE3C-4754-A161-F1796979318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git.xlsx]Sheet3!PivotTable1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Sheet3!$A$4:$A$10</c:f>
              <c:strCache>
                <c:ptCount val="6"/>
                <c:pt idx="0">
                  <c:v>Customer Support</c:v>
                </c:pt>
                <c:pt idx="1">
                  <c:v>HR</c:v>
                </c:pt>
                <c:pt idx="2">
                  <c:v>IT</c:v>
                </c:pt>
                <c:pt idx="3">
                  <c:v>Marketing</c:v>
                </c:pt>
                <c:pt idx="4">
                  <c:v>Operations</c:v>
                </c:pt>
                <c:pt idx="5">
                  <c:v>R&amp;D</c:v>
                </c:pt>
              </c:strCache>
            </c:strRef>
          </c:cat>
          <c:val>
            <c:numRef>
              <c:f>Sheet3!$B$4:$B$10</c:f>
              <c:numCache>
                <c:formatCode>General</c:formatCode>
                <c:ptCount val="6"/>
                <c:pt idx="0">
                  <c:v>2</c:v>
                </c:pt>
                <c:pt idx="1">
                  <c:v>1</c:v>
                </c:pt>
                <c:pt idx="2">
                  <c:v>1</c:v>
                </c:pt>
                <c:pt idx="3">
                  <c:v>3</c:v>
                </c:pt>
                <c:pt idx="4">
                  <c:v>1</c:v>
                </c:pt>
                <c:pt idx="5">
                  <c:v>1</c:v>
                </c:pt>
              </c:numCache>
            </c:numRef>
          </c:val>
          <c:extLst>
            <c:ext xmlns:c16="http://schemas.microsoft.com/office/drawing/2014/chart" uri="{C3380CC4-5D6E-409C-BE32-E72D297353CC}">
              <c16:uniqueId val="{00000000-F2D4-47D9-868D-423830AD4CA6}"/>
            </c:ext>
          </c:extLst>
        </c:ser>
        <c:dLbls>
          <c:dLblPos val="outEnd"/>
          <c:showLegendKey val="0"/>
          <c:showVal val="1"/>
          <c:showCatName val="0"/>
          <c:showSerName val="0"/>
          <c:showPercent val="0"/>
          <c:showBubbleSize val="0"/>
        </c:dLbls>
        <c:gapWidth val="219"/>
        <c:overlap val="-27"/>
        <c:axId val="1207237359"/>
        <c:axId val="1207246479"/>
      </c:barChart>
      <c:catAx>
        <c:axId val="120723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246479"/>
        <c:crosses val="autoZero"/>
        <c:auto val="1"/>
        <c:lblAlgn val="ctr"/>
        <c:lblOffset val="100"/>
        <c:noMultiLvlLbl val="0"/>
      </c:catAx>
      <c:valAx>
        <c:axId val="1207246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23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git.xlsx]Sheet4!PivotTable2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Sheet4!$A$4:$A$10</c:f>
              <c:strCache>
                <c:ptCount val="6"/>
                <c:pt idx="0">
                  <c:v>Customer Support</c:v>
                </c:pt>
                <c:pt idx="1">
                  <c:v>HR</c:v>
                </c:pt>
                <c:pt idx="2">
                  <c:v>IT</c:v>
                </c:pt>
                <c:pt idx="3">
                  <c:v>Marketing</c:v>
                </c:pt>
                <c:pt idx="4">
                  <c:v>Operations</c:v>
                </c:pt>
                <c:pt idx="5">
                  <c:v>R&amp;D</c:v>
                </c:pt>
              </c:strCache>
            </c:strRef>
          </c:cat>
          <c:val>
            <c:numRef>
              <c:f>Sheet4!$B$4:$B$10</c:f>
              <c:numCache>
                <c:formatCode>General</c:formatCode>
                <c:ptCount val="6"/>
                <c:pt idx="0">
                  <c:v>1</c:v>
                </c:pt>
                <c:pt idx="1">
                  <c:v>1</c:v>
                </c:pt>
                <c:pt idx="2">
                  <c:v>1</c:v>
                </c:pt>
                <c:pt idx="3">
                  <c:v>3.6666666666666665</c:v>
                </c:pt>
                <c:pt idx="4">
                  <c:v>5</c:v>
                </c:pt>
                <c:pt idx="5">
                  <c:v>2</c:v>
                </c:pt>
              </c:numCache>
            </c:numRef>
          </c:val>
          <c:extLst>
            <c:ext xmlns:c16="http://schemas.microsoft.com/office/drawing/2014/chart" uri="{C3380CC4-5D6E-409C-BE32-E72D297353CC}">
              <c16:uniqueId val="{00000000-73ED-48BA-9E7A-2FA5C3F8D030}"/>
            </c:ext>
          </c:extLst>
        </c:ser>
        <c:dLbls>
          <c:dLblPos val="ctr"/>
          <c:showLegendKey val="0"/>
          <c:showVal val="1"/>
          <c:showCatName val="0"/>
          <c:showSerName val="0"/>
          <c:showPercent val="0"/>
          <c:showBubbleSize val="0"/>
        </c:dLbls>
        <c:gapWidth val="150"/>
        <c:overlap val="100"/>
        <c:axId val="1342953151"/>
        <c:axId val="1342956031"/>
      </c:barChart>
      <c:catAx>
        <c:axId val="134295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56031"/>
        <c:crosses val="autoZero"/>
        <c:auto val="1"/>
        <c:lblAlgn val="ctr"/>
        <c:lblOffset val="100"/>
        <c:noMultiLvlLbl val="0"/>
      </c:catAx>
      <c:valAx>
        <c:axId val="1342956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5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git.xlsx]Sheet5!PivotTable3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IT</c:v>
                </c:pt>
                <c:pt idx="1">
                  <c:v>Customer Support</c:v>
                </c:pt>
                <c:pt idx="2">
                  <c:v>R&amp;D</c:v>
                </c:pt>
                <c:pt idx="3">
                  <c:v>Marketing</c:v>
                </c:pt>
                <c:pt idx="4">
                  <c:v>Operations</c:v>
                </c:pt>
                <c:pt idx="5">
                  <c:v>HR</c:v>
                </c:pt>
              </c:strCache>
            </c:strRef>
          </c:cat>
          <c:val>
            <c:numRef>
              <c:f>Sheet5!$B$4:$B$10</c:f>
              <c:numCache>
                <c:formatCode>General</c:formatCode>
                <c:ptCount val="6"/>
                <c:pt idx="0">
                  <c:v>1.25</c:v>
                </c:pt>
                <c:pt idx="1">
                  <c:v>1.1850000000000001</c:v>
                </c:pt>
                <c:pt idx="2">
                  <c:v>1.1599999999999999</c:v>
                </c:pt>
                <c:pt idx="3">
                  <c:v>1.1133333333333333</c:v>
                </c:pt>
                <c:pt idx="4">
                  <c:v>1.1000000000000001</c:v>
                </c:pt>
                <c:pt idx="5">
                  <c:v>1.02</c:v>
                </c:pt>
              </c:numCache>
            </c:numRef>
          </c:val>
          <c:extLst>
            <c:ext xmlns:c16="http://schemas.microsoft.com/office/drawing/2014/chart" uri="{C3380CC4-5D6E-409C-BE32-E72D297353CC}">
              <c16:uniqueId val="{00000000-FC14-4489-908B-03464BBF428B}"/>
            </c:ext>
          </c:extLst>
        </c:ser>
        <c:dLbls>
          <c:dLblPos val="ctr"/>
          <c:showLegendKey val="0"/>
          <c:showVal val="1"/>
          <c:showCatName val="0"/>
          <c:showSerName val="0"/>
          <c:showPercent val="0"/>
          <c:showBubbleSize val="0"/>
        </c:dLbls>
        <c:gapWidth val="150"/>
        <c:overlap val="100"/>
        <c:axId val="1342962751"/>
        <c:axId val="1342963231"/>
      </c:barChart>
      <c:catAx>
        <c:axId val="134296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63231"/>
        <c:crosses val="autoZero"/>
        <c:auto val="1"/>
        <c:lblAlgn val="ctr"/>
        <c:lblOffset val="100"/>
        <c:noMultiLvlLbl val="0"/>
      </c:catAx>
      <c:valAx>
        <c:axId val="1342963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6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git.xlsx]Sheet6!PivotTable4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A1-4BE9-912B-CDDE2EDC7A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A1-4BE9-912B-CDDE2EDC7A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A1-4BE9-912B-CDDE2EDC7A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A1-4BE9-912B-CDDE2EDC7A53}"/>
              </c:ext>
            </c:extLst>
          </c:dPt>
          <c:cat>
            <c:strRef>
              <c:f>Sheet6!$A$4:$A$8</c:f>
              <c:strCache>
                <c:ptCount val="4"/>
                <c:pt idx="0">
                  <c:v>Completed</c:v>
                </c:pt>
                <c:pt idx="1">
                  <c:v>In Progress</c:v>
                </c:pt>
                <c:pt idx="2">
                  <c:v>Not Started</c:v>
                </c:pt>
                <c:pt idx="3">
                  <c:v>On Hold</c:v>
                </c:pt>
              </c:strCache>
            </c:strRef>
          </c:cat>
          <c:val>
            <c:numRef>
              <c:f>Sheet6!$B$4:$B$8</c:f>
              <c:numCache>
                <c:formatCode>0.00%</c:formatCode>
                <c:ptCount val="4"/>
                <c:pt idx="0">
                  <c:v>0.1111111111111111</c:v>
                </c:pt>
                <c:pt idx="1">
                  <c:v>0.33333333333333331</c:v>
                </c:pt>
                <c:pt idx="2">
                  <c:v>0.22222222222222221</c:v>
                </c:pt>
                <c:pt idx="3">
                  <c:v>0.33333333333333331</c:v>
                </c:pt>
              </c:numCache>
            </c:numRef>
          </c:val>
          <c:extLst>
            <c:ext xmlns:c16="http://schemas.microsoft.com/office/drawing/2014/chart" uri="{C3380CC4-5D6E-409C-BE32-E72D297353CC}">
              <c16:uniqueId val="{00000000-C312-424C-81F1-6A1590E7A3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git.xlsx]Sheet7!PivotTable5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5F-4581-9595-FE32DD77D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5F-4581-9595-FE32DD77D5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5F-4581-9595-FE32DD77D5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5F-4581-9595-FE32DD77D59A}"/>
              </c:ext>
            </c:extLst>
          </c:dPt>
          <c:cat>
            <c:strRef>
              <c:f>Sheet7!$A$4:$A$8</c:f>
              <c:strCache>
                <c:ptCount val="4"/>
                <c:pt idx="0">
                  <c:v>Completed</c:v>
                </c:pt>
                <c:pt idx="1">
                  <c:v>In Progress</c:v>
                </c:pt>
                <c:pt idx="2">
                  <c:v>Not Started</c:v>
                </c:pt>
                <c:pt idx="3">
                  <c:v>On Hold</c:v>
                </c:pt>
              </c:strCache>
            </c:strRef>
          </c:cat>
          <c:val>
            <c:numRef>
              <c:f>Sheet7!$B$4:$B$8</c:f>
              <c:numCache>
                <c:formatCode>General</c:formatCode>
                <c:ptCount val="4"/>
                <c:pt idx="0">
                  <c:v>1</c:v>
                </c:pt>
                <c:pt idx="1">
                  <c:v>3</c:v>
                </c:pt>
                <c:pt idx="2">
                  <c:v>2</c:v>
                </c:pt>
                <c:pt idx="3">
                  <c:v>3</c:v>
                </c:pt>
              </c:numCache>
            </c:numRef>
          </c:val>
          <c:extLst>
            <c:ext xmlns:c16="http://schemas.microsoft.com/office/drawing/2014/chart" uri="{C3380CC4-5D6E-409C-BE32-E72D297353CC}">
              <c16:uniqueId val="{00000000-7D88-4295-B856-CC4DF144429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git.xlsx]Sheet8!PivotTable6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Sheet8!$A$4:$A$13</c:f>
              <c:strCache>
                <c:ptCount val="9"/>
                <c:pt idx="0">
                  <c:v>Ryan Adams</c:v>
                </c:pt>
                <c:pt idx="1">
                  <c:v>Riley Andrews</c:v>
                </c:pt>
                <c:pt idx="2">
                  <c:v>Derrick Lewis</c:v>
                </c:pt>
                <c:pt idx="3">
                  <c:v>Holly Young</c:v>
                </c:pt>
                <c:pt idx="4">
                  <c:v>Robert Mata</c:v>
                </c:pt>
                <c:pt idx="5">
                  <c:v>Jacob Walker</c:v>
                </c:pt>
                <c:pt idx="6">
                  <c:v>Samuel Velazquez</c:v>
                </c:pt>
                <c:pt idx="7">
                  <c:v>James Moore</c:v>
                </c:pt>
                <c:pt idx="8">
                  <c:v>Mrs. Cynthia Thompson</c:v>
                </c:pt>
              </c:strCache>
            </c:strRef>
          </c:cat>
          <c:val>
            <c:numRef>
              <c:f>Sheet8!$B$4:$B$13</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AD6E-4CB6-BD05-09D7DA723174}"/>
            </c:ext>
          </c:extLst>
        </c:ser>
        <c:dLbls>
          <c:showLegendKey val="0"/>
          <c:showVal val="0"/>
          <c:showCatName val="0"/>
          <c:showSerName val="0"/>
          <c:showPercent val="0"/>
          <c:showBubbleSize val="0"/>
        </c:dLbls>
        <c:gapWidth val="219"/>
        <c:overlap val="-27"/>
        <c:axId val="1470636399"/>
        <c:axId val="1470655599"/>
      </c:barChart>
      <c:catAx>
        <c:axId val="147063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655599"/>
        <c:crosses val="autoZero"/>
        <c:auto val="1"/>
        <c:lblAlgn val="ctr"/>
        <c:lblOffset val="100"/>
        <c:noMultiLvlLbl val="0"/>
      </c:catAx>
      <c:valAx>
        <c:axId val="147065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63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git.xlsx]Sheet9!PivotTable7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39-4507-A70A-63F854EA2D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39-4507-A70A-63F854EA2D35}"/>
              </c:ext>
            </c:extLst>
          </c:dPt>
          <c:cat>
            <c:strRef>
              <c:f>Sheet9!$A$4:$A$6</c:f>
              <c:strCache>
                <c:ptCount val="2"/>
                <c:pt idx="0">
                  <c:v>No</c:v>
                </c:pt>
                <c:pt idx="1">
                  <c:v>Yes</c:v>
                </c:pt>
              </c:strCache>
            </c:strRef>
          </c:cat>
          <c:val>
            <c:numRef>
              <c:f>Sheet9!$B$4:$B$6</c:f>
              <c:numCache>
                <c:formatCode>0.00%</c:formatCode>
                <c:ptCount val="2"/>
                <c:pt idx="0">
                  <c:v>0.44444444444444442</c:v>
                </c:pt>
                <c:pt idx="1">
                  <c:v>0.55555555555555558</c:v>
                </c:pt>
              </c:numCache>
            </c:numRef>
          </c:val>
          <c:extLst>
            <c:ext xmlns:c16="http://schemas.microsoft.com/office/drawing/2014/chart" uri="{C3380CC4-5D6E-409C-BE32-E72D297353CC}">
              <c16:uniqueId val="{00000000-7772-4239-AE45-203D1B3C9C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git.xlsx]Sheet10!PivotTable8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Sheet10!$A$4:$A$6</c:f>
              <c:strCache>
                <c:ptCount val="2"/>
                <c:pt idx="0">
                  <c:v>No</c:v>
                </c:pt>
                <c:pt idx="1">
                  <c:v>Yes</c:v>
                </c:pt>
              </c:strCache>
            </c:strRef>
          </c:cat>
          <c:val>
            <c:numRef>
              <c:f>Sheet10!$B$4:$B$6</c:f>
              <c:numCache>
                <c:formatCode>General</c:formatCode>
                <c:ptCount val="2"/>
                <c:pt idx="0">
                  <c:v>3.5</c:v>
                </c:pt>
                <c:pt idx="1">
                  <c:v>1.6</c:v>
                </c:pt>
              </c:numCache>
            </c:numRef>
          </c:val>
          <c:extLst>
            <c:ext xmlns:c16="http://schemas.microsoft.com/office/drawing/2014/chart" uri="{C3380CC4-5D6E-409C-BE32-E72D297353CC}">
              <c16:uniqueId val="{00000000-5EB5-4EA6-AFCA-7EEBCA96DF28}"/>
            </c:ext>
          </c:extLst>
        </c:ser>
        <c:dLbls>
          <c:showLegendKey val="0"/>
          <c:showVal val="0"/>
          <c:showCatName val="0"/>
          <c:showSerName val="0"/>
          <c:showPercent val="0"/>
          <c:showBubbleSize val="0"/>
        </c:dLbls>
        <c:gapWidth val="219"/>
        <c:overlap val="-27"/>
        <c:axId val="3078703"/>
        <c:axId val="3097903"/>
      </c:barChart>
      <c:catAx>
        <c:axId val="307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7903"/>
        <c:crosses val="autoZero"/>
        <c:auto val="1"/>
        <c:lblAlgn val="ctr"/>
        <c:lblOffset val="100"/>
        <c:noMultiLvlLbl val="0"/>
      </c:catAx>
      <c:valAx>
        <c:axId val="309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git.xlsx]Sheet14!PivotTable10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Sheet14!$B$3</c:f>
              <c:strCache>
                <c:ptCount val="1"/>
                <c:pt idx="0">
                  <c:v>Total</c:v>
                </c:pt>
              </c:strCache>
            </c:strRef>
          </c:tx>
          <c:spPr>
            <a:solidFill>
              <a:schemeClr val="accent1"/>
            </a:solidFill>
            <a:ln>
              <a:noFill/>
            </a:ln>
            <a:effectLst/>
          </c:spPr>
          <c:invertIfNegative val="0"/>
          <c:cat>
            <c:strRef>
              <c:f>Sheet14!$A$4:$A$8</c:f>
              <c:strCache>
                <c:ptCount val="4"/>
                <c:pt idx="0">
                  <c:v>Apollo</c:v>
                </c:pt>
                <c:pt idx="1">
                  <c:v>Hermes</c:v>
                </c:pt>
                <c:pt idx="2">
                  <c:v>Neptune</c:v>
                </c:pt>
                <c:pt idx="3">
                  <c:v>Zephyr</c:v>
                </c:pt>
              </c:strCache>
            </c:strRef>
          </c:cat>
          <c:val>
            <c:numRef>
              <c:f>Sheet14!$B$4:$B$8</c:f>
              <c:numCache>
                <c:formatCode>General</c:formatCode>
                <c:ptCount val="4"/>
                <c:pt idx="0">
                  <c:v>1.1633333333333333</c:v>
                </c:pt>
                <c:pt idx="1">
                  <c:v>1.06</c:v>
                </c:pt>
                <c:pt idx="2">
                  <c:v>1.1566666666666667</c:v>
                </c:pt>
                <c:pt idx="3">
                  <c:v>1.1599999999999999</c:v>
                </c:pt>
              </c:numCache>
            </c:numRef>
          </c:val>
          <c:extLst>
            <c:ext xmlns:c16="http://schemas.microsoft.com/office/drawing/2014/chart" uri="{C3380CC4-5D6E-409C-BE32-E72D297353CC}">
              <c16:uniqueId val="{00000000-61E6-43C5-93E0-6059E4995B3F}"/>
            </c:ext>
          </c:extLst>
        </c:ser>
        <c:dLbls>
          <c:showLegendKey val="0"/>
          <c:showVal val="0"/>
          <c:showCatName val="0"/>
          <c:showSerName val="0"/>
          <c:showPercent val="0"/>
          <c:showBubbleSize val="0"/>
        </c:dLbls>
        <c:gapWidth val="150"/>
        <c:overlap val="100"/>
        <c:axId val="3030703"/>
        <c:axId val="3062383"/>
      </c:barChart>
      <c:catAx>
        <c:axId val="303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383"/>
        <c:crosses val="autoZero"/>
        <c:auto val="1"/>
        <c:lblAlgn val="ctr"/>
        <c:lblOffset val="100"/>
        <c:noMultiLvlLbl val="0"/>
      </c:catAx>
      <c:valAx>
        <c:axId val="306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git.xlsx]Sheet18!PivotTable11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12.l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00-4CB2-85B7-98726F1E69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00-4CB2-85B7-98726F1E69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00-4CB2-85B7-98726F1E69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00-4CB2-85B7-98726F1E69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00-4CB2-85B7-98726F1E6957}"/>
              </c:ext>
            </c:extLst>
          </c:dPt>
          <c:cat>
            <c:strRef>
              <c:f>Sheet18!$A$4:$A$8</c:f>
              <c:strCache>
                <c:ptCount val="4"/>
                <c:pt idx="0">
                  <c:v>Apollo</c:v>
                </c:pt>
                <c:pt idx="1">
                  <c:v>Hermes</c:v>
                </c:pt>
                <c:pt idx="2">
                  <c:v>Neptune</c:v>
                </c:pt>
                <c:pt idx="3">
                  <c:v>Zephyr</c:v>
                </c:pt>
              </c:strCache>
            </c:strRef>
          </c:cat>
          <c:val>
            <c:numRef>
              <c:f>Sheet18!$B$4:$B$8</c:f>
              <c:numCache>
                <c:formatCode>General</c:formatCode>
                <c:ptCount val="4"/>
                <c:pt idx="0">
                  <c:v>8</c:v>
                </c:pt>
                <c:pt idx="1">
                  <c:v>5</c:v>
                </c:pt>
                <c:pt idx="2">
                  <c:v>7</c:v>
                </c:pt>
                <c:pt idx="3">
                  <c:v>2</c:v>
                </c:pt>
              </c:numCache>
            </c:numRef>
          </c:val>
          <c:extLst>
            <c:ext xmlns:c16="http://schemas.microsoft.com/office/drawing/2014/chart" uri="{C3380CC4-5D6E-409C-BE32-E72D297353CC}">
              <c16:uniqueId val="{00000000-978D-4637-B2FE-5D2519ED5E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git.xlsx]Sheet22!PivotTable14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Sheet22!$B$3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45-4FEC-A074-CB89DCD6A3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45-4FEC-A074-CB89DCD6A3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45-4FEC-A074-CB89DCD6A3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45-4FEC-A074-CB89DCD6A3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45-4FEC-A074-CB89DCD6A36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245-4FEC-A074-CB89DCD6A362}"/>
              </c:ext>
            </c:extLst>
          </c:dPt>
          <c:cat>
            <c:strRef>
              <c:f>Sheet22!$A$4:$A$8</c:f>
              <c:strCache>
                <c:ptCount val="4"/>
                <c:pt idx="0">
                  <c:v>Apollo</c:v>
                </c:pt>
                <c:pt idx="1">
                  <c:v>Hermes</c:v>
                </c:pt>
                <c:pt idx="2">
                  <c:v>Neptune</c:v>
                </c:pt>
                <c:pt idx="3">
                  <c:v>Zephyr</c:v>
                </c:pt>
              </c:strCache>
            </c:strRef>
          </c:cat>
          <c:val>
            <c:numRef>
              <c:f>Sheet22!$B$4:$B$8</c:f>
              <c:numCache>
                <c:formatCode>0.00%</c:formatCode>
                <c:ptCount val="4"/>
                <c:pt idx="0">
                  <c:v>0.36363636363636365</c:v>
                </c:pt>
                <c:pt idx="1">
                  <c:v>0.22727272727272727</c:v>
                </c:pt>
                <c:pt idx="2">
                  <c:v>0.31818181818181818</c:v>
                </c:pt>
                <c:pt idx="3">
                  <c:v>9.0909090909090912E-2</c:v>
                </c:pt>
              </c:numCache>
            </c:numRef>
          </c:val>
          <c:extLst>
            <c:ext xmlns:c16="http://schemas.microsoft.com/office/drawing/2014/chart" uri="{C3380CC4-5D6E-409C-BE32-E72D297353CC}">
              <c16:uniqueId val="{00000000-3AC0-4D0C-AC0C-4D0EB8539C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git.xlsx]Sheet23!PivotTable15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Sheet23!$B$3</c:f>
              <c:strCache>
                <c:ptCount val="1"/>
                <c:pt idx="0">
                  <c:v>Total</c:v>
                </c:pt>
              </c:strCache>
            </c:strRef>
          </c:tx>
          <c:spPr>
            <a:solidFill>
              <a:schemeClr val="accent1"/>
            </a:solidFill>
            <a:ln>
              <a:noFill/>
            </a:ln>
            <a:effectLst/>
          </c:spPr>
          <c:invertIfNegative val="0"/>
          <c:cat>
            <c:strRef>
              <c:f>Sheet23!$A$4:$A$8</c:f>
              <c:strCache>
                <c:ptCount val="4"/>
                <c:pt idx="0">
                  <c:v>Completed</c:v>
                </c:pt>
                <c:pt idx="1">
                  <c:v>In Progress</c:v>
                </c:pt>
                <c:pt idx="2">
                  <c:v>Not Started</c:v>
                </c:pt>
                <c:pt idx="3">
                  <c:v>On Hold</c:v>
                </c:pt>
              </c:strCache>
            </c:strRef>
          </c:cat>
          <c:val>
            <c:numRef>
              <c:f>Sheet23!$B$4:$B$8</c:f>
              <c:numCache>
                <c:formatCode>General</c:formatCode>
                <c:ptCount val="4"/>
                <c:pt idx="0">
                  <c:v>353</c:v>
                </c:pt>
                <c:pt idx="1">
                  <c:v>402</c:v>
                </c:pt>
                <c:pt idx="2">
                  <c:v>382</c:v>
                </c:pt>
                <c:pt idx="3">
                  <c:v>363</c:v>
                </c:pt>
              </c:numCache>
            </c:numRef>
          </c:val>
          <c:extLst>
            <c:ext xmlns:c16="http://schemas.microsoft.com/office/drawing/2014/chart" uri="{C3380CC4-5D6E-409C-BE32-E72D297353CC}">
              <c16:uniqueId val="{00000000-0936-4FCD-A35D-D0716AB83D72}"/>
            </c:ext>
          </c:extLst>
        </c:ser>
        <c:dLbls>
          <c:showLegendKey val="0"/>
          <c:showVal val="0"/>
          <c:showCatName val="0"/>
          <c:showSerName val="0"/>
          <c:showPercent val="0"/>
          <c:showBubbleSize val="0"/>
        </c:dLbls>
        <c:gapWidth val="182"/>
        <c:axId val="1899774351"/>
        <c:axId val="1899771471"/>
      </c:barChart>
      <c:catAx>
        <c:axId val="189977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771471"/>
        <c:crosses val="autoZero"/>
        <c:auto val="1"/>
        <c:lblAlgn val="ctr"/>
        <c:lblOffset val="100"/>
        <c:noMultiLvlLbl val="0"/>
      </c:catAx>
      <c:valAx>
        <c:axId val="1899771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77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git.xlsx]Sheet25!PivotTable16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46-4F26-A88E-AFEE55462D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46-4F26-A88E-AFEE55462D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46-4F26-A88E-AFEE55462D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46-4F26-A88E-AFEE55462D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46-4F26-A88E-AFEE55462D52}"/>
              </c:ext>
            </c:extLst>
          </c:dPt>
          <c:cat>
            <c:strRef>
              <c:f>Sheet25!$A$4:$A$9</c:f>
              <c:strCache>
                <c:ptCount val="5"/>
                <c:pt idx="0">
                  <c:v>1</c:v>
                </c:pt>
                <c:pt idx="1">
                  <c:v>2</c:v>
                </c:pt>
                <c:pt idx="2">
                  <c:v>3</c:v>
                </c:pt>
                <c:pt idx="3">
                  <c:v>4</c:v>
                </c:pt>
                <c:pt idx="4">
                  <c:v>5</c:v>
                </c:pt>
              </c:strCache>
            </c:strRef>
          </c:cat>
          <c:val>
            <c:numRef>
              <c:f>Sheet25!$B$4:$B$9</c:f>
              <c:numCache>
                <c:formatCode>0.00%</c:formatCode>
                <c:ptCount val="5"/>
                <c:pt idx="0">
                  <c:v>6.1237928007023705E-2</c:v>
                </c:pt>
                <c:pt idx="1">
                  <c:v>0.1356453028972783</c:v>
                </c:pt>
                <c:pt idx="2">
                  <c:v>0.20741878841088673</c:v>
                </c:pt>
                <c:pt idx="3">
                  <c:v>0.23792800702370501</c:v>
                </c:pt>
                <c:pt idx="4">
                  <c:v>0.35776997366110624</c:v>
                </c:pt>
              </c:numCache>
            </c:numRef>
          </c:val>
          <c:extLst>
            <c:ext xmlns:c16="http://schemas.microsoft.com/office/drawing/2014/chart" uri="{C3380CC4-5D6E-409C-BE32-E72D297353CC}">
              <c16:uniqueId val="{00000000-1346-41BD-A7C1-B9F227996E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project git.xlsx]Sheet26!PivotTable17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Sheet26!$B$3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E8-40E0-B658-F2DD21ED2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E8-40E0-B658-F2DD21ED22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E8-40E0-B658-F2DD21ED22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E8-40E0-B658-F2DD21ED228A}"/>
              </c:ext>
            </c:extLst>
          </c:dPt>
          <c:cat>
            <c:strRef>
              <c:f>Sheet26!$A$4:$A$8</c:f>
              <c:strCache>
                <c:ptCount val="4"/>
                <c:pt idx="0">
                  <c:v>Completed</c:v>
                </c:pt>
                <c:pt idx="1">
                  <c:v>In Progress</c:v>
                </c:pt>
                <c:pt idx="2">
                  <c:v>Not Started</c:v>
                </c:pt>
                <c:pt idx="3">
                  <c:v>On Hold</c:v>
                </c:pt>
              </c:strCache>
            </c:strRef>
          </c:cat>
          <c:val>
            <c:numRef>
              <c:f>Sheet26!$B$4:$B$8</c:f>
              <c:numCache>
                <c:formatCode>0.00%</c:formatCode>
                <c:ptCount val="4"/>
                <c:pt idx="0">
                  <c:v>0.1111111111111111</c:v>
                </c:pt>
                <c:pt idx="1">
                  <c:v>0.33333333333333331</c:v>
                </c:pt>
                <c:pt idx="2">
                  <c:v>0.22222222222222221</c:v>
                </c:pt>
                <c:pt idx="3">
                  <c:v>0.33333333333333331</c:v>
                </c:pt>
              </c:numCache>
            </c:numRef>
          </c:val>
          <c:extLst>
            <c:ext xmlns:c16="http://schemas.microsoft.com/office/drawing/2014/chart" uri="{C3380CC4-5D6E-409C-BE32-E72D297353CC}">
              <c16:uniqueId val="{00000000-EA5F-4E88-B181-01781A4D2D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3</xdr:col>
      <xdr:colOff>0</xdr:colOff>
      <xdr:row>19</xdr:row>
      <xdr:rowOff>89535</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59E7BAEF-A59A-4970-96F4-C61F9CD31A3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1075765"/>
              <a:ext cx="1815353" cy="2420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79810</xdr:rowOff>
    </xdr:from>
    <xdr:to>
      <xdr:col>7</xdr:col>
      <xdr:colOff>304800</xdr:colOff>
      <xdr:row>34</xdr:row>
      <xdr:rowOff>79810</xdr:rowOff>
    </xdr:to>
    <xdr:graphicFrame macro="">
      <xdr:nvGraphicFramePr>
        <xdr:cNvPr id="3" name="Chart 2">
          <a:extLst>
            <a:ext uri="{FF2B5EF4-FFF2-40B4-BE49-F238E27FC236}">
              <a16:creationId xmlns:a16="http://schemas.microsoft.com/office/drawing/2014/main" id="{01C6AABA-73C1-4B90-B30C-EA6C9C1DB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45720</xdr:colOff>
      <xdr:row>6</xdr:row>
      <xdr:rowOff>22860</xdr:rowOff>
    </xdr:from>
    <xdr:to>
      <xdr:col>6</xdr:col>
      <xdr:colOff>45720</xdr:colOff>
      <xdr:row>19</xdr:row>
      <xdr:rowOff>112395</xdr:rowOff>
    </xdr:to>
    <mc:AlternateContent xmlns:mc="http://schemas.openxmlformats.org/markup-compatibility/2006" xmlns:a14="http://schemas.microsoft.com/office/drawing/2010/main">
      <mc:Choice Requires="a14">
        <xdr:graphicFrame macro="">
          <xdr:nvGraphicFramePr>
            <xdr:cNvPr id="4" name="Performance_Rating 1">
              <a:extLst>
                <a:ext uri="{FF2B5EF4-FFF2-40B4-BE49-F238E27FC236}">
                  <a16:creationId xmlns:a16="http://schemas.microsoft.com/office/drawing/2014/main" id="{7147AB6B-5A0F-47A8-8EF8-0453A5AE947F}"/>
                </a:ext>
              </a:extLst>
            </xdr:cNvPr>
            <xdr:cNvGraphicFramePr/>
          </xdr:nvGraphicFramePr>
          <xdr:xfrm>
            <a:off x="0" y="0"/>
            <a:ext cx="0" cy="0"/>
          </xdr:xfrm>
          <a:graphic>
            <a:graphicData uri="http://schemas.microsoft.com/office/drawing/2010/slicer">
              <sle:slicer xmlns:sle="http://schemas.microsoft.com/office/drawing/2010/slicer" name="Performance_Rating 1"/>
            </a:graphicData>
          </a:graphic>
        </xdr:graphicFrame>
      </mc:Choice>
      <mc:Fallback xmlns="">
        <xdr:sp macro="" textlink="">
          <xdr:nvSpPr>
            <xdr:cNvPr id="0" name=""/>
            <xdr:cNvSpPr>
              <a:spLocks noTextEdit="1"/>
            </xdr:cNvSpPr>
          </xdr:nvSpPr>
          <xdr:spPr>
            <a:xfrm>
              <a:off x="1861073" y="1098625"/>
              <a:ext cx="1815353" cy="2420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335280</xdr:colOff>
      <xdr:row>20</xdr:row>
      <xdr:rowOff>7620</xdr:rowOff>
    </xdr:from>
    <xdr:to>
      <xdr:col>15</xdr:col>
      <xdr:colOff>30480</xdr:colOff>
      <xdr:row>35</xdr:row>
      <xdr:rowOff>7620</xdr:rowOff>
    </xdr:to>
    <xdr:graphicFrame macro="">
      <xdr:nvGraphicFramePr>
        <xdr:cNvPr id="5" name="Chart 4">
          <a:extLst>
            <a:ext uri="{FF2B5EF4-FFF2-40B4-BE49-F238E27FC236}">
              <a16:creationId xmlns:a16="http://schemas.microsoft.com/office/drawing/2014/main" id="{F51812D0-2E7E-4B9E-9ADC-711121FC1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99060</xdr:colOff>
      <xdr:row>6</xdr:row>
      <xdr:rowOff>7620</xdr:rowOff>
    </xdr:from>
    <xdr:to>
      <xdr:col>9</xdr:col>
      <xdr:colOff>99060</xdr:colOff>
      <xdr:row>19</xdr:row>
      <xdr:rowOff>97155</xdr:rowOff>
    </xdr:to>
    <mc:AlternateContent xmlns:mc="http://schemas.openxmlformats.org/markup-compatibility/2006" xmlns:a14="http://schemas.microsoft.com/office/drawing/2010/main">
      <mc:Choice Requires="a14">
        <xdr:graphicFrame macro="">
          <xdr:nvGraphicFramePr>
            <xdr:cNvPr id="6" name="Hours_Spent 1">
              <a:extLst>
                <a:ext uri="{FF2B5EF4-FFF2-40B4-BE49-F238E27FC236}">
                  <a16:creationId xmlns:a16="http://schemas.microsoft.com/office/drawing/2014/main" id="{8CC2B234-F5A5-49A1-BA7F-C63C4C4F9E09}"/>
                </a:ext>
              </a:extLst>
            </xdr:cNvPr>
            <xdr:cNvGraphicFramePr/>
          </xdr:nvGraphicFramePr>
          <xdr:xfrm>
            <a:off x="0" y="0"/>
            <a:ext cx="0" cy="0"/>
          </xdr:xfrm>
          <a:graphic>
            <a:graphicData uri="http://schemas.microsoft.com/office/drawing/2010/slicer">
              <sle:slicer xmlns:sle="http://schemas.microsoft.com/office/drawing/2010/slicer" name="Hours_Spent 1"/>
            </a:graphicData>
          </a:graphic>
        </xdr:graphicFrame>
      </mc:Choice>
      <mc:Fallback xmlns="">
        <xdr:sp macro="" textlink="">
          <xdr:nvSpPr>
            <xdr:cNvPr id="0" name=""/>
            <xdr:cNvSpPr>
              <a:spLocks noTextEdit="1"/>
            </xdr:cNvSpPr>
          </xdr:nvSpPr>
          <xdr:spPr>
            <a:xfrm>
              <a:off x="3729766" y="1083385"/>
              <a:ext cx="1815353" cy="2420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99060</xdr:colOff>
      <xdr:row>20</xdr:row>
      <xdr:rowOff>7620</xdr:rowOff>
    </xdr:from>
    <xdr:to>
      <xdr:col>22</xdr:col>
      <xdr:colOff>403860</xdr:colOff>
      <xdr:row>35</xdr:row>
      <xdr:rowOff>7620</xdr:rowOff>
    </xdr:to>
    <xdr:graphicFrame macro="">
      <xdr:nvGraphicFramePr>
        <xdr:cNvPr id="7" name="Chart 6">
          <a:extLst>
            <a:ext uri="{FF2B5EF4-FFF2-40B4-BE49-F238E27FC236}">
              <a16:creationId xmlns:a16="http://schemas.microsoft.com/office/drawing/2014/main" id="{1D52E0FE-0C38-4D14-912A-30B484164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167640</xdr:colOff>
      <xdr:row>5</xdr:row>
      <xdr:rowOff>175260</xdr:rowOff>
    </xdr:from>
    <xdr:to>
      <xdr:col>12</xdr:col>
      <xdr:colOff>167640</xdr:colOff>
      <xdr:row>19</xdr:row>
      <xdr:rowOff>81915</xdr:rowOff>
    </xdr:to>
    <mc:AlternateContent xmlns:mc="http://schemas.openxmlformats.org/markup-compatibility/2006" xmlns:a14="http://schemas.microsoft.com/office/drawing/2010/main">
      <mc:Choice Requires="a14">
        <xdr:graphicFrame macro="">
          <xdr:nvGraphicFramePr>
            <xdr:cNvPr id="8" name="Task_Status 1">
              <a:extLst>
                <a:ext uri="{FF2B5EF4-FFF2-40B4-BE49-F238E27FC236}">
                  <a16:creationId xmlns:a16="http://schemas.microsoft.com/office/drawing/2014/main" id="{5F1D35CE-8F41-4ABD-B91F-BB6BC861240B}"/>
                </a:ext>
              </a:extLst>
            </xdr:cNvPr>
            <xdr:cNvGraphicFramePr/>
          </xdr:nvGraphicFramePr>
          <xdr:xfrm>
            <a:off x="0" y="0"/>
            <a:ext cx="0" cy="0"/>
          </xdr:xfrm>
          <a:graphic>
            <a:graphicData uri="http://schemas.microsoft.com/office/drawing/2010/slicer">
              <sle:slicer xmlns:sle="http://schemas.microsoft.com/office/drawing/2010/slicer" name="Task_Status 1"/>
            </a:graphicData>
          </a:graphic>
        </xdr:graphicFrame>
      </mc:Choice>
      <mc:Fallback xmlns="">
        <xdr:sp macro="" textlink="">
          <xdr:nvSpPr>
            <xdr:cNvPr id="0" name=""/>
            <xdr:cNvSpPr>
              <a:spLocks noTextEdit="1"/>
            </xdr:cNvSpPr>
          </xdr:nvSpPr>
          <xdr:spPr>
            <a:xfrm>
              <a:off x="5613699" y="1071731"/>
              <a:ext cx="1815353" cy="2416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35</xdr:row>
      <xdr:rowOff>30480</xdr:rowOff>
    </xdr:from>
    <xdr:to>
      <xdr:col>7</xdr:col>
      <xdr:colOff>312420</xdr:colOff>
      <xdr:row>50</xdr:row>
      <xdr:rowOff>30480</xdr:rowOff>
    </xdr:to>
    <xdr:graphicFrame macro="">
      <xdr:nvGraphicFramePr>
        <xdr:cNvPr id="9" name="Chart 8">
          <a:extLst>
            <a:ext uri="{FF2B5EF4-FFF2-40B4-BE49-F238E27FC236}">
              <a16:creationId xmlns:a16="http://schemas.microsoft.com/office/drawing/2014/main" id="{1C9C8438-6425-4120-A9DF-9611E7385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403860</xdr:colOff>
      <xdr:row>35</xdr:row>
      <xdr:rowOff>99060</xdr:rowOff>
    </xdr:from>
    <xdr:to>
      <xdr:col>15</xdr:col>
      <xdr:colOff>99060</xdr:colOff>
      <xdr:row>50</xdr:row>
      <xdr:rowOff>99060</xdr:rowOff>
    </xdr:to>
    <xdr:graphicFrame macro="">
      <xdr:nvGraphicFramePr>
        <xdr:cNvPr id="10" name="Chart 9">
          <a:extLst>
            <a:ext uri="{FF2B5EF4-FFF2-40B4-BE49-F238E27FC236}">
              <a16:creationId xmlns:a16="http://schemas.microsoft.com/office/drawing/2014/main" id="{1D364CC2-7CEE-4334-9824-FA42059E6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190500</xdr:colOff>
      <xdr:row>5</xdr:row>
      <xdr:rowOff>167640</xdr:rowOff>
    </xdr:from>
    <xdr:to>
      <xdr:col>15</xdr:col>
      <xdr:colOff>190500</xdr:colOff>
      <xdr:row>19</xdr:row>
      <xdr:rowOff>74295</xdr:rowOff>
    </xdr:to>
    <mc:AlternateContent xmlns:mc="http://schemas.openxmlformats.org/markup-compatibility/2006" xmlns:a14="http://schemas.microsoft.com/office/drawing/2010/main">
      <mc:Choice Requires="a14">
        <xdr:graphicFrame macro="">
          <xdr:nvGraphicFramePr>
            <xdr:cNvPr id="11" name="Employee_ID 1">
              <a:extLst>
                <a:ext uri="{FF2B5EF4-FFF2-40B4-BE49-F238E27FC236}">
                  <a16:creationId xmlns:a16="http://schemas.microsoft.com/office/drawing/2014/main" id="{AC80F5E0-7262-406C-8426-AF21CA897460}"/>
                </a:ext>
              </a:extLst>
            </xdr:cNvPr>
            <xdr:cNvGraphicFramePr/>
          </xdr:nvGraphicFramePr>
          <xdr:xfrm>
            <a:off x="0" y="0"/>
            <a:ext cx="0" cy="0"/>
          </xdr:xfrm>
          <a:graphic>
            <a:graphicData uri="http://schemas.microsoft.com/office/drawing/2010/slicer">
              <sle:slicer xmlns:sle="http://schemas.microsoft.com/office/drawing/2010/slicer" name="Employee_ID 1"/>
            </a:graphicData>
          </a:graphic>
        </xdr:graphicFrame>
      </mc:Choice>
      <mc:Fallback xmlns="">
        <xdr:sp macro="" textlink="">
          <xdr:nvSpPr>
            <xdr:cNvPr id="0" name=""/>
            <xdr:cNvSpPr>
              <a:spLocks noTextEdit="1"/>
            </xdr:cNvSpPr>
          </xdr:nvSpPr>
          <xdr:spPr>
            <a:xfrm>
              <a:off x="7451912" y="1064111"/>
              <a:ext cx="1815353" cy="2416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160020</xdr:colOff>
      <xdr:row>35</xdr:row>
      <xdr:rowOff>83820</xdr:rowOff>
    </xdr:from>
    <xdr:to>
      <xdr:col>22</xdr:col>
      <xdr:colOff>464820</xdr:colOff>
      <xdr:row>50</xdr:row>
      <xdr:rowOff>83820</xdr:rowOff>
    </xdr:to>
    <xdr:graphicFrame macro="">
      <xdr:nvGraphicFramePr>
        <xdr:cNvPr id="12" name="Chart 11">
          <a:extLst>
            <a:ext uri="{FF2B5EF4-FFF2-40B4-BE49-F238E27FC236}">
              <a16:creationId xmlns:a16="http://schemas.microsoft.com/office/drawing/2014/main" id="{7FAB6F7B-2A3C-4CFF-8DEE-38834B7C4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228600</xdr:colOff>
      <xdr:row>5</xdr:row>
      <xdr:rowOff>144780</xdr:rowOff>
    </xdr:from>
    <xdr:to>
      <xdr:col>18</xdr:col>
      <xdr:colOff>228600</xdr:colOff>
      <xdr:row>19</xdr:row>
      <xdr:rowOff>51435</xdr:rowOff>
    </xdr:to>
    <mc:AlternateContent xmlns:mc="http://schemas.openxmlformats.org/markup-compatibility/2006" xmlns:a14="http://schemas.microsoft.com/office/drawing/2010/main">
      <mc:Choice Requires="a14">
        <xdr:graphicFrame macro="">
          <xdr:nvGraphicFramePr>
            <xdr:cNvPr id="13" name="Remote_Work 1">
              <a:extLst>
                <a:ext uri="{FF2B5EF4-FFF2-40B4-BE49-F238E27FC236}">
                  <a16:creationId xmlns:a16="http://schemas.microsoft.com/office/drawing/2014/main" id="{87510CAA-930B-419B-9661-547D174E2FB4}"/>
                </a:ext>
              </a:extLst>
            </xdr:cNvPr>
            <xdr:cNvGraphicFramePr/>
          </xdr:nvGraphicFramePr>
          <xdr:xfrm>
            <a:off x="0" y="0"/>
            <a:ext cx="0" cy="0"/>
          </xdr:xfrm>
          <a:graphic>
            <a:graphicData uri="http://schemas.microsoft.com/office/drawing/2010/slicer">
              <sle:slicer xmlns:sle="http://schemas.microsoft.com/office/drawing/2010/slicer" name="Remote_Work 1"/>
            </a:graphicData>
          </a:graphic>
        </xdr:graphicFrame>
      </mc:Choice>
      <mc:Fallback xmlns="">
        <xdr:sp macro="" textlink="">
          <xdr:nvSpPr>
            <xdr:cNvPr id="0" name=""/>
            <xdr:cNvSpPr>
              <a:spLocks noTextEdit="1"/>
            </xdr:cNvSpPr>
          </xdr:nvSpPr>
          <xdr:spPr>
            <a:xfrm>
              <a:off x="9305365" y="1041251"/>
              <a:ext cx="1815353" cy="2416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50</xdr:row>
      <xdr:rowOff>99060</xdr:rowOff>
    </xdr:from>
    <xdr:to>
      <xdr:col>7</xdr:col>
      <xdr:colOff>304800</xdr:colOff>
      <xdr:row>65</xdr:row>
      <xdr:rowOff>99060</xdr:rowOff>
    </xdr:to>
    <xdr:graphicFrame macro="">
      <xdr:nvGraphicFramePr>
        <xdr:cNvPr id="14" name="Chart 13">
          <a:extLst>
            <a:ext uri="{FF2B5EF4-FFF2-40B4-BE49-F238E27FC236}">
              <a16:creationId xmlns:a16="http://schemas.microsoft.com/office/drawing/2014/main" id="{BEC46A70-EE14-4A61-94C6-E006E2747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426720</xdr:colOff>
      <xdr:row>51</xdr:row>
      <xdr:rowOff>15240</xdr:rowOff>
    </xdr:from>
    <xdr:to>
      <xdr:col>15</xdr:col>
      <xdr:colOff>121920</xdr:colOff>
      <xdr:row>66</xdr:row>
      <xdr:rowOff>15240</xdr:rowOff>
    </xdr:to>
    <xdr:graphicFrame macro="">
      <xdr:nvGraphicFramePr>
        <xdr:cNvPr id="15" name="Chart 14">
          <a:extLst>
            <a:ext uri="{FF2B5EF4-FFF2-40B4-BE49-F238E27FC236}">
              <a16:creationId xmlns:a16="http://schemas.microsoft.com/office/drawing/2014/main" id="{27AEC20C-37EC-475A-A687-FAD6C7B83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167640</xdr:colOff>
      <xdr:row>51</xdr:row>
      <xdr:rowOff>0</xdr:rowOff>
    </xdr:from>
    <xdr:to>
      <xdr:col>22</xdr:col>
      <xdr:colOff>472440</xdr:colOff>
      <xdr:row>66</xdr:row>
      <xdr:rowOff>0</xdr:rowOff>
    </xdr:to>
    <xdr:graphicFrame macro="">
      <xdr:nvGraphicFramePr>
        <xdr:cNvPr id="16" name="Chart 15">
          <a:extLst>
            <a:ext uri="{FF2B5EF4-FFF2-40B4-BE49-F238E27FC236}">
              <a16:creationId xmlns:a16="http://schemas.microsoft.com/office/drawing/2014/main" id="{DF1020E3-99D6-4B5B-8EAF-8AE7CB050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38100</xdr:colOff>
      <xdr:row>66</xdr:row>
      <xdr:rowOff>45720</xdr:rowOff>
    </xdr:from>
    <xdr:to>
      <xdr:col>7</xdr:col>
      <xdr:colOff>342900</xdr:colOff>
      <xdr:row>81</xdr:row>
      <xdr:rowOff>45720</xdr:rowOff>
    </xdr:to>
    <xdr:graphicFrame macro="">
      <xdr:nvGraphicFramePr>
        <xdr:cNvPr id="17" name="Chart 16">
          <a:extLst>
            <a:ext uri="{FF2B5EF4-FFF2-40B4-BE49-F238E27FC236}">
              <a16:creationId xmlns:a16="http://schemas.microsoft.com/office/drawing/2014/main" id="{6CC94179-C3EE-4666-99BE-178BFA287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411480</xdr:colOff>
      <xdr:row>66</xdr:row>
      <xdr:rowOff>45720</xdr:rowOff>
    </xdr:from>
    <xdr:to>
      <xdr:col>15</xdr:col>
      <xdr:colOff>106680</xdr:colOff>
      <xdr:row>81</xdr:row>
      <xdr:rowOff>45720</xdr:rowOff>
    </xdr:to>
    <xdr:graphicFrame macro="">
      <xdr:nvGraphicFramePr>
        <xdr:cNvPr id="18" name="Chart 17">
          <a:extLst>
            <a:ext uri="{FF2B5EF4-FFF2-40B4-BE49-F238E27FC236}">
              <a16:creationId xmlns:a16="http://schemas.microsoft.com/office/drawing/2014/main" id="{1A2932FE-EC9E-4B49-AC76-8E29F061E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175260</xdr:colOff>
      <xdr:row>66</xdr:row>
      <xdr:rowOff>99060</xdr:rowOff>
    </xdr:from>
    <xdr:to>
      <xdr:col>22</xdr:col>
      <xdr:colOff>480060</xdr:colOff>
      <xdr:row>81</xdr:row>
      <xdr:rowOff>99060</xdr:rowOff>
    </xdr:to>
    <xdr:graphicFrame macro="">
      <xdr:nvGraphicFramePr>
        <xdr:cNvPr id="20" name="Chart 19">
          <a:extLst>
            <a:ext uri="{FF2B5EF4-FFF2-40B4-BE49-F238E27FC236}">
              <a16:creationId xmlns:a16="http://schemas.microsoft.com/office/drawing/2014/main" id="{D1FD5779-0126-4511-8DCA-A80F57A3F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99060</xdr:colOff>
      <xdr:row>81</xdr:row>
      <xdr:rowOff>114300</xdr:rowOff>
    </xdr:from>
    <xdr:to>
      <xdr:col>7</xdr:col>
      <xdr:colOff>403860</xdr:colOff>
      <xdr:row>96</xdr:row>
      <xdr:rowOff>114300</xdr:rowOff>
    </xdr:to>
    <xdr:graphicFrame macro="">
      <xdr:nvGraphicFramePr>
        <xdr:cNvPr id="21" name="Chart 20">
          <a:extLst>
            <a:ext uri="{FF2B5EF4-FFF2-40B4-BE49-F238E27FC236}">
              <a16:creationId xmlns:a16="http://schemas.microsoft.com/office/drawing/2014/main" id="{863C9FD7-8EF5-4155-9697-022F75592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464820</xdr:colOff>
      <xdr:row>81</xdr:row>
      <xdr:rowOff>152400</xdr:rowOff>
    </xdr:from>
    <xdr:to>
      <xdr:col>15</xdr:col>
      <xdr:colOff>160020</xdr:colOff>
      <xdr:row>96</xdr:row>
      <xdr:rowOff>152400</xdr:rowOff>
    </xdr:to>
    <xdr:graphicFrame macro="">
      <xdr:nvGraphicFramePr>
        <xdr:cNvPr id="22" name="Chart 21">
          <a:extLst>
            <a:ext uri="{FF2B5EF4-FFF2-40B4-BE49-F238E27FC236}">
              <a16:creationId xmlns:a16="http://schemas.microsoft.com/office/drawing/2014/main" id="{BBD46B1C-87C2-4A18-B66B-69A45CD7F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342900</xdr:colOff>
      <xdr:row>6</xdr:row>
      <xdr:rowOff>99060</xdr:rowOff>
    </xdr:from>
    <xdr:to>
      <xdr:col>8</xdr:col>
      <xdr:colOff>342900</xdr:colOff>
      <xdr:row>20</xdr:row>
      <xdr:rowOff>5715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BF0AE43B-BA4A-2711-7929-06C17A39074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632960" y="1196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83820</xdr:colOff>
      <xdr:row>7</xdr:row>
      <xdr:rowOff>163830</xdr:rowOff>
    </xdr:from>
    <xdr:to>
      <xdr:col>15</xdr:col>
      <xdr:colOff>388620</xdr:colOff>
      <xdr:row>22</xdr:row>
      <xdr:rowOff>163830</xdr:rowOff>
    </xdr:to>
    <xdr:graphicFrame macro="">
      <xdr:nvGraphicFramePr>
        <xdr:cNvPr id="3" name="Chart 2">
          <a:extLst>
            <a:ext uri="{FF2B5EF4-FFF2-40B4-BE49-F238E27FC236}">
              <a16:creationId xmlns:a16="http://schemas.microsoft.com/office/drawing/2014/main" id="{2F5B71E8-EFF2-13BC-2066-0D0092601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1859280</xdr:colOff>
      <xdr:row>5</xdr:row>
      <xdr:rowOff>133350</xdr:rowOff>
    </xdr:from>
    <xdr:to>
      <xdr:col>9</xdr:col>
      <xdr:colOff>228600</xdr:colOff>
      <xdr:row>20</xdr:row>
      <xdr:rowOff>133350</xdr:rowOff>
    </xdr:to>
    <xdr:graphicFrame macro="">
      <xdr:nvGraphicFramePr>
        <xdr:cNvPr id="2" name="Chart 1">
          <a:extLst>
            <a:ext uri="{FF2B5EF4-FFF2-40B4-BE49-F238E27FC236}">
              <a16:creationId xmlns:a16="http://schemas.microsoft.com/office/drawing/2014/main" id="{387B73B7-BB4F-98D0-59FC-D1A12244C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350520</xdr:colOff>
      <xdr:row>5</xdr:row>
      <xdr:rowOff>144780</xdr:rowOff>
    </xdr:from>
    <xdr:to>
      <xdr:col>12</xdr:col>
      <xdr:colOff>350520</xdr:colOff>
      <xdr:row>19</xdr:row>
      <xdr:rowOff>51435</xdr:rowOff>
    </xdr:to>
    <mc:AlternateContent xmlns:mc="http://schemas.openxmlformats.org/markup-compatibility/2006">
      <mc:Choice xmlns:a14="http://schemas.microsoft.com/office/drawing/2010/main" Requires="a14">
        <xdr:graphicFrame macro="">
          <xdr:nvGraphicFramePr>
            <xdr:cNvPr id="3" name="Performance_Rating">
              <a:extLst>
                <a:ext uri="{FF2B5EF4-FFF2-40B4-BE49-F238E27FC236}">
                  <a16:creationId xmlns:a16="http://schemas.microsoft.com/office/drawing/2014/main" id="{68BD927C-F0BB-103E-17D0-C7056DA99AB9}"/>
                </a:ext>
              </a:extLst>
            </xdr:cNvPr>
            <xdr:cNvGraphicFramePr/>
          </xdr:nvGraphicFramePr>
          <xdr:xfrm>
            <a:off x="0" y="0"/>
            <a:ext cx="0" cy="0"/>
          </xdr:xfrm>
          <a:graphic>
            <a:graphicData uri="http://schemas.microsoft.com/office/drawing/2010/slicer">
              <sle:slicer xmlns:sle="http://schemas.microsoft.com/office/drawing/2010/slicer" name="Performance_Rating"/>
            </a:graphicData>
          </a:graphic>
        </xdr:graphicFrame>
      </mc:Choice>
      <mc:Fallback>
        <xdr:sp macro="" textlink="">
          <xdr:nvSpPr>
            <xdr:cNvPr id="0" name=""/>
            <xdr:cNvSpPr>
              <a:spLocks noTextEdit="1"/>
            </xdr:cNvSpPr>
          </xdr:nvSpPr>
          <xdr:spPr>
            <a:xfrm>
              <a:off x="7635240" y="1059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373380</xdr:colOff>
      <xdr:row>5</xdr:row>
      <xdr:rowOff>133350</xdr:rowOff>
    </xdr:from>
    <xdr:to>
      <xdr:col>10</xdr:col>
      <xdr:colOff>68580</xdr:colOff>
      <xdr:row>20</xdr:row>
      <xdr:rowOff>133350</xdr:rowOff>
    </xdr:to>
    <xdr:graphicFrame macro="">
      <xdr:nvGraphicFramePr>
        <xdr:cNvPr id="2" name="Chart 1">
          <a:extLst>
            <a:ext uri="{FF2B5EF4-FFF2-40B4-BE49-F238E27FC236}">
              <a16:creationId xmlns:a16="http://schemas.microsoft.com/office/drawing/2014/main" id="{D56C5637-5168-E993-2B1A-F9370A466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525780</xdr:colOff>
      <xdr:row>7</xdr:row>
      <xdr:rowOff>60960</xdr:rowOff>
    </xdr:from>
    <xdr:to>
      <xdr:col>13</xdr:col>
      <xdr:colOff>525780</xdr:colOff>
      <xdr:row>20</xdr:row>
      <xdr:rowOff>150495</xdr:rowOff>
    </xdr:to>
    <mc:AlternateContent xmlns:mc="http://schemas.openxmlformats.org/markup-compatibility/2006" xmlns:a14="http://schemas.microsoft.com/office/drawing/2010/main">
      <mc:Choice Requires="a14">
        <xdr:graphicFrame macro="">
          <xdr:nvGraphicFramePr>
            <xdr:cNvPr id="3" name="Hours_Spent">
              <a:extLst>
                <a:ext uri="{FF2B5EF4-FFF2-40B4-BE49-F238E27FC236}">
                  <a16:creationId xmlns:a16="http://schemas.microsoft.com/office/drawing/2014/main" id="{8C40E5A5-C8CE-5CC4-F0E4-EA1F650CE0BE}"/>
                </a:ext>
              </a:extLst>
            </xdr:cNvPr>
            <xdr:cNvGraphicFramePr/>
          </xdr:nvGraphicFramePr>
          <xdr:xfrm>
            <a:off x="0" y="0"/>
            <a:ext cx="0" cy="0"/>
          </xdr:xfrm>
          <a:graphic>
            <a:graphicData uri="http://schemas.microsoft.com/office/drawing/2010/slicer">
              <sle:slicer xmlns:sle="http://schemas.microsoft.com/office/drawing/2010/slicer" name="Hours_Spent"/>
            </a:graphicData>
          </a:graphic>
        </xdr:graphicFrame>
      </mc:Choice>
      <mc:Fallback xmlns="">
        <xdr:sp macro="" textlink="">
          <xdr:nvSpPr>
            <xdr:cNvPr id="0" name=""/>
            <xdr:cNvSpPr>
              <a:spLocks noTextEdit="1"/>
            </xdr:cNvSpPr>
          </xdr:nvSpPr>
          <xdr:spPr>
            <a:xfrm>
              <a:off x="7970520" y="1341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6</xdr:row>
      <xdr:rowOff>91440</xdr:rowOff>
    </xdr:from>
    <xdr:to>
      <xdr:col>12</xdr:col>
      <xdr:colOff>182880</xdr:colOff>
      <xdr:row>19</xdr:row>
      <xdr:rowOff>180975</xdr:rowOff>
    </xdr:to>
    <mc:AlternateContent xmlns:mc="http://schemas.openxmlformats.org/markup-compatibility/2006" xmlns:a14="http://schemas.microsoft.com/office/drawing/2010/main">
      <mc:Choice Requires="a14">
        <xdr:graphicFrame macro="">
          <xdr:nvGraphicFramePr>
            <xdr:cNvPr id="2" name="Task_Status">
              <a:extLst>
                <a:ext uri="{FF2B5EF4-FFF2-40B4-BE49-F238E27FC236}">
                  <a16:creationId xmlns:a16="http://schemas.microsoft.com/office/drawing/2014/main" id="{4176CE9C-FED3-468B-9EE6-556E340C2B20}"/>
                </a:ext>
              </a:extLst>
            </xdr:cNvPr>
            <xdr:cNvGraphicFramePr/>
          </xdr:nvGraphicFramePr>
          <xdr:xfrm>
            <a:off x="0" y="0"/>
            <a:ext cx="0" cy="0"/>
          </xdr:xfrm>
          <a:graphic>
            <a:graphicData uri="http://schemas.microsoft.com/office/drawing/2010/slicer">
              <sle:slicer xmlns:sle="http://schemas.microsoft.com/office/drawing/2010/slicer" name="Task_Status"/>
            </a:graphicData>
          </a:graphic>
        </xdr:graphicFrame>
      </mc:Choice>
      <mc:Fallback xmlns="">
        <xdr:sp macro="" textlink="">
          <xdr:nvSpPr>
            <xdr:cNvPr id="0" name=""/>
            <xdr:cNvSpPr>
              <a:spLocks noTextEdit="1"/>
            </xdr:cNvSpPr>
          </xdr:nvSpPr>
          <xdr:spPr>
            <a:xfrm>
              <a:off x="4632960" y="1188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259080</xdr:colOff>
      <xdr:row>4</xdr:row>
      <xdr:rowOff>110490</xdr:rowOff>
    </xdr:from>
    <xdr:to>
      <xdr:col>23</xdr:col>
      <xdr:colOff>304800</xdr:colOff>
      <xdr:row>19</xdr:row>
      <xdr:rowOff>110490</xdr:rowOff>
    </xdr:to>
    <xdr:graphicFrame macro="">
      <xdr:nvGraphicFramePr>
        <xdr:cNvPr id="3" name="Chart 2">
          <a:extLst>
            <a:ext uri="{FF2B5EF4-FFF2-40B4-BE49-F238E27FC236}">
              <a16:creationId xmlns:a16="http://schemas.microsoft.com/office/drawing/2014/main" id="{6EBC8962-E256-F560-BDDE-D5BDE087B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358140</xdr:colOff>
      <xdr:row>5</xdr:row>
      <xdr:rowOff>133350</xdr:rowOff>
    </xdr:from>
    <xdr:to>
      <xdr:col>11</xdr:col>
      <xdr:colOff>53340</xdr:colOff>
      <xdr:row>20</xdr:row>
      <xdr:rowOff>133350</xdr:rowOff>
    </xdr:to>
    <xdr:graphicFrame macro="">
      <xdr:nvGraphicFramePr>
        <xdr:cNvPr id="2" name="Chart 1">
          <a:extLst>
            <a:ext uri="{FF2B5EF4-FFF2-40B4-BE49-F238E27FC236}">
              <a16:creationId xmlns:a16="http://schemas.microsoft.com/office/drawing/2014/main" id="{0D40D026-D792-713A-A61E-6051A8BA8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480060</xdr:colOff>
      <xdr:row>6</xdr:row>
      <xdr:rowOff>91440</xdr:rowOff>
    </xdr:from>
    <xdr:to>
      <xdr:col>7</xdr:col>
      <xdr:colOff>480060</xdr:colOff>
      <xdr:row>19</xdr:row>
      <xdr:rowOff>180975</xdr:rowOff>
    </xdr:to>
    <mc:AlternateContent xmlns:mc="http://schemas.openxmlformats.org/markup-compatibility/2006" xmlns:a14="http://schemas.microsoft.com/office/drawing/2010/main">
      <mc:Choice Requires="a14">
        <xdr:graphicFrame macro="">
          <xdr:nvGraphicFramePr>
            <xdr:cNvPr id="2" name="Employee_ID">
              <a:extLst>
                <a:ext uri="{FF2B5EF4-FFF2-40B4-BE49-F238E27FC236}">
                  <a16:creationId xmlns:a16="http://schemas.microsoft.com/office/drawing/2014/main" id="{239BB4F5-85EE-2C54-B220-7A9BF167CE3A}"/>
                </a:ext>
              </a:extLst>
            </xdr:cNvPr>
            <xdr:cNvGraphicFramePr/>
          </xdr:nvGraphicFramePr>
          <xdr:xfrm>
            <a:off x="0" y="0"/>
            <a:ext cx="0" cy="0"/>
          </xdr:xfrm>
          <a:graphic>
            <a:graphicData uri="http://schemas.microsoft.com/office/drawing/2010/slicer">
              <sle:slicer xmlns:sle="http://schemas.microsoft.com/office/drawing/2010/slicer" name="Employee_ID"/>
            </a:graphicData>
          </a:graphic>
        </xdr:graphicFrame>
      </mc:Choice>
      <mc:Fallback xmlns="">
        <xdr:sp macro="" textlink="">
          <xdr:nvSpPr>
            <xdr:cNvPr id="0" name=""/>
            <xdr:cNvSpPr>
              <a:spLocks noTextEdit="1"/>
            </xdr:cNvSpPr>
          </xdr:nvSpPr>
          <xdr:spPr>
            <a:xfrm>
              <a:off x="4632960" y="1188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541020</xdr:colOff>
      <xdr:row>13</xdr:row>
      <xdr:rowOff>64770</xdr:rowOff>
    </xdr:from>
    <xdr:to>
      <xdr:col>12</xdr:col>
      <xdr:colOff>236220</xdr:colOff>
      <xdr:row>28</xdr:row>
      <xdr:rowOff>64770</xdr:rowOff>
    </xdr:to>
    <xdr:graphicFrame macro="">
      <xdr:nvGraphicFramePr>
        <xdr:cNvPr id="3" name="Chart 2">
          <a:extLst>
            <a:ext uri="{FF2B5EF4-FFF2-40B4-BE49-F238E27FC236}">
              <a16:creationId xmlns:a16="http://schemas.microsoft.com/office/drawing/2014/main" id="{4DFD89D0-F0F4-5C87-FF33-7BD6A5970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213360</xdr:colOff>
      <xdr:row>5</xdr:row>
      <xdr:rowOff>133350</xdr:rowOff>
    </xdr:from>
    <xdr:to>
      <xdr:col>10</xdr:col>
      <xdr:colOff>518160</xdr:colOff>
      <xdr:row>20</xdr:row>
      <xdr:rowOff>133350</xdr:rowOff>
    </xdr:to>
    <xdr:graphicFrame macro="">
      <xdr:nvGraphicFramePr>
        <xdr:cNvPr id="2" name="Chart 1">
          <a:extLst>
            <a:ext uri="{FF2B5EF4-FFF2-40B4-BE49-F238E27FC236}">
              <a16:creationId xmlns:a16="http://schemas.microsoft.com/office/drawing/2014/main" id="{F9C1D2D0-3BB4-979F-87B6-1329A7A50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495300</xdr:colOff>
      <xdr:row>6</xdr:row>
      <xdr:rowOff>91440</xdr:rowOff>
    </xdr:from>
    <xdr:to>
      <xdr:col>8</xdr:col>
      <xdr:colOff>495300</xdr:colOff>
      <xdr:row>19</xdr:row>
      <xdr:rowOff>180975</xdr:rowOff>
    </xdr:to>
    <mc:AlternateContent xmlns:mc="http://schemas.openxmlformats.org/markup-compatibility/2006" xmlns:a14="http://schemas.microsoft.com/office/drawing/2010/main">
      <mc:Choice Requires="a14">
        <xdr:graphicFrame macro="">
          <xdr:nvGraphicFramePr>
            <xdr:cNvPr id="3" name="Remote_Work">
              <a:extLst>
                <a:ext uri="{FF2B5EF4-FFF2-40B4-BE49-F238E27FC236}">
                  <a16:creationId xmlns:a16="http://schemas.microsoft.com/office/drawing/2014/main" id="{B6575382-16C2-C63B-3C09-2430949EB3D7}"/>
                </a:ext>
              </a:extLst>
            </xdr:cNvPr>
            <xdr:cNvGraphicFramePr/>
          </xdr:nvGraphicFramePr>
          <xdr:xfrm>
            <a:off x="0" y="0"/>
            <a:ext cx="0" cy="0"/>
          </xdr:xfrm>
          <a:graphic>
            <a:graphicData uri="http://schemas.microsoft.com/office/drawing/2010/slicer">
              <sle:slicer xmlns:sle="http://schemas.microsoft.com/office/drawing/2010/slicer" name="Remote_Work"/>
            </a:graphicData>
          </a:graphic>
        </xdr:graphicFrame>
      </mc:Choice>
      <mc:Fallback xmlns="">
        <xdr:sp macro="" textlink="">
          <xdr:nvSpPr>
            <xdr:cNvPr id="0" name=""/>
            <xdr:cNvSpPr>
              <a:spLocks noTextEdit="1"/>
            </xdr:cNvSpPr>
          </xdr:nvSpPr>
          <xdr:spPr>
            <a:xfrm>
              <a:off x="4632960" y="1188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144780</xdr:colOff>
      <xdr:row>5</xdr:row>
      <xdr:rowOff>133350</xdr:rowOff>
    </xdr:from>
    <xdr:to>
      <xdr:col>9</xdr:col>
      <xdr:colOff>449580</xdr:colOff>
      <xdr:row>20</xdr:row>
      <xdr:rowOff>133350</xdr:rowOff>
    </xdr:to>
    <xdr:graphicFrame macro="">
      <xdr:nvGraphicFramePr>
        <xdr:cNvPr id="2" name="Chart 1">
          <a:extLst>
            <a:ext uri="{FF2B5EF4-FFF2-40B4-BE49-F238E27FC236}">
              <a16:creationId xmlns:a16="http://schemas.microsoft.com/office/drawing/2014/main" id="{B3D151C0-4E71-0023-924E-4E8C14FB3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175260</xdr:colOff>
      <xdr:row>5</xdr:row>
      <xdr:rowOff>133350</xdr:rowOff>
    </xdr:from>
    <xdr:to>
      <xdr:col>10</xdr:col>
      <xdr:colOff>480060</xdr:colOff>
      <xdr:row>20</xdr:row>
      <xdr:rowOff>133350</xdr:rowOff>
    </xdr:to>
    <xdr:graphicFrame macro="">
      <xdr:nvGraphicFramePr>
        <xdr:cNvPr id="2" name="Chart 1">
          <a:extLst>
            <a:ext uri="{FF2B5EF4-FFF2-40B4-BE49-F238E27FC236}">
              <a16:creationId xmlns:a16="http://schemas.microsoft.com/office/drawing/2014/main" id="{7C65000C-ECB2-8FE2-A064-6C0B0A109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556260</xdr:colOff>
      <xdr:row>5</xdr:row>
      <xdr:rowOff>133350</xdr:rowOff>
    </xdr:from>
    <xdr:to>
      <xdr:col>10</xdr:col>
      <xdr:colOff>251460</xdr:colOff>
      <xdr:row>20</xdr:row>
      <xdr:rowOff>133350</xdr:rowOff>
    </xdr:to>
    <xdr:graphicFrame macro="">
      <xdr:nvGraphicFramePr>
        <xdr:cNvPr id="2" name="Chart 1">
          <a:extLst>
            <a:ext uri="{FF2B5EF4-FFF2-40B4-BE49-F238E27FC236}">
              <a16:creationId xmlns:a16="http://schemas.microsoft.com/office/drawing/2014/main" id="{F58C5509-F66F-2135-0350-76F0013E9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556260</xdr:colOff>
      <xdr:row>5</xdr:row>
      <xdr:rowOff>133350</xdr:rowOff>
    </xdr:from>
    <xdr:to>
      <xdr:col>10</xdr:col>
      <xdr:colOff>251460</xdr:colOff>
      <xdr:row>20</xdr:row>
      <xdr:rowOff>133350</xdr:rowOff>
    </xdr:to>
    <xdr:graphicFrame macro="">
      <xdr:nvGraphicFramePr>
        <xdr:cNvPr id="2" name="Chart 1">
          <a:extLst>
            <a:ext uri="{FF2B5EF4-FFF2-40B4-BE49-F238E27FC236}">
              <a16:creationId xmlns:a16="http://schemas.microsoft.com/office/drawing/2014/main" id="{71BB0367-37CC-28B5-FC54-02BBD7E9A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220980</xdr:colOff>
      <xdr:row>5</xdr:row>
      <xdr:rowOff>133350</xdr:rowOff>
    </xdr:from>
    <xdr:to>
      <xdr:col>10</xdr:col>
      <xdr:colOff>525780</xdr:colOff>
      <xdr:row>20</xdr:row>
      <xdr:rowOff>133350</xdr:rowOff>
    </xdr:to>
    <xdr:graphicFrame macro="">
      <xdr:nvGraphicFramePr>
        <xdr:cNvPr id="2" name="Chart 1">
          <a:extLst>
            <a:ext uri="{FF2B5EF4-FFF2-40B4-BE49-F238E27FC236}">
              <a16:creationId xmlns:a16="http://schemas.microsoft.com/office/drawing/2014/main" id="{A8E7028E-68A4-3CFD-BAEC-085A6AD32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556260</xdr:colOff>
      <xdr:row>5</xdr:row>
      <xdr:rowOff>133350</xdr:rowOff>
    </xdr:from>
    <xdr:to>
      <xdr:col>10</xdr:col>
      <xdr:colOff>251460</xdr:colOff>
      <xdr:row>20</xdr:row>
      <xdr:rowOff>133350</xdr:rowOff>
    </xdr:to>
    <xdr:graphicFrame macro="">
      <xdr:nvGraphicFramePr>
        <xdr:cNvPr id="2" name="Chart 1">
          <a:extLst>
            <a:ext uri="{FF2B5EF4-FFF2-40B4-BE49-F238E27FC236}">
              <a16:creationId xmlns:a16="http://schemas.microsoft.com/office/drawing/2014/main" id="{549FE2CA-B925-63F1-1EF1-8BA9A19DB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358140</xdr:colOff>
      <xdr:row>5</xdr:row>
      <xdr:rowOff>133350</xdr:rowOff>
    </xdr:from>
    <xdr:to>
      <xdr:col>11</xdr:col>
      <xdr:colOff>53340</xdr:colOff>
      <xdr:row>20</xdr:row>
      <xdr:rowOff>133350</xdr:rowOff>
    </xdr:to>
    <xdr:graphicFrame macro="">
      <xdr:nvGraphicFramePr>
        <xdr:cNvPr id="2" name="Chart 1">
          <a:extLst>
            <a:ext uri="{FF2B5EF4-FFF2-40B4-BE49-F238E27FC236}">
              <a16:creationId xmlns:a16="http://schemas.microsoft.com/office/drawing/2014/main" id="{46383BAE-BB66-6439-208B-518AB704F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sha Sahu" refreshedDate="46079.718802314812" createdVersion="8" refreshedVersion="8" minRefreshableVersion="3" recordCount="1500" xr:uid="{3FE8B69E-F7B4-47E9-911B-DB3E4650C5C0}">
  <cacheSource type="worksheet">
    <worksheetSource ref="A1:L1501" sheet="table"/>
  </cacheSource>
  <cacheFields count="12">
    <cacheField name="Employee_ID" numFmtId="0">
      <sharedItems count="1500">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 v="E1050"/>
        <s v="E1051"/>
        <s v="E1052"/>
        <s v="E1053"/>
        <s v="E1054"/>
        <s v="E1055"/>
        <s v="E1056"/>
        <s v="E1057"/>
        <s v="E1058"/>
        <s v="E1059"/>
        <s v="E1060"/>
        <s v="E1061"/>
        <s v="E1062"/>
        <s v="E1063"/>
        <s v="E1064"/>
        <s v="E1065"/>
        <s v="E1066"/>
        <s v="E1067"/>
        <s v="E1068"/>
        <s v="E1069"/>
        <s v="E1070"/>
        <s v="E1071"/>
        <s v="E1072"/>
        <s v="E1073"/>
        <s v="E1074"/>
        <s v="E1075"/>
        <s v="E1076"/>
        <s v="E1077"/>
        <s v="E1078"/>
        <s v="E1079"/>
        <s v="E1080"/>
        <s v="E1081"/>
        <s v="E1082"/>
        <s v="E1083"/>
        <s v="E1084"/>
        <s v="E1085"/>
        <s v="E1086"/>
        <s v="E1087"/>
        <s v="E1088"/>
        <s v="E1089"/>
        <s v="E1090"/>
        <s v="E1091"/>
        <s v="E1092"/>
        <s v="E1093"/>
        <s v="E1094"/>
        <s v="E1095"/>
        <s v="E1096"/>
        <s v="E1097"/>
        <s v="E1098"/>
        <s v="E1099"/>
        <s v="E1100"/>
        <s v="E1101"/>
        <s v="E1102"/>
        <s v="E1103"/>
        <s v="E1104"/>
        <s v="E1105"/>
        <s v="E1106"/>
        <s v="E1107"/>
        <s v="E1108"/>
        <s v="E1109"/>
        <s v="E1110"/>
        <s v="E1111"/>
        <s v="E1112"/>
        <s v="E1113"/>
        <s v="E1114"/>
        <s v="E1115"/>
        <s v="E1116"/>
        <s v="E1117"/>
        <s v="E1118"/>
        <s v="E1119"/>
        <s v="E1120"/>
        <s v="E1121"/>
        <s v="E1122"/>
        <s v="E1123"/>
        <s v="E1124"/>
        <s v="E1125"/>
        <s v="E1126"/>
        <s v="E1127"/>
        <s v="E1128"/>
        <s v="E1129"/>
        <s v="E1130"/>
        <s v="E1131"/>
        <s v="E1132"/>
        <s v="E1133"/>
        <s v="E1134"/>
        <s v="E1135"/>
        <s v="E1136"/>
        <s v="E1137"/>
        <s v="E1138"/>
        <s v="E1139"/>
        <s v="E1140"/>
        <s v="E1141"/>
        <s v="E1142"/>
        <s v="E1143"/>
        <s v="E1144"/>
        <s v="E1145"/>
        <s v="E1146"/>
        <s v="E1147"/>
        <s v="E1148"/>
        <s v="E1149"/>
        <s v="E1150"/>
        <s v="E1151"/>
        <s v="E1152"/>
        <s v="E1153"/>
        <s v="E1154"/>
        <s v="E1155"/>
        <s v="E1156"/>
        <s v="E1157"/>
        <s v="E1158"/>
        <s v="E1159"/>
        <s v="E1160"/>
        <s v="E1161"/>
        <s v="E1162"/>
        <s v="E1163"/>
        <s v="E1164"/>
        <s v="E1165"/>
        <s v="E1166"/>
        <s v="E1167"/>
        <s v="E1168"/>
        <s v="E1169"/>
        <s v="E1170"/>
        <s v="E1171"/>
        <s v="E1172"/>
        <s v="E1173"/>
        <s v="E1174"/>
        <s v="E1175"/>
        <s v="E1176"/>
        <s v="E1177"/>
        <s v="E1178"/>
        <s v="E1179"/>
        <s v="E1180"/>
        <s v="E1181"/>
        <s v="E1182"/>
        <s v="E1183"/>
        <s v="E1184"/>
        <s v="E1185"/>
        <s v="E1186"/>
        <s v="E1187"/>
        <s v="E1188"/>
        <s v="E1189"/>
        <s v="E1190"/>
        <s v="E1191"/>
        <s v="E1192"/>
        <s v="E1193"/>
        <s v="E1194"/>
        <s v="E1195"/>
        <s v="E1196"/>
        <s v="E1197"/>
        <s v="E1198"/>
        <s v="E1199"/>
        <s v="E1200"/>
        <s v="E1201"/>
        <s v="E1202"/>
        <s v="E1203"/>
        <s v="E1204"/>
        <s v="E1205"/>
        <s v="E1206"/>
        <s v="E1207"/>
        <s v="E1208"/>
        <s v="E1209"/>
        <s v="E1210"/>
        <s v="E1211"/>
        <s v="E1212"/>
        <s v="E1213"/>
        <s v="E1214"/>
        <s v="E1215"/>
        <s v="E1216"/>
        <s v="E1217"/>
        <s v="E1218"/>
        <s v="E1219"/>
        <s v="E1220"/>
        <s v="E1221"/>
        <s v="E1222"/>
        <s v="E1223"/>
        <s v="E1224"/>
        <s v="E1225"/>
        <s v="E1226"/>
        <s v="E1227"/>
        <s v="E1228"/>
        <s v="E1229"/>
        <s v="E1230"/>
        <s v="E1231"/>
        <s v="E1232"/>
        <s v="E1233"/>
        <s v="E1234"/>
        <s v="E1235"/>
        <s v="E1236"/>
        <s v="E1237"/>
        <s v="E1238"/>
        <s v="E1239"/>
        <s v="E1240"/>
        <s v="E1241"/>
        <s v="E1242"/>
        <s v="E1243"/>
        <s v="E1244"/>
        <s v="E1245"/>
        <s v="E1246"/>
        <s v="E1247"/>
        <s v="E1248"/>
        <s v="E1249"/>
        <s v="E1250"/>
        <s v="E1251"/>
        <s v="E1252"/>
        <s v="E1253"/>
        <s v="E1254"/>
        <s v="E1255"/>
        <s v="E1256"/>
        <s v="E1257"/>
        <s v="E1258"/>
        <s v="E1259"/>
        <s v="E1260"/>
        <s v="E1261"/>
        <s v="E1262"/>
        <s v="E1263"/>
        <s v="E1264"/>
        <s v="E1265"/>
        <s v="E1266"/>
        <s v="E1267"/>
        <s v="E1268"/>
        <s v="E1269"/>
        <s v="E1270"/>
        <s v="E1271"/>
        <s v="E1272"/>
        <s v="E1273"/>
        <s v="E1274"/>
        <s v="E1275"/>
        <s v="E1276"/>
        <s v="E1277"/>
        <s v="E1278"/>
        <s v="E1279"/>
        <s v="E1280"/>
        <s v="E1281"/>
        <s v="E1282"/>
        <s v="E1283"/>
        <s v="E1284"/>
        <s v="E1285"/>
        <s v="E1286"/>
        <s v="E1287"/>
        <s v="E1288"/>
        <s v="E1289"/>
        <s v="E1290"/>
        <s v="E1291"/>
        <s v="E1292"/>
        <s v="E1293"/>
        <s v="E1294"/>
        <s v="E1295"/>
        <s v="E1296"/>
        <s v="E1297"/>
        <s v="E1298"/>
        <s v="E1299"/>
        <s v="E1300"/>
        <s v="E1301"/>
        <s v="E1302"/>
        <s v="E1303"/>
        <s v="E1304"/>
        <s v="E1305"/>
        <s v="E1306"/>
        <s v="E1307"/>
        <s v="E1308"/>
        <s v="E1309"/>
        <s v="E1310"/>
        <s v="E1311"/>
        <s v="E1312"/>
        <s v="E1313"/>
        <s v="E1314"/>
        <s v="E1315"/>
        <s v="E1316"/>
        <s v="E1317"/>
        <s v="E1318"/>
        <s v="E1319"/>
        <s v="E1320"/>
        <s v="E1321"/>
        <s v="E1322"/>
        <s v="E1323"/>
        <s v="E1324"/>
        <s v="E1325"/>
        <s v="E1326"/>
        <s v="E1327"/>
        <s v="E1328"/>
        <s v="E1329"/>
        <s v="E1330"/>
        <s v="E1331"/>
        <s v="E1332"/>
        <s v="E1333"/>
        <s v="E1334"/>
        <s v="E1335"/>
        <s v="E1336"/>
        <s v="E1337"/>
        <s v="E1338"/>
        <s v="E1339"/>
        <s v="E1340"/>
        <s v="E1341"/>
        <s v="E1342"/>
        <s v="E1343"/>
        <s v="E1344"/>
        <s v="E1345"/>
        <s v="E1346"/>
        <s v="E1347"/>
        <s v="E1348"/>
        <s v="E1349"/>
        <s v="E1350"/>
        <s v="E1351"/>
        <s v="E1352"/>
        <s v="E1353"/>
        <s v="E1354"/>
        <s v="E1355"/>
        <s v="E1356"/>
        <s v="E1357"/>
        <s v="E1358"/>
        <s v="E1359"/>
        <s v="E1360"/>
        <s v="E1361"/>
        <s v="E1362"/>
        <s v="E1363"/>
        <s v="E1364"/>
        <s v="E1365"/>
        <s v="E1366"/>
        <s v="E1367"/>
        <s v="E1368"/>
        <s v="E1369"/>
        <s v="E1370"/>
        <s v="E1371"/>
        <s v="E1372"/>
        <s v="E1373"/>
        <s v="E1374"/>
        <s v="E1375"/>
        <s v="E1376"/>
        <s v="E1377"/>
        <s v="E1378"/>
        <s v="E1379"/>
        <s v="E1380"/>
        <s v="E1381"/>
        <s v="E1382"/>
        <s v="E1383"/>
        <s v="E1384"/>
        <s v="E1385"/>
        <s v="E1386"/>
        <s v="E1387"/>
        <s v="E1388"/>
        <s v="E1389"/>
        <s v="E1390"/>
        <s v="E1391"/>
        <s v="E1392"/>
        <s v="E1393"/>
        <s v="E1394"/>
        <s v="E1395"/>
        <s v="E1396"/>
        <s v="E1397"/>
        <s v="E1398"/>
        <s v="E1399"/>
        <s v="E1400"/>
        <s v="E1401"/>
        <s v="E1402"/>
        <s v="E1403"/>
        <s v="E1404"/>
        <s v="E1405"/>
        <s v="E1406"/>
        <s v="E1407"/>
        <s v="E1408"/>
        <s v="E1409"/>
        <s v="E1410"/>
        <s v="E1411"/>
        <s v="E1412"/>
        <s v="E1413"/>
        <s v="E1414"/>
        <s v="E1415"/>
        <s v="E1416"/>
        <s v="E1417"/>
        <s v="E1418"/>
        <s v="E1419"/>
        <s v="E1420"/>
        <s v="E1421"/>
        <s v="E1422"/>
        <s v="E1423"/>
        <s v="E1424"/>
        <s v="E1425"/>
        <s v="E1426"/>
        <s v="E1427"/>
        <s v="E1428"/>
        <s v="E1429"/>
        <s v="E1430"/>
        <s v="E1431"/>
        <s v="E1432"/>
        <s v="E1433"/>
        <s v="E1434"/>
        <s v="E1435"/>
        <s v="E1436"/>
        <s v="E1437"/>
        <s v="E1438"/>
        <s v="E1439"/>
        <s v="E1440"/>
        <s v="E1441"/>
        <s v="E1442"/>
        <s v="E1443"/>
        <s v="E1444"/>
        <s v="E1445"/>
        <s v="E1446"/>
        <s v="E1447"/>
        <s v="E1448"/>
        <s v="E1449"/>
        <s v="E1450"/>
        <s v="E1451"/>
        <s v="E1452"/>
        <s v="E1453"/>
        <s v="E1454"/>
        <s v="E1455"/>
        <s v="E1456"/>
        <s v="E1457"/>
        <s v="E1458"/>
        <s v="E1459"/>
        <s v="E1460"/>
        <s v="E1461"/>
        <s v="E1462"/>
        <s v="E1463"/>
        <s v="E1464"/>
        <s v="E1465"/>
        <s v="E1466"/>
        <s v="E1467"/>
        <s v="E1468"/>
        <s v="E1469"/>
        <s v="E1470"/>
        <s v="E1471"/>
        <s v="E1472"/>
        <s v="E1473"/>
        <s v="E1474"/>
        <s v="E1475"/>
        <s v="E1476"/>
        <s v="E1477"/>
        <s v="E1478"/>
        <s v="E1479"/>
        <s v="E1480"/>
        <s v="E1481"/>
        <s v="E1482"/>
        <s v="E1483"/>
        <s v="E1484"/>
        <s v="E1485"/>
        <s v="E1486"/>
        <s v="E1487"/>
        <s v="E1488"/>
        <s v="E1489"/>
        <s v="E1490"/>
        <s v="E1491"/>
        <s v="E1492"/>
        <s v="E1493"/>
        <s v="E1494"/>
        <s v="E1495"/>
        <s v="E1496"/>
        <s v="E1497"/>
        <s v="E1498"/>
        <s v="E1499"/>
        <s v="E1500"/>
        <s v="E1501"/>
        <s v="E1502"/>
        <s v="E1503"/>
        <s v="E1504"/>
        <s v="E1505"/>
        <s v="E1506"/>
        <s v="E1507"/>
        <s v="E1508"/>
        <s v="E1509"/>
        <s v="E1510"/>
        <s v="E1511"/>
        <s v="E1512"/>
        <s v="E1513"/>
        <s v="E1514"/>
        <s v="E1515"/>
        <s v="E1516"/>
        <s v="E1517"/>
        <s v="E1518"/>
        <s v="E1519"/>
        <s v="E1520"/>
        <s v="E1521"/>
        <s v="E1522"/>
        <s v="E1523"/>
        <s v="E1524"/>
        <s v="E1525"/>
        <s v="E1526"/>
        <s v="E1527"/>
        <s v="E1528"/>
        <s v="E1529"/>
        <s v="E1530"/>
        <s v="E1531"/>
        <s v="E1532"/>
        <s v="E1533"/>
        <s v="E1534"/>
        <s v="E1535"/>
        <s v="E1536"/>
        <s v="E1537"/>
        <s v="E1538"/>
        <s v="E1539"/>
        <s v="E1540"/>
        <s v="E1541"/>
        <s v="E1542"/>
        <s v="E1543"/>
        <s v="E1544"/>
        <s v="E1545"/>
        <s v="E1546"/>
        <s v="E1547"/>
        <s v="E1548"/>
        <s v="E1549"/>
        <s v="E1550"/>
        <s v="E1551"/>
        <s v="E1552"/>
        <s v="E1553"/>
        <s v="E1554"/>
        <s v="E1555"/>
        <s v="E1556"/>
        <s v="E1557"/>
        <s v="E1558"/>
        <s v="E1559"/>
        <s v="E1560"/>
        <s v="E1561"/>
        <s v="E1562"/>
        <s v="E1563"/>
        <s v="E1564"/>
        <s v="E1565"/>
        <s v="E1566"/>
        <s v="E1567"/>
        <s v="E1568"/>
        <s v="E1569"/>
        <s v="E1570"/>
        <s v="E1571"/>
        <s v="E1572"/>
        <s v="E1573"/>
        <s v="E1574"/>
        <s v="E1575"/>
        <s v="E1576"/>
        <s v="E1577"/>
        <s v="E1578"/>
        <s v="E1579"/>
        <s v="E1580"/>
        <s v="E1581"/>
        <s v="E1582"/>
        <s v="E1583"/>
        <s v="E1584"/>
        <s v="E1585"/>
        <s v="E1586"/>
        <s v="E1587"/>
        <s v="E1588"/>
        <s v="E1589"/>
        <s v="E1590"/>
        <s v="E1591"/>
        <s v="E1592"/>
        <s v="E1593"/>
        <s v="E1594"/>
        <s v="E1595"/>
        <s v="E1596"/>
        <s v="E1597"/>
        <s v="E1598"/>
        <s v="E1599"/>
        <s v="E1600"/>
        <s v="E1601"/>
        <s v="E1602"/>
        <s v="E1603"/>
        <s v="E1604"/>
        <s v="E1605"/>
        <s v="E1606"/>
        <s v="E1607"/>
        <s v="E1608"/>
        <s v="E1609"/>
        <s v="E1610"/>
        <s v="E1611"/>
        <s v="E1612"/>
        <s v="E1613"/>
        <s v="E1614"/>
        <s v="E1615"/>
        <s v="E1616"/>
        <s v="E1617"/>
        <s v="E1618"/>
        <s v="E1619"/>
        <s v="E1620"/>
        <s v="E1621"/>
        <s v="E1622"/>
        <s v="E1623"/>
        <s v="E1624"/>
        <s v="E1625"/>
        <s v="E1626"/>
        <s v="E1627"/>
        <s v="E1628"/>
        <s v="E1629"/>
        <s v="E1630"/>
        <s v="E1631"/>
        <s v="E1632"/>
        <s v="E1633"/>
        <s v="E1634"/>
        <s v="E1635"/>
        <s v="E1636"/>
        <s v="E1637"/>
        <s v="E1638"/>
        <s v="E1639"/>
        <s v="E1640"/>
        <s v="E1641"/>
        <s v="E1642"/>
        <s v="E1643"/>
        <s v="E1644"/>
        <s v="E1645"/>
        <s v="E1646"/>
        <s v="E1647"/>
        <s v="E1648"/>
        <s v="E1649"/>
        <s v="E1650"/>
        <s v="E1651"/>
        <s v="E1652"/>
        <s v="E1653"/>
        <s v="E1654"/>
        <s v="E1655"/>
        <s v="E1656"/>
        <s v="E1657"/>
        <s v="E1658"/>
        <s v="E1659"/>
        <s v="E1660"/>
        <s v="E1661"/>
        <s v="E1662"/>
        <s v="E1663"/>
        <s v="E1664"/>
        <s v="E1665"/>
        <s v="E1666"/>
        <s v="E1667"/>
        <s v="E1668"/>
        <s v="E1669"/>
        <s v="E1670"/>
        <s v="E1671"/>
        <s v="E1672"/>
        <s v="E1673"/>
        <s v="E1674"/>
        <s v="E1675"/>
        <s v="E1676"/>
        <s v="E1677"/>
        <s v="E1678"/>
        <s v="E1679"/>
        <s v="E1680"/>
        <s v="E1681"/>
        <s v="E1682"/>
        <s v="E1683"/>
        <s v="E1684"/>
        <s v="E1685"/>
        <s v="E1686"/>
        <s v="E1687"/>
        <s v="E1688"/>
        <s v="E1689"/>
        <s v="E1690"/>
        <s v="E1691"/>
        <s v="E1692"/>
        <s v="E1693"/>
        <s v="E1694"/>
        <s v="E1695"/>
        <s v="E1696"/>
        <s v="E1697"/>
        <s v="E1698"/>
        <s v="E1699"/>
        <s v="E1700"/>
        <s v="E1701"/>
        <s v="E1702"/>
        <s v="E1703"/>
        <s v="E1704"/>
        <s v="E1705"/>
        <s v="E1706"/>
        <s v="E1707"/>
        <s v="E1708"/>
        <s v="E1709"/>
        <s v="E1710"/>
        <s v="E1711"/>
        <s v="E1712"/>
        <s v="E1713"/>
        <s v="E1714"/>
        <s v="E1715"/>
        <s v="E1716"/>
        <s v="E1717"/>
        <s v="E1718"/>
        <s v="E1719"/>
        <s v="E1720"/>
        <s v="E1721"/>
        <s v="E1722"/>
        <s v="E1723"/>
        <s v="E1724"/>
        <s v="E1725"/>
        <s v="E1726"/>
        <s v="E1727"/>
        <s v="E1728"/>
        <s v="E1729"/>
        <s v="E1730"/>
        <s v="E1731"/>
        <s v="E1732"/>
        <s v="E1733"/>
        <s v="E1734"/>
        <s v="E1735"/>
        <s v="E1736"/>
        <s v="E1737"/>
        <s v="E1738"/>
        <s v="E1739"/>
        <s v="E1740"/>
        <s v="E1741"/>
        <s v="E1742"/>
        <s v="E1743"/>
        <s v="E1744"/>
        <s v="E1745"/>
        <s v="E1746"/>
        <s v="E1747"/>
        <s v="E1748"/>
        <s v="E1749"/>
        <s v="E1750"/>
        <s v="E1751"/>
        <s v="E1752"/>
        <s v="E1753"/>
        <s v="E1754"/>
        <s v="E1755"/>
        <s v="E1756"/>
        <s v="E1757"/>
        <s v="E1758"/>
        <s v="E1759"/>
        <s v="E1760"/>
        <s v="E1761"/>
        <s v="E1762"/>
        <s v="E1763"/>
        <s v="E1764"/>
        <s v="E1765"/>
        <s v="E1766"/>
        <s v="E1767"/>
        <s v="E1768"/>
        <s v="E1769"/>
        <s v="E1770"/>
        <s v="E1771"/>
        <s v="E1772"/>
        <s v="E1773"/>
        <s v="E1774"/>
        <s v="E1775"/>
        <s v="E1776"/>
        <s v="E1777"/>
        <s v="E1778"/>
        <s v="E1779"/>
        <s v="E1780"/>
        <s v="E1781"/>
        <s v="E1782"/>
        <s v="E1783"/>
        <s v="E1784"/>
        <s v="E1785"/>
        <s v="E1786"/>
        <s v="E1787"/>
        <s v="E1788"/>
        <s v="E1789"/>
        <s v="E1790"/>
        <s v="E1791"/>
        <s v="E1792"/>
        <s v="E1793"/>
        <s v="E1794"/>
        <s v="E1795"/>
        <s v="E1796"/>
        <s v="E1797"/>
        <s v="E1798"/>
        <s v="E1799"/>
        <s v="E1800"/>
        <s v="E1801"/>
        <s v="E1802"/>
        <s v="E1803"/>
        <s v="E1804"/>
        <s v="E1805"/>
        <s v="E1806"/>
        <s v="E1807"/>
        <s v="E1808"/>
        <s v="E1809"/>
        <s v="E1810"/>
        <s v="E1811"/>
        <s v="E1812"/>
        <s v="E1813"/>
        <s v="E1814"/>
        <s v="E1815"/>
        <s v="E1816"/>
        <s v="E1817"/>
        <s v="E1818"/>
        <s v="E1819"/>
        <s v="E1820"/>
        <s v="E1821"/>
        <s v="E1822"/>
        <s v="E1823"/>
        <s v="E1824"/>
        <s v="E1825"/>
        <s v="E1826"/>
        <s v="E1827"/>
        <s v="E1828"/>
        <s v="E1829"/>
        <s v="E1830"/>
        <s v="E1831"/>
        <s v="E1832"/>
        <s v="E1833"/>
        <s v="E1834"/>
        <s v="E1835"/>
        <s v="E1836"/>
        <s v="E1837"/>
        <s v="E1838"/>
        <s v="E1839"/>
        <s v="E1840"/>
        <s v="E1841"/>
        <s v="E1842"/>
        <s v="E1843"/>
        <s v="E1844"/>
        <s v="E1845"/>
        <s v="E1846"/>
        <s v="E1847"/>
        <s v="E1848"/>
        <s v="E1849"/>
        <s v="E1850"/>
        <s v="E1851"/>
        <s v="E1852"/>
        <s v="E1853"/>
        <s v="E1854"/>
        <s v="E1855"/>
        <s v="E1856"/>
        <s v="E1857"/>
        <s v="E1858"/>
        <s v="E1859"/>
        <s v="E1860"/>
        <s v="E1861"/>
        <s v="E1862"/>
        <s v="E1863"/>
        <s v="E1864"/>
        <s v="E1865"/>
        <s v="E1866"/>
        <s v="E1867"/>
        <s v="E1868"/>
        <s v="E1869"/>
        <s v="E1870"/>
        <s v="E1871"/>
        <s v="E1872"/>
        <s v="E1873"/>
        <s v="E1874"/>
        <s v="E1875"/>
        <s v="E1876"/>
        <s v="E1877"/>
        <s v="E1878"/>
        <s v="E1879"/>
        <s v="E1880"/>
        <s v="E1881"/>
        <s v="E1882"/>
        <s v="E1883"/>
        <s v="E1884"/>
        <s v="E1885"/>
        <s v="E1886"/>
        <s v="E1887"/>
        <s v="E1888"/>
        <s v="E1889"/>
        <s v="E1890"/>
        <s v="E1891"/>
        <s v="E1892"/>
        <s v="E1893"/>
        <s v="E1894"/>
        <s v="E1895"/>
        <s v="E1896"/>
        <s v="E1897"/>
        <s v="E1898"/>
        <s v="E1899"/>
        <s v="E1900"/>
        <s v="E1901"/>
        <s v="E1902"/>
        <s v="E1903"/>
        <s v="E1904"/>
        <s v="E1905"/>
        <s v="E1906"/>
        <s v="E1907"/>
        <s v="E1908"/>
        <s v="E1909"/>
        <s v="E1910"/>
        <s v="E1911"/>
        <s v="E1912"/>
        <s v="E1913"/>
        <s v="E1914"/>
        <s v="E1915"/>
        <s v="E1916"/>
        <s v="E1917"/>
        <s v="E1918"/>
        <s v="E1919"/>
        <s v="E1920"/>
        <s v="E1921"/>
        <s v="E1922"/>
        <s v="E1923"/>
        <s v="E1924"/>
        <s v="E1925"/>
        <s v="E1926"/>
        <s v="E1927"/>
        <s v="E1928"/>
        <s v="E1929"/>
        <s v="E1930"/>
        <s v="E1931"/>
        <s v="E1932"/>
        <s v="E1933"/>
        <s v="E1934"/>
        <s v="E1935"/>
        <s v="E1936"/>
        <s v="E1937"/>
        <s v="E1938"/>
        <s v="E1939"/>
        <s v="E1940"/>
        <s v="E1941"/>
        <s v="E1942"/>
        <s v="E1943"/>
        <s v="E1944"/>
        <s v="E1945"/>
        <s v="E1946"/>
        <s v="E1947"/>
        <s v="E1948"/>
        <s v="E1949"/>
        <s v="E1950"/>
        <s v="E1951"/>
        <s v="E1952"/>
        <s v="E1953"/>
        <s v="E1954"/>
        <s v="E1955"/>
        <s v="E1956"/>
        <s v="E1957"/>
        <s v="E1958"/>
        <s v="E1959"/>
        <s v="E1960"/>
        <s v="E1961"/>
        <s v="E1962"/>
        <s v="E1963"/>
        <s v="E1964"/>
        <s v="E1965"/>
        <s v="E1966"/>
        <s v="E1967"/>
        <s v="E1968"/>
        <s v="E1969"/>
        <s v="E1970"/>
        <s v="E1971"/>
        <s v="E1972"/>
        <s v="E1973"/>
        <s v="E1974"/>
        <s v="E1975"/>
        <s v="E1976"/>
        <s v="E1977"/>
        <s v="E1978"/>
        <s v="E1979"/>
        <s v="E1980"/>
        <s v="E1981"/>
        <s v="E1982"/>
        <s v="E1983"/>
        <s v="E1984"/>
        <s v="E1985"/>
        <s v="E1986"/>
        <s v="E1987"/>
        <s v="E1988"/>
        <s v="E1989"/>
        <s v="E1990"/>
        <s v="E1991"/>
        <s v="E1992"/>
        <s v="E1993"/>
        <s v="E1994"/>
        <s v="E1995"/>
        <s v="E1996"/>
        <s v="E1997"/>
        <s v="E1998"/>
        <s v="E1999"/>
        <s v="E2000"/>
        <s v="E2001"/>
        <s v="E2002"/>
        <s v="E2003"/>
        <s v="E2004"/>
        <s v="E2005"/>
        <s v="E2006"/>
        <s v="E2007"/>
        <s v="E2008"/>
        <s v="E2009"/>
        <s v="E2010"/>
        <s v="E2011"/>
        <s v="E2012"/>
        <s v="E2013"/>
        <s v="E2014"/>
        <s v="E2015"/>
        <s v="E2016"/>
        <s v="E2017"/>
        <s v="E2018"/>
        <s v="E2019"/>
        <s v="E2020"/>
        <s v="E2021"/>
        <s v="E2022"/>
        <s v="E2023"/>
        <s v="E2024"/>
        <s v="E2025"/>
        <s v="E2026"/>
        <s v="E2027"/>
        <s v="E2028"/>
        <s v="E2029"/>
        <s v="E2030"/>
        <s v="E2031"/>
        <s v="E2032"/>
        <s v="E2033"/>
        <s v="E2034"/>
        <s v="E2035"/>
        <s v="E2036"/>
        <s v="E2037"/>
        <s v="E2038"/>
        <s v="E2039"/>
        <s v="E2040"/>
        <s v="E2041"/>
        <s v="E2042"/>
        <s v="E2043"/>
        <s v="E2044"/>
        <s v="E2045"/>
        <s v="E2046"/>
        <s v="E2047"/>
        <s v="E2048"/>
        <s v="E2049"/>
        <s v="E2050"/>
        <s v="E2051"/>
        <s v="E2052"/>
        <s v="E2053"/>
        <s v="E2054"/>
        <s v="E2055"/>
        <s v="E2056"/>
        <s v="E2057"/>
        <s v="E2058"/>
        <s v="E2059"/>
        <s v="E2060"/>
        <s v="E2061"/>
        <s v="E2062"/>
        <s v="E2063"/>
        <s v="E2064"/>
        <s v="E2065"/>
        <s v="E2066"/>
        <s v="E2067"/>
        <s v="E2068"/>
        <s v="E2069"/>
        <s v="E2070"/>
        <s v="E2071"/>
        <s v="E2072"/>
        <s v="E2073"/>
        <s v="E2074"/>
        <s v="E2075"/>
        <s v="E2076"/>
        <s v="E2077"/>
        <s v="E2078"/>
        <s v="E2079"/>
        <s v="E2080"/>
        <s v="E2081"/>
        <s v="E2082"/>
        <s v="E2083"/>
        <s v="E2084"/>
        <s v="E2085"/>
        <s v="E2086"/>
        <s v="E2087"/>
        <s v="E2088"/>
        <s v="E2089"/>
        <s v="E2090"/>
        <s v="E2091"/>
        <s v="E2092"/>
        <s v="E2093"/>
        <s v="E2094"/>
        <s v="E2095"/>
        <s v="E2096"/>
        <s v="E2097"/>
        <s v="E2098"/>
        <s v="E2099"/>
        <s v="E2100"/>
        <s v="E2101"/>
        <s v="E2102"/>
        <s v="E2103"/>
        <s v="E2104"/>
        <s v="E2105"/>
        <s v="E2106"/>
        <s v="E2107"/>
        <s v="E2108"/>
        <s v="E2109"/>
        <s v="E2110"/>
        <s v="E2111"/>
        <s v="E2112"/>
        <s v="E2113"/>
        <s v="E2114"/>
        <s v="E2115"/>
        <s v="E2116"/>
        <s v="E2117"/>
        <s v="E2118"/>
        <s v="E2119"/>
        <s v="E2120"/>
        <s v="E2121"/>
        <s v="E2122"/>
        <s v="E2123"/>
        <s v="E2124"/>
        <s v="E2125"/>
        <s v="E2126"/>
        <s v="E2127"/>
        <s v="E2128"/>
        <s v="E2129"/>
        <s v="E2130"/>
        <s v="E2131"/>
        <s v="E2132"/>
        <s v="E2133"/>
        <s v="E2134"/>
        <s v="E2135"/>
        <s v="E2136"/>
        <s v="E2137"/>
        <s v="E2138"/>
        <s v="E2139"/>
        <s v="E2140"/>
        <s v="E2141"/>
        <s v="E2142"/>
        <s v="E2143"/>
        <s v="E2144"/>
        <s v="E2145"/>
        <s v="E2146"/>
        <s v="E2147"/>
        <s v="E2148"/>
        <s v="E2149"/>
        <s v="E2150"/>
        <s v="E2151"/>
        <s v="E2152"/>
        <s v="E2153"/>
        <s v="E2154"/>
        <s v="E2155"/>
        <s v="E2156"/>
        <s v="E2157"/>
        <s v="E2158"/>
        <s v="E2159"/>
        <s v="E2160"/>
        <s v="E2161"/>
        <s v="E2162"/>
        <s v="E2163"/>
        <s v="E2164"/>
        <s v="E2165"/>
        <s v="E2166"/>
        <s v="E2167"/>
        <s v="E2168"/>
        <s v="E2169"/>
        <s v="E2170"/>
        <s v="E2171"/>
        <s v="E2172"/>
        <s v="E2173"/>
        <s v="E2174"/>
        <s v="E2175"/>
        <s v="E2176"/>
        <s v="E2177"/>
        <s v="E2178"/>
        <s v="E2179"/>
        <s v="E2180"/>
        <s v="E2181"/>
        <s v="E2182"/>
        <s v="E2183"/>
        <s v="E2184"/>
        <s v="E2185"/>
        <s v="E2186"/>
        <s v="E2187"/>
        <s v="E2188"/>
        <s v="E2189"/>
        <s v="E2190"/>
        <s v="E2191"/>
        <s v="E2192"/>
        <s v="E2193"/>
        <s v="E2194"/>
        <s v="E2195"/>
        <s v="E2196"/>
        <s v="E2197"/>
        <s v="E2198"/>
        <s v="E2199"/>
        <s v="E2200"/>
        <s v="E2201"/>
        <s v="E2202"/>
        <s v="E2203"/>
        <s v="E2204"/>
        <s v="E2205"/>
        <s v="E2206"/>
        <s v="E2207"/>
        <s v="E2208"/>
        <s v="E2209"/>
        <s v="E2210"/>
        <s v="E2211"/>
        <s v="E2212"/>
        <s v="E2213"/>
        <s v="E2214"/>
        <s v="E2215"/>
        <s v="E2216"/>
        <s v="E2217"/>
        <s v="E2218"/>
        <s v="E2219"/>
        <s v="E2220"/>
        <s v="E2221"/>
        <s v="E2222"/>
        <s v="E2223"/>
        <s v="E2224"/>
        <s v="E2225"/>
        <s v="E2226"/>
        <s v="E2227"/>
        <s v="E2228"/>
        <s v="E2229"/>
        <s v="E2230"/>
        <s v="E2231"/>
        <s v="E2232"/>
        <s v="E2233"/>
        <s v="E2234"/>
        <s v="E2235"/>
        <s v="E2236"/>
        <s v="E2237"/>
        <s v="E2238"/>
        <s v="E2239"/>
        <s v="E2240"/>
        <s v="E2241"/>
        <s v="E2242"/>
        <s v="E2243"/>
        <s v="E2244"/>
        <s v="E2245"/>
        <s v="E2246"/>
        <s v="E2247"/>
        <s v="E2248"/>
        <s v="E2249"/>
        <s v="E2250"/>
        <s v="E2251"/>
        <s v="E2252"/>
        <s v="E2253"/>
        <s v="E2254"/>
        <s v="E2255"/>
        <s v="E2256"/>
        <s v="E2257"/>
        <s v="E2258"/>
        <s v="E2259"/>
        <s v="E2260"/>
        <s v="E2261"/>
        <s v="E2262"/>
        <s v="E2263"/>
        <s v="E2264"/>
        <s v="E2265"/>
        <s v="E2266"/>
        <s v="E2267"/>
        <s v="E2268"/>
        <s v="E2269"/>
        <s v="E2270"/>
        <s v="E2271"/>
        <s v="E2272"/>
        <s v="E2273"/>
        <s v="E2274"/>
        <s v="E2275"/>
        <s v="E2276"/>
        <s v="E2277"/>
        <s v="E2278"/>
        <s v="E2279"/>
        <s v="E2280"/>
        <s v="E2281"/>
        <s v="E2282"/>
        <s v="E2283"/>
        <s v="E2284"/>
        <s v="E2285"/>
        <s v="E2286"/>
        <s v="E2287"/>
        <s v="E2288"/>
        <s v="E2289"/>
        <s v="E2290"/>
        <s v="E2291"/>
        <s v="E2292"/>
        <s v="E2293"/>
        <s v="E2294"/>
        <s v="E2295"/>
        <s v="E2296"/>
        <s v="E2297"/>
        <s v="E2298"/>
        <s v="E2299"/>
        <s v="E2300"/>
        <s v="E2301"/>
        <s v="E2302"/>
        <s v="E2303"/>
        <s v="E2304"/>
        <s v="E2305"/>
        <s v="E2306"/>
        <s v="E2307"/>
        <s v="E2308"/>
        <s v="E2309"/>
        <s v="E2310"/>
        <s v="E2311"/>
        <s v="E2312"/>
        <s v="E2313"/>
        <s v="E2314"/>
        <s v="E2315"/>
        <s v="E2316"/>
        <s v="E2317"/>
        <s v="E2318"/>
        <s v="E2319"/>
        <s v="E2320"/>
        <s v="E2321"/>
        <s v="E2322"/>
        <s v="E2323"/>
        <s v="E2324"/>
        <s v="E2325"/>
        <s v="E2326"/>
        <s v="E2327"/>
        <s v="E2328"/>
        <s v="E2329"/>
        <s v="E2330"/>
        <s v="E2331"/>
        <s v="E2332"/>
        <s v="E2333"/>
        <s v="E2334"/>
        <s v="E2335"/>
        <s v="E2336"/>
        <s v="E2337"/>
        <s v="E2338"/>
        <s v="E2339"/>
        <s v="E2340"/>
        <s v="E2341"/>
        <s v="E2342"/>
        <s v="E2343"/>
        <s v="E2344"/>
        <s v="E2345"/>
        <s v="E2346"/>
        <s v="E2347"/>
        <s v="E2348"/>
        <s v="E2349"/>
        <s v="E2350"/>
        <s v="E2351"/>
        <s v="E2352"/>
        <s v="E2353"/>
        <s v="E2354"/>
        <s v="E2355"/>
        <s v="E2356"/>
        <s v="E2357"/>
        <s v="E2358"/>
        <s v="E2359"/>
        <s v="E2360"/>
        <s v="E2361"/>
        <s v="E2362"/>
        <s v="E2363"/>
        <s v="E2364"/>
        <s v="E2365"/>
        <s v="E2366"/>
        <s v="E2367"/>
        <s v="E2368"/>
        <s v="E2369"/>
        <s v="E2370"/>
        <s v="E2371"/>
        <s v="E2372"/>
        <s v="E2373"/>
        <s v="E2374"/>
        <s v="E2375"/>
        <s v="E2376"/>
        <s v="E2377"/>
        <s v="E2378"/>
        <s v="E2379"/>
        <s v="E2380"/>
        <s v="E2381"/>
        <s v="E2382"/>
        <s v="E2383"/>
        <s v="E2384"/>
        <s v="E2385"/>
        <s v="E2386"/>
        <s v="E2387"/>
        <s v="E2388"/>
        <s v="E2389"/>
        <s v="E2390"/>
        <s v="E2391"/>
        <s v="E2392"/>
        <s v="E2393"/>
        <s v="E2394"/>
        <s v="E2395"/>
        <s v="E2396"/>
        <s v="E2397"/>
        <s v="E2398"/>
        <s v="E2399"/>
        <s v="E2400"/>
        <s v="E2401"/>
        <s v="E2402"/>
        <s v="E2403"/>
        <s v="E2404"/>
        <s v="E2405"/>
        <s v="E2406"/>
        <s v="E2407"/>
        <s v="E2408"/>
        <s v="E2409"/>
        <s v="E2410"/>
        <s v="E2411"/>
        <s v="E2412"/>
        <s v="E2413"/>
        <s v="E2414"/>
        <s v="E2415"/>
        <s v="E2416"/>
        <s v="E2417"/>
        <s v="E2418"/>
        <s v="E2419"/>
        <s v="E2420"/>
        <s v="E2421"/>
        <s v="E2422"/>
        <s v="E2423"/>
        <s v="E2424"/>
        <s v="E2425"/>
        <s v="E2426"/>
        <s v="E2427"/>
        <s v="E2428"/>
        <s v="E2429"/>
        <s v="E2430"/>
        <s v="E2431"/>
        <s v="E2432"/>
        <s v="E2433"/>
        <s v="E2434"/>
        <s v="E2435"/>
        <s v="E2436"/>
        <s v="E2437"/>
        <s v="E2438"/>
        <s v="E2439"/>
        <s v="E2440"/>
        <s v="E2441"/>
        <s v="E2442"/>
        <s v="E2443"/>
        <s v="E2444"/>
        <s v="E2445"/>
        <s v="E2446"/>
        <s v="E2447"/>
        <s v="E2448"/>
        <s v="E2449"/>
        <s v="E2450"/>
        <s v="E2451"/>
        <s v="E2452"/>
        <s v="E2453"/>
        <s v="E2454"/>
        <s v="E2455"/>
        <s v="E2456"/>
        <s v="E2457"/>
        <s v="E2458"/>
        <s v="E2459"/>
        <s v="E2460"/>
        <s v="E2461"/>
        <s v="E2462"/>
        <s v="E2463"/>
        <s v="E2464"/>
        <s v="E2465"/>
        <s v="E2466"/>
        <s v="E2467"/>
        <s v="E2468"/>
        <s v="E2469"/>
        <s v="E2470"/>
        <s v="E2471"/>
        <s v="E2472"/>
        <s v="E2473"/>
        <s v="E2474"/>
        <s v="E2475"/>
        <s v="E2476"/>
        <s v="E2477"/>
        <s v="E2478"/>
        <s v="E2479"/>
        <s v="E2480"/>
        <s v="E2481"/>
        <s v="E2482"/>
        <s v="E2483"/>
        <s v="E2484"/>
        <s v="E2485"/>
        <s v="E2486"/>
        <s v="E2487"/>
        <s v="E2488"/>
        <s v="E2489"/>
        <s v="E2490"/>
        <s v="E2491"/>
        <s v="E2492"/>
        <s v="E2493"/>
        <s v="E2494"/>
        <s v="E2495"/>
        <s v="E2496"/>
        <s v="E2497"/>
        <s v="E2498"/>
        <s v="E2499"/>
      </sharedItems>
    </cacheField>
    <cacheField name="Full_Name" numFmtId="0">
      <sharedItems count="1482">
        <s v="Elizabeth Smith"/>
        <s v="Lisa Lee"/>
        <s v="Richard Mccarty"/>
        <s v="Rebekah Long"/>
        <s v="Michael Reese"/>
        <s v="Casey Young"/>
        <s v="Kerri Golden"/>
        <s v="Steve Goodman"/>
        <s v="Isaiah Jones"/>
        <s v="Kristin Gonzalez"/>
        <s v="Cynthia Alvarez"/>
        <s v="Jeffrey Clark"/>
        <s v="Paul Harding"/>
        <s v="Matthew King"/>
        <s v="Jack Hill"/>
        <s v="Diana Mueller"/>
        <s v="Jacob Wilson"/>
        <s v="Mary Pierce"/>
        <s v="Brandon Villa"/>
        <s v="Michael Chandler"/>
        <s v="Karen Vega"/>
        <s v="Alejandra Boyd"/>
        <s v="Brooke Sweeney"/>
        <s v="Marcus Novak"/>
        <s v="Robin Chapman"/>
        <s v="Kimberly Jones"/>
        <s v="Jennifer Arnold"/>
        <s v="Destiny Jensen"/>
        <s v="Amanda Fisher"/>
        <s v="Joshua Franco"/>
        <s v="Timothy Phillips"/>
        <s v="Timothy Harding"/>
        <s v="Ryan Collins"/>
        <s v="Glenn Phelps"/>
        <s v="Kelli Smith"/>
        <s v="Jonathan Logan"/>
        <s v="Debbie Ali"/>
        <s v="Debra Martinez"/>
        <s v="Edward West"/>
        <s v="Antonio Santiago"/>
        <s v="Mr. Andrew Harris"/>
        <s v="Ryan Bauer"/>
        <s v="Danny Russell"/>
        <s v="Tracey Mcdowell"/>
        <s v="Krystal Caldwell"/>
        <s v="Douglas Thomas"/>
        <s v="Connie Colon"/>
        <s v="Christopher Roberts"/>
        <s v="Felicia Allen"/>
        <s v="Victor Delgado"/>
        <s v="Eric Hall"/>
        <s v="Jeremy Huber"/>
        <s v="Kristin Coleman"/>
        <s v="Mark Trujillo"/>
        <s v="David Wells"/>
        <s v="Andrew Green"/>
        <s v="Savannah House"/>
        <s v="Melissa Casey"/>
        <s v="Stephanie Williams"/>
        <s v="William White"/>
        <s v="William Fisher"/>
        <s v="Thomas Snyder"/>
        <s v="David Taylor"/>
        <s v="Sabrina Rogers"/>
        <s v="Michelle Davis"/>
        <s v="Paula Mooney"/>
        <s v="Nicole Johnson"/>
        <s v="Bobby Ramirez"/>
        <s v="Jason West"/>
        <s v="Charles Acosta"/>
        <s v="James House"/>
        <s v="William Smith"/>
        <s v="Steven Campbell"/>
        <s v="Amanda Powell"/>
        <s v="Whitney Butler"/>
        <s v="Jim Johnson"/>
        <s v="Kurt Lyons"/>
        <s v="Autumn Humphrey"/>
        <s v="Randy Thomas"/>
        <s v="Taylor Hayes"/>
        <s v="Robert Bentley"/>
        <s v="Michele Wright"/>
        <s v="Mrs. Melanie Mooney"/>
        <s v="Michael Sutton"/>
        <s v="Gabriella Kim"/>
        <s v="Kevin Norman"/>
        <s v="Sandra Patterson"/>
        <s v="Crystal Murphy"/>
        <s v="Thomas Blake"/>
        <s v="Shari Levine"/>
        <s v="John Flores"/>
        <s v="Blake Stewart"/>
        <s v="Angela Wolf"/>
        <s v="Amy Davis"/>
        <s v="Tonya Golden"/>
        <s v="Michael Serrano"/>
        <s v="Lydia Glass"/>
        <s v="Danielle Mitchell"/>
        <s v="Jeffrey Brown"/>
        <s v="Eileen Baldwin"/>
        <s v="Ashley Swanson"/>
        <s v="Zachary Davis"/>
        <s v="Christine Moore"/>
        <s v="Michelle Russell"/>
        <s v="Troy Lewis"/>
        <s v="Rachel Reed"/>
        <s v="Mary Lewis"/>
        <s v="Mary Jones"/>
        <s v="Kelsey Watts"/>
        <s v="Deborah Mcdonald"/>
        <s v="Courtney Castaneda"/>
        <s v="David Harper"/>
        <s v="Kristin Boyd"/>
        <s v="Jacob Harrington"/>
        <s v="Sarah Arnold"/>
        <s v="Edward Munoz"/>
        <s v="Ryan Mercado"/>
        <s v="Michael Johnson"/>
        <s v="Alex Wilson"/>
        <s v="Louis Rose"/>
        <s v="Sarah Fisher"/>
        <s v="Jesus Randall"/>
        <s v="Brenda Copeland"/>
        <s v="Leah Keller"/>
        <s v="Karen Wright"/>
        <s v="Sherry Chen"/>
        <s v="Amy Morris"/>
        <s v="James Webb"/>
        <s v="Catherine Fields"/>
        <s v="Malik Ho"/>
        <s v="Michael Young"/>
        <s v="Travis Walker"/>
        <s v="Heather Peters"/>
        <s v="Kimberly Kirk"/>
        <s v="Joseph Gonzales"/>
        <s v="Anne Walker"/>
        <s v="Dustin Garza"/>
        <s v="Michael Ramos"/>
        <s v="Brandon Cook"/>
        <s v="Paul Williams"/>
        <s v="Martin Newman"/>
        <s v="Isaac Martin"/>
        <s v="Jonathan Duncan"/>
        <s v="Eugene Tucker"/>
        <s v="Kristy Russell"/>
        <s v="William Edwards"/>
        <s v="Joseph Caldwell"/>
        <s v="Mr. Tom Mendez"/>
        <s v="Peter Anderson"/>
        <s v="Rebekah Brown"/>
        <s v="Matthew Watts"/>
        <s v="Maureen Dean"/>
        <s v="Joshua Brown"/>
        <s v="Deborah Patel"/>
        <s v="Heather Romero"/>
        <s v="Corey Faulkner"/>
        <s v="Paul Bennett"/>
        <s v="Tyrone Garner"/>
        <s v="Jennifer Gould"/>
        <s v="Courtney Santos"/>
        <s v="Jacob Fuentes"/>
        <s v="Samuel Johnson"/>
        <s v="Heather Tran"/>
        <s v="Daniel Mendez"/>
        <s v="Jared Craig"/>
        <s v="Kyle Potts"/>
        <s v="Gene Tucker"/>
        <s v="Wanda Davis"/>
        <s v="Michelle Rodriguez"/>
        <s v="Lisa Wu"/>
        <s v="Margaret Williams"/>
        <s v="Ashley Espinoza"/>
        <s v="Michelle Estrada"/>
        <s v="Mark Collins"/>
        <s v="Courtney Cooper"/>
        <s v="Robert Sanchez"/>
        <s v="Erika Peterson"/>
        <s v="David Owens"/>
        <s v="Theresa Rogers"/>
        <s v="Brian Mayer"/>
        <s v="Zachary West"/>
        <s v="Chris Black"/>
        <s v="Hannah Perez"/>
        <s v="Terri Hinton"/>
        <s v="Jennifer Jones"/>
        <s v="Jacqueline Webb"/>
        <s v="Shannon Jones"/>
        <s v="Elizabeth Taylor"/>
        <s v="Bobby Hamilton"/>
        <s v="Mark Brooks"/>
        <s v="Joseph Williams"/>
        <s v="Kevin Watkins"/>
        <s v="Keith Martin"/>
        <s v="Jason Hubbard"/>
        <s v="Holly Johnson MD"/>
        <s v="Jeffrey Smith"/>
        <s v="Julie Collins"/>
        <s v="Jesse Monroe"/>
        <s v="Jose Taylor"/>
        <s v="Steven Newman"/>
        <s v="Jennifer Thompson DVM"/>
        <s v="Kenneth Mitchell"/>
        <s v="Emily Kelly"/>
        <s v="Michael Jackson"/>
        <s v="Kristina Watts"/>
        <s v="Ann Mccoy"/>
        <s v="Kevin Torres"/>
        <s v="Kara Mcdonald"/>
        <s v="Nancy Shannon"/>
        <s v="Stacey Rangel"/>
        <s v="Stacy Sawyer"/>
        <s v="Michael Zavala"/>
        <s v="Denise Martinez"/>
        <s v="John Rasmussen"/>
        <s v="Mark Mayo"/>
        <s v="Karen Koch"/>
        <s v="Kevin Christensen"/>
        <s v="Daniel White"/>
        <s v="Jennifer Chase"/>
        <s v="Cheryl Romero"/>
        <s v="Julie Cross"/>
        <s v="Monica Coleman"/>
        <s v="Leslie Simon"/>
        <s v="Allison Garrett"/>
        <s v="Daniel Barker"/>
        <s v="Brent Stewart MD"/>
        <s v="Jeffery Bell"/>
        <s v="Robert Aguilar"/>
        <s v="Kathryn Larson"/>
        <s v="Lindsay Travis"/>
        <s v="John Gonzales"/>
        <s v="Barbara Braun"/>
        <s v="Brian Smith"/>
        <s v="Angela Cruz"/>
        <s v="Kathleen Gilbert"/>
        <s v="Corey Davis"/>
        <s v="Mark Campbell"/>
        <s v="Lynn Barnes"/>
        <s v="Jennifer Johns"/>
        <s v="Jesse Perkins"/>
        <s v="Suzanne Allen"/>
        <s v="Nicholas Walker"/>
        <s v="Robert Miller"/>
        <s v="Justin Yates"/>
        <s v="Kevin Strickland"/>
        <s v="Sarah Edwards"/>
        <s v="Kimberly Morris"/>
        <s v="Jerry Schultz"/>
        <s v="Caitlin Gillespie"/>
        <s v="Cindy Allen"/>
        <s v="Sarah Reyes"/>
        <s v="Gene Jones"/>
        <s v="Laura Rivera"/>
        <s v="Sonia Bowen"/>
        <s v="Ellen Gibson"/>
        <s v="Edward Roberts"/>
        <s v="Kristy Williams"/>
        <s v="Dennis Wyatt"/>
        <s v="Shaun Hopkins"/>
        <s v="Jacob Ortiz"/>
        <s v="Geoffrey Arnold"/>
        <s v="Elizabeth Stewart"/>
        <s v="Juan Goodman"/>
        <s v="Victor Vasquez"/>
        <s v="Kimberly Pena"/>
        <s v="Aaron Robinson"/>
        <s v="Isaiah West"/>
        <s v="Charles Blair"/>
        <s v="Tracie Benson"/>
        <s v="Lauren Brown"/>
        <s v="Stephanie David"/>
        <s v="Cindy Green"/>
        <s v="Susan Mckinney"/>
        <s v="John Moyer"/>
        <s v="Roy Smith"/>
        <s v="Mary Baker"/>
        <s v="Daniel Shaffer"/>
        <s v="Kelly Gordon"/>
        <s v="Tony Young"/>
        <s v="Jerry Wright"/>
        <s v="Emily Fernandez"/>
        <s v="Richard Mcintosh"/>
        <s v="Tyler Hunt"/>
        <s v="Charles Zavala"/>
        <s v="Amy Johnson"/>
        <s v="Kyle Shannon"/>
        <s v="Carrie Fry"/>
        <s v="Samantha Scott"/>
        <s v="Elizabeth Navarro"/>
        <s v="Michelle Williams"/>
        <s v="Beth Thomas"/>
        <s v="Shannon Jackson"/>
        <s v="Paula Wilson"/>
        <s v="Mia Hernandez"/>
        <s v="Ernest Griffin"/>
        <s v="Daniel Medina"/>
        <s v="Levi Marquez"/>
        <s v="Robert Webb"/>
        <s v="Joseph Garcia"/>
        <s v="Sharon Roberts"/>
        <s v="Mary Gray"/>
        <s v="Jeffrey Mata"/>
        <s v="James Brewer"/>
        <s v="Sarah Walker"/>
        <s v="Beth Smith"/>
        <s v="Christopher Garcia"/>
        <s v="Kristin Bailey"/>
        <s v="Nicholas Singleton"/>
        <s v="Joanna Caldwell"/>
        <s v="Jacqueline Hamilton"/>
        <s v="Thomas Murray"/>
        <s v="Ashley Barajas"/>
        <s v="Edward Davenport"/>
        <s v="Frederick Johnson"/>
        <s v="Taylor Rasmussen"/>
        <s v="Mrs. Jennifer Jones"/>
        <s v="Patricia Allen"/>
        <s v="Jennifer Baxter"/>
        <s v="Michael Stevens"/>
        <s v="Christopher Green"/>
        <s v="Robert Boyd"/>
        <s v="Sarah Schmidt"/>
        <s v="Angela Edwards"/>
        <s v="Kathleen Sanders"/>
        <s v="Diana Russell"/>
        <s v="Patrick Lynch"/>
        <s v="Daniel King"/>
        <s v="Megan Turner"/>
        <s v="Stephanie King"/>
        <s v="Valerie Moore"/>
        <s v="Russell Thompson"/>
        <s v="Andrew Mcgee"/>
        <s v="Kristin Long"/>
        <s v="Richard Howard"/>
        <s v="Mallory Evans"/>
        <s v="Kenneth Daniel"/>
        <s v="Kimberly Armstrong"/>
        <s v="Nancy Blackwell PhD"/>
        <s v="Andrew Yates"/>
        <s v="Andrea Bright"/>
        <s v="Paul Lester"/>
        <s v="James Brady"/>
        <s v="Jennifer Patrick"/>
        <s v="Vincent Medina"/>
        <s v="Mr. Kevin Barker"/>
        <s v="Lawrence Lopez"/>
        <s v="Chelsea Watson"/>
        <s v="Nathan Cunningham"/>
        <s v="Michelle Patton"/>
        <s v="Jeffrey Green"/>
        <s v="Taylor Harrison"/>
        <s v="Melissa Lopez"/>
        <s v="Daniel Hernandez"/>
        <s v="Suzanne Lyons"/>
        <s v="Jessica Gomez"/>
        <s v="Andrea Schroeder"/>
        <s v="William Levy"/>
        <s v="Christopher Lindsey"/>
        <s v="Tammy Martinez"/>
        <s v="Angela Brock"/>
        <s v="Carol Berg"/>
        <s v="Sally Gould"/>
        <s v="Dominique Johnson"/>
        <s v="Alyssa Becker"/>
        <s v="Matthew Smith"/>
        <s v="Nicholas Kelly"/>
        <s v="Christopher Johnson"/>
        <s v="Benjamin Moore"/>
        <s v="Andrew Olson"/>
        <s v="Paul Pace"/>
        <s v="Keith Mills"/>
        <s v="Beverly Curtis"/>
        <s v="Kelly Gregory"/>
        <s v="Henry Thomas"/>
        <s v="Thomas Johnson"/>
        <s v="Katie Bass"/>
        <s v="Donald Hardy"/>
        <s v="John Lee"/>
        <s v="Antonio Kent"/>
        <s v="Jack Marshall"/>
        <s v="Adam Martinez"/>
        <s v="Cathy Powell"/>
        <s v="Michael Graham"/>
        <s v="Mr. Charles Campbell III"/>
        <s v="Robin Koch"/>
        <s v="Omar Ruiz"/>
        <s v="Lori Spencer"/>
        <s v="Mark Luna"/>
        <s v="Timothy Dixon"/>
        <s v="Mary Peterson"/>
        <s v="Brenda Martinez"/>
        <s v="Laura Vazquez"/>
        <s v="Ernest Wright"/>
        <s v="Dylan Sutton"/>
        <s v="Janice Berry"/>
        <s v="Samantha Lloyd"/>
        <s v="Erica Smith"/>
        <s v="Isaac Parks"/>
        <s v="Robert Johnson"/>
        <s v="Leah Wilson"/>
        <s v="Joseph Patterson"/>
        <s v="Lindsay Walton"/>
        <s v="Christopher Calhoun"/>
        <s v="Joshua Wright"/>
        <s v="Bill Skinner"/>
        <s v="Ashley Hudson"/>
        <s v="Eduardo Higgins"/>
        <s v="Dylan Prince"/>
        <s v="Dwayne Tapia"/>
        <s v="Christopher Bennett"/>
        <s v="Patricia Cowan"/>
        <s v="Ryan Lawrence"/>
        <s v="Melissa Russell"/>
        <s v="Samantha Graham"/>
        <s v="Lori Turner"/>
        <s v="Elizabeth Alvarado"/>
        <s v="Nicholas Fry"/>
        <s v="Linda Mitchell"/>
        <s v="Lindsey Carroll"/>
        <s v="Dana Butler"/>
        <s v="Leah Brown"/>
        <s v="Travis Reed"/>
        <s v="Christopher Lee"/>
        <s v="Melissa Aguilar"/>
        <s v="Gina Strickland"/>
        <s v="Paige Spencer"/>
        <s v="Kristin Mccoy"/>
        <s v="Olivia Davenport"/>
        <s v="Ryan Herman"/>
        <s v="Connor Turner"/>
        <s v="Andrew Martinez"/>
        <s v="Christopher Mitchell"/>
        <s v="Jacob Malone"/>
        <s v="Taylor Compton"/>
        <s v="Brittney Barnett"/>
        <s v="Amanda George"/>
        <s v="James Davis"/>
        <s v="John Sanford"/>
        <s v="Susan Mathis"/>
        <s v="Jackie Ward"/>
        <s v="Steven Young"/>
        <s v="Cody Gomez"/>
        <s v="Charles Gonzalez"/>
        <s v="Roberto Ward"/>
        <s v="Katherine Pena"/>
        <s v="Barbara Haas"/>
        <s v="Tara Wood"/>
        <s v="Brianna Gordon"/>
        <s v="Megan Garza"/>
        <s v="Robert Gilmore"/>
        <s v="Maria Juarez"/>
        <s v="Matthew Moody"/>
        <s v="Dean Bishop"/>
        <s v="Paula Lawrence"/>
        <s v="Laura Kaufman"/>
        <s v="Anthony Allison"/>
        <s v="Amanda Powers"/>
        <s v="Fred Thomas"/>
        <s v="Donna Nguyen"/>
        <s v="Michael Mason"/>
        <s v="Aaron Andrade"/>
        <s v="Kayla Campbell"/>
        <s v="John Williams"/>
        <s v="Dana Lynch"/>
        <s v="Stephanie Santiago"/>
        <s v="Kimberly Gray"/>
        <s v="Russell Henson"/>
        <s v="Laura Phillips"/>
        <s v="Beth Finley"/>
        <s v="Dawn Wright"/>
        <s v="Christopher Cunningham"/>
        <s v="Alison Mendoza"/>
        <s v="Allison Torres"/>
        <s v="Juan Boone"/>
        <s v="Jessica Davis"/>
        <s v="Paul Weaver"/>
        <s v="Erin Edwards"/>
        <s v="David Howell"/>
        <s v="Linda Lee"/>
        <s v="Jose Hudson"/>
        <s v="Bryan Garrison"/>
        <s v="Chloe Davis"/>
        <s v="Jeremy Wood"/>
        <s v="Nicholas Martinez"/>
        <s v="Tina Hale"/>
        <s v="Andrew Horton"/>
        <s v="Kristen Garcia"/>
        <s v="Jim Cherry"/>
        <s v="William Gray"/>
        <s v="Henry Donaldson"/>
        <s v="Michael Massey"/>
        <s v="Connie Daniel"/>
        <s v="Teresa Walters"/>
        <s v="Aaron Lynn"/>
        <s v="Marcus Floyd"/>
        <s v="Susan Brown"/>
        <s v="Douglas Mcgee"/>
        <s v="Audrey Hill"/>
        <s v="Amy Tran"/>
        <s v="Jennifer Drake"/>
        <s v="Eric Martinez"/>
        <s v="Denise Wilson"/>
        <s v="Sarah Coleman"/>
        <s v="Steven James"/>
        <s v="Heather Fischer"/>
        <s v="Rachel King"/>
        <s v="Kylie Mendoza"/>
        <s v="Danny Rhodes"/>
        <s v="Michael Gonzalez"/>
        <s v="Tracy Martinez"/>
        <s v="Jesus Hall"/>
        <s v="Amanda Conner"/>
        <s v="Robert Mercer"/>
        <s v="Kimberly Foster"/>
        <s v="Anna Gonzalez"/>
        <s v="Karla Bowman"/>
        <s v="Christopher Liu"/>
        <s v="Joshua Baker"/>
        <s v="Kristine Davenport"/>
        <s v="Samantha Barber"/>
        <s v="Jared Lee"/>
        <s v="Joshua Woods"/>
        <s v="Bianca Carpenter"/>
        <s v="Cynthia Bright"/>
        <s v="Dr. Benjamin Chandler"/>
        <s v="Ashley Ferguson"/>
        <s v="Hannah Thomas"/>
        <s v="Mrs. Mikayla Hughes"/>
        <s v="James Richards DDS"/>
        <s v="Andrew Franco"/>
        <s v="Rebecca Smith"/>
        <s v="Michele Alexander"/>
        <s v="Benjamin Carter"/>
        <s v="Jenna Santiago"/>
        <s v="Emily Russell"/>
        <s v="Mark Rodgers"/>
        <s v="Courtney Green"/>
        <s v="Shelby Hale"/>
        <s v="Christopher Moss"/>
        <s v="Cynthia Howell"/>
        <s v="Olivia Hughes"/>
        <s v="Tamara Davis"/>
        <s v="Zachary Cox"/>
        <s v="Amy Harrington"/>
        <s v="Scott Mcgrath"/>
        <s v="Shawna Singh"/>
        <s v="Charles Stewart"/>
        <s v="Annette Young"/>
        <s v="Lisa Thompson"/>
        <s v="Joshua Fox"/>
        <s v="Danielle Case"/>
        <s v="Vickie Carr"/>
        <s v="Lauren Adams"/>
        <s v="Dr. Matthew Robertson"/>
        <s v="Ariel Miller"/>
        <s v="Cody Bonilla"/>
        <s v="Todd Smith"/>
        <s v="Yvette Hardin"/>
        <s v="Ashlee White"/>
        <s v="Christian Watson"/>
        <s v="Amanda Barnett"/>
        <s v="Robert Wilson"/>
        <s v="Jason Smith"/>
        <s v="Logan Jones"/>
        <s v="Rachel Hampton"/>
        <s v="Richard Hancock"/>
        <s v="Michelle Swanson"/>
        <s v="Marcus Ramirez"/>
        <s v="Gregory Meyer"/>
        <s v="Elizabeth Jackson"/>
        <s v="Nicholas Baker"/>
        <s v="Benjamin Cross"/>
        <s v="Paul Carter"/>
        <s v="Lindsay Gonzales"/>
        <s v="Ashley Tran"/>
        <s v="Kathleen Brown"/>
        <s v="Beverly Williams"/>
        <s v="Monica Williams"/>
        <s v="Christine Martin"/>
        <s v="Cynthia Williams"/>
        <s v="Deanna Owens"/>
        <s v="Dustin Elliott"/>
        <s v="Michael Williams"/>
        <s v="Joel Dawson"/>
        <s v="Victoria Murphy"/>
        <s v="Tyler Mcpherson"/>
        <s v="Megan Robinson PhD"/>
        <s v="Emily Lindsey"/>
        <s v="Rebecca Reid"/>
        <s v="Jacob Hamilton"/>
        <s v="Marissa Brooks"/>
        <s v="Michael Barnett"/>
        <s v="Christopher Stafford"/>
        <s v="Ashley Ayala"/>
        <s v="Mark Kelley"/>
        <s v="Michael Miller"/>
        <s v="Jennifer Crawford"/>
        <s v="James Butler"/>
        <s v="Melissa Johns"/>
        <s v="Gregory Johnson"/>
        <s v="Miss Tamara Kim"/>
        <s v="Michael Cole"/>
        <s v="Daniel Robertson"/>
        <s v="Matthew Young"/>
        <s v="Glenn Wright"/>
        <s v="Julia Kelly"/>
        <s v="Tammy Perry"/>
        <s v="Paul Clark"/>
        <s v="Mr. Andres Flowers II"/>
        <s v="Michelle Herring"/>
        <s v="Sheila Brown"/>
        <s v="Joseph Matthews"/>
        <s v="Laurie Henderson"/>
        <s v="Beth Brown"/>
        <s v="Krista Rodriguez"/>
        <s v="Michael Keith"/>
        <s v="Matthew Gonzalez"/>
        <s v="Alexis Salas"/>
        <s v="David Butler DDS"/>
        <s v="David Gonzalez"/>
        <s v="Samantha Jones"/>
        <s v="Tyler Green"/>
        <s v="Sharon Kelly"/>
        <s v="Carlos Jimenez"/>
        <s v="Hannah Lloyd"/>
        <s v="Lisa Harris"/>
        <s v="Cory Williams"/>
        <s v="Jaime Anderson"/>
        <s v="Lisa Wilson"/>
        <s v="David Mcintosh"/>
        <s v="Dr. Robert Davidson"/>
        <s v="Lisa Ramsey"/>
        <s v="Cynthia Rice"/>
        <s v="Paul Brown"/>
        <s v="Allison Beard"/>
        <s v="Heather Carr"/>
        <s v="Cory Moore"/>
        <s v="Paul Hughes"/>
        <s v="Michael Pearson"/>
        <s v="Shannon Ellis"/>
        <s v="Melanie Glover"/>
        <s v="Karen Simmons"/>
        <s v="Christopher Clements"/>
        <s v="Stephen Gutierrez"/>
        <s v="Katherine Watson"/>
        <s v="David Brooks"/>
        <s v="Thomas Ortiz"/>
        <s v="Nicholas Smith"/>
        <s v="Daniel Brown"/>
        <s v="Jennifer Chang"/>
        <s v="Charles Buckley"/>
        <s v="Phillip Mccarthy"/>
        <s v="Christopher Krueger"/>
        <s v="James Patterson"/>
        <s v="Allison Wilson"/>
        <s v="Jonathan Jenkins"/>
        <s v="Cynthia Ball"/>
        <s v="Christina Ellis"/>
        <s v="Peggy Mason"/>
        <s v="Amanda Vasquez"/>
        <s v="Charles Anderson"/>
        <s v="Alice Miller"/>
        <s v="Carol Atkinson"/>
        <s v="Cody Johnson"/>
        <s v="Stephanie Morris"/>
        <s v="Calvin Lee"/>
        <s v="Daniel Valencia"/>
        <s v="Louis Davis"/>
        <s v="Anthony Reynolds"/>
        <s v="Wanda Stewart"/>
        <s v="Jeremy Clark"/>
        <s v="Mr. Seth Hamilton"/>
        <s v="Louis Carpenter"/>
        <s v="Jeffrey Price"/>
        <s v="Shannon Miller"/>
        <s v="Ralph Burgess"/>
        <s v="Gloria Bennett"/>
        <s v="Cristian Garcia"/>
        <s v="Cassandra Smith"/>
        <s v="Keith Reid"/>
        <s v="Michael Mayo"/>
        <s v="Robert Fleming"/>
        <s v="Mitchell Paul"/>
        <s v="Whitney Allen"/>
        <s v="Cynthia Miller"/>
        <s v="Michele Meadows"/>
        <s v="Dr. Steven Elliott Jr."/>
        <s v="Melissa Ross"/>
        <s v="Jennifer Reyes"/>
        <s v="Sheila Flores"/>
        <s v="Nathaniel Case"/>
        <s v="Miss Theresa Brown"/>
        <s v="Katie Klein"/>
        <s v="Sarah Roberts"/>
        <s v="Ruth Reed"/>
        <s v="Rachel Conrad"/>
        <s v="Kenneth Stephens"/>
        <s v="David Golden"/>
        <s v="Mary Levine"/>
        <s v="Taylor Roberson"/>
        <s v="Daniel Ballard"/>
        <s v="Julie Jenkins"/>
        <s v="Kenneth Robbins"/>
        <s v="Jason Ramirez"/>
        <s v="Kristi Clark"/>
        <s v="Thomas Marshall"/>
        <s v="Austin Cruz"/>
        <s v="Kara Kelley"/>
        <s v="Sonya Nichols"/>
        <s v="Carlos Spencer"/>
        <s v="Nathan Flowers"/>
        <s v="Jason Freeman"/>
        <s v="Kathryn Foster"/>
        <s v="Brian Campos"/>
        <s v="Alexandra White"/>
        <s v="Mary Kennedy"/>
        <s v="Bobby Day"/>
        <s v="Denise Moss"/>
        <s v="Melody Fuller"/>
        <s v="Kyle Patton"/>
        <s v="Gina Hale"/>
        <s v="Tammy Acevedo"/>
        <s v="Julie Sanders"/>
        <s v="Angel Gates"/>
        <s v="Ronnie Johnson"/>
        <s v="Ricky Li"/>
        <s v="Patricia Chan"/>
        <s v="Alexander Gentry"/>
        <s v="Matthew Garcia"/>
        <s v="Nicholas Wilson"/>
        <s v="Rebecca Holmes"/>
        <s v="Michele Arnold"/>
        <s v="Charles Haynes"/>
        <s v="Scott Maddox"/>
        <s v="Brian Mason"/>
        <s v="Jennifer Baker"/>
        <s v="Brian Hill"/>
        <s v="Michael Greene"/>
        <s v="Gerald Richards"/>
        <s v="Andrew Chan PhD"/>
        <s v="Kimberly Davis"/>
        <s v="Howard Moody"/>
        <s v="Edward Rodriguez"/>
        <s v="Christopher Wood"/>
        <s v="Bonnie Merritt"/>
        <s v="Steven Freeman MD"/>
        <s v="Richard Stevens"/>
        <s v="Douglas Good"/>
        <s v="James Walters"/>
        <s v="Mary Monroe"/>
        <s v="Donald Brown"/>
        <s v="Julia King"/>
        <s v="Yolanda Martin"/>
        <s v="Catherine Jackson"/>
        <s v="Julia Jones"/>
        <s v="Leslie Morris"/>
        <s v="Diane Vaughn"/>
        <s v="Debra Walton"/>
        <s v="Stacy Morgan"/>
        <s v="James Johnson"/>
        <s v="Luke Rivera"/>
        <s v="Ivan Conrad"/>
        <s v="James Bowman"/>
        <s v="Chelsea Cuevas"/>
        <s v="Shelley Craig"/>
        <s v="Isaiah Payne"/>
        <s v="Tina Brock"/>
        <s v="Keith Mcgee"/>
        <s v="Thomas Stephens"/>
        <s v="James Kim"/>
        <s v="Kirsten Smith"/>
        <s v="David Smith"/>
        <s v="Andrew Watkins"/>
        <s v="Kathryn Raymond"/>
        <s v="Ryan Mills"/>
        <s v="Makayla Steele"/>
        <s v="Jennifer Sellers"/>
        <s v="Kristi King"/>
        <s v="Susan Taylor"/>
        <s v="James Allen"/>
        <s v="Ashley Marshall"/>
        <s v="Catherine Johnson"/>
        <s v="Mark Roberts"/>
        <s v="Valerie Ramos"/>
        <s v="Katherine Osborn"/>
        <s v="Nicole Callahan"/>
        <s v="Sherri Meyer"/>
        <s v="Holly Schneider"/>
        <s v="Christopher Daniels"/>
        <s v="Mrs. Tammy Johnson PhD"/>
        <s v="Jennifer Lara"/>
        <s v="Melissa Brown"/>
        <s v="Marc Mcdonald"/>
        <s v="Brittany Brown"/>
        <s v="Andrea Ramirez"/>
        <s v="Shawn Lynn"/>
        <s v="Michael Wilkinson"/>
        <s v="Lori Reyes"/>
        <s v="Arthur Mitchell"/>
        <s v="Brian Watkins"/>
        <s v="George Brown"/>
        <s v="Kayla Arnold"/>
        <s v="Jill Mitchell"/>
        <s v="Jonathan Ellis"/>
        <s v="Cynthia Hill"/>
        <s v="David Miller"/>
        <s v="Aaron Hopkins"/>
        <s v="Jerry Alexander"/>
        <s v="Jonathan Miller"/>
        <s v="Jennifer Hawkins"/>
        <s v="Eric Mclaughlin"/>
        <s v="Angela White"/>
        <s v="Jesus Perez DDS"/>
        <s v="George Macias"/>
        <s v="Nicholas Simpson"/>
        <s v="Joshua Robbins"/>
        <s v="Dana Wright"/>
        <s v="Anthony Villegas"/>
        <s v="Latasha Johns"/>
        <s v="Jill Smith"/>
        <s v="Alice Smith"/>
        <s v="Ann Wade"/>
        <s v="Casey Perez"/>
        <s v="Megan Jackson"/>
        <s v="Clinton Reid"/>
        <s v="Andrew Edwards"/>
        <s v="Jennifer Craig"/>
        <s v="Amber Jimenez"/>
        <s v="Megan Bender"/>
        <s v="Mary Day"/>
        <s v="Monique Morales"/>
        <s v="Lisa French"/>
        <s v="Ashley Harris"/>
        <s v="Kimberly Allen"/>
        <s v="Joyce Norman"/>
        <s v="Ruben Steele"/>
        <s v="Melissa Tate"/>
        <s v="Mr. Carlos Briggs"/>
        <s v="Danny Fisher"/>
        <s v="Mary Fischer"/>
        <s v="Anthony Marshall"/>
        <s v="Michael Hendricks"/>
        <s v="Natalie Macias"/>
        <s v="Deanna Norton"/>
        <s v="Timothy Silva"/>
        <s v="Walter Freeman"/>
        <s v="Julie Hayes"/>
        <s v="Brenda Murray"/>
        <s v="Harold Lee"/>
        <s v="Colleen Sanchez"/>
        <s v="Stephanie Anthony"/>
        <s v="John Adams"/>
        <s v="Richard Hernandez"/>
        <s v="Debra Ingram"/>
        <s v="Javier Roman"/>
        <s v="Christopher Barrett"/>
        <s v="Jesse Knox"/>
        <s v="Bill Allen"/>
        <s v="Jessica Cannon"/>
        <s v="Kayla Williams"/>
        <s v="Tracy Allison"/>
        <s v="Jeffrey Miller"/>
        <s v="Michael Conway"/>
        <s v="Michelle Evans"/>
        <s v="Patricia Peterson"/>
        <s v="Mr. Taylor Levine"/>
        <s v="Robert Walker"/>
        <s v="Patricia Robinson"/>
        <s v="Martin Mann"/>
        <s v="Matthew Cox"/>
        <s v="Stephen Fitzgerald"/>
        <s v="Joseph Hall"/>
        <s v="Kelli Logan"/>
        <s v="Jasmine Soto"/>
        <s v="Matthew Sullivan"/>
        <s v="Sherry Avila"/>
        <s v="Wayne Smith"/>
        <s v="Jason Barnes"/>
        <s v="Kenneth Aguilar"/>
        <s v="Todd Grant"/>
        <s v="Jason Novak"/>
        <s v="Ricardo Walker"/>
        <s v="Ashley Mcintyre"/>
        <s v="Katherine Stevens"/>
        <s v="Mary Pena"/>
        <s v="Michael Smith"/>
        <s v="Matthew Pena"/>
        <s v="Angel Webb"/>
        <s v="Kristen Robbins"/>
        <s v="Samuel Santos"/>
        <s v="Katelyn Downs"/>
        <s v="Jerry Murphy"/>
        <s v="Jessica Foster"/>
        <s v="James White"/>
        <s v="Megan Ramos"/>
        <s v="Dennis Cobb"/>
        <s v="Sean Walters"/>
        <s v="Jennifer Romero"/>
        <s v="John Marquez"/>
        <s v="Sarah Cameron"/>
        <s v="Justin Lopez"/>
        <s v="Casey Shaw"/>
        <s v="Stephanie Odom"/>
        <s v="Bryan Cooley"/>
        <s v="Derek Flynn"/>
        <s v="Joel Carrillo"/>
        <s v="Curtis Price"/>
        <s v="Sean Richards"/>
        <s v="Tammy Carroll"/>
        <s v="Meghan Johnson"/>
        <s v="Julia Richardson"/>
        <s v="Mark Price"/>
        <s v="Christine Waters"/>
        <s v="Valerie Ashley"/>
        <s v="Sarah Rodriguez"/>
        <s v="Kristen Zamora"/>
        <s v="Michael Davis"/>
        <s v="Nicholas Dixon"/>
        <s v="Samantha Rivera"/>
        <s v="Stacey Harmon"/>
        <s v="Rachel Miller"/>
        <s v="Matthew Davis"/>
        <s v="Kimberly Spencer"/>
        <s v="Alexander Anderson"/>
        <s v="Kyle Camacho"/>
        <s v="Michael Glenn III"/>
        <s v="Alexandra Huynh"/>
        <s v="Russell Robinson"/>
        <s v="Gregory Gutierrez"/>
        <s v="Alan Matthews"/>
        <s v="Mark Moran"/>
        <s v="Kathryn Jensen"/>
        <s v="Diana Hill"/>
        <s v="Sonya Wyatt"/>
        <s v="Garrett Marquez"/>
        <s v="Charles Wilson"/>
        <s v="Brian Williams"/>
        <s v="Angela Scott"/>
        <s v="Benjamin Giles"/>
        <s v="Eric Allen"/>
        <s v="Leslie Tapia"/>
        <s v="Jennifer Dean"/>
        <s v="Roger Wilson"/>
        <s v="Debra Boone"/>
        <s v="Michelle Holder"/>
        <s v="Heather Bailey"/>
        <s v="Darlene Rivera"/>
        <s v="Courtney Bell"/>
        <s v="Kyle Peck"/>
        <s v="Michelle Nelson"/>
        <s v="Jennifer Krueger"/>
        <s v="Carol Moon"/>
        <s v="Erin Hernandez"/>
        <s v="Cindy Wilson"/>
        <s v="Leslie Simpson"/>
        <s v="Dawn Martinez"/>
        <s v="David Martin"/>
        <s v="Kristin Garcia"/>
        <s v="Zachary Hoffman"/>
        <s v="April Perez"/>
        <s v="Mark Jenkins"/>
        <s v="Amy Gibson"/>
        <s v="Miranda Williams"/>
        <s v="Michael Reed"/>
        <s v="Steven Dixon"/>
        <s v="Richard Scott"/>
        <s v="Elijah Johnson"/>
        <s v="Michael Vincent"/>
        <s v="Christina Parks"/>
        <s v="Charles Fields"/>
        <s v="Angela Jones"/>
        <s v="Arthur Mayer"/>
        <s v="Kimberly Choi"/>
        <s v="Fred Stone"/>
        <s v="Jasmine Young"/>
        <s v="Mary Wise"/>
        <s v="Brett Wilson"/>
        <s v="Stephen Hernandez"/>
        <s v="Nicole Phillips"/>
        <s v="Cindy Williams"/>
        <s v="Steven Hogan"/>
        <s v="Hector Jones"/>
        <s v="Alison Sloan"/>
        <s v="Cameron Jackson"/>
        <s v="Mrs. Kaitlyn Lopez"/>
        <s v="Keith Parker"/>
        <s v="Carla Cabrera"/>
        <s v="Anthony Moore"/>
        <s v="John Ward"/>
        <s v="James Jackson"/>
        <s v="Donald Paul"/>
        <s v="Jonathan Henderson"/>
        <s v="Luis Ortiz"/>
        <s v="Ashley Peters"/>
        <s v="Amber Jefferson"/>
        <s v="William Robinson"/>
        <s v="Tracy Bennett"/>
        <s v="Kevin Mosley"/>
        <s v="Peter Russell"/>
        <s v="Jeffrey Huang"/>
        <s v="Cassandra Kennedy"/>
        <s v="Melissa Chavez"/>
        <s v="Eric Joseph"/>
        <s v="Laura Fischer"/>
        <s v="Steven Walker"/>
        <s v="Kelli Martin"/>
        <s v="Joseph Daniels"/>
        <s v="Maurice Rodriguez"/>
        <s v="Danielle Russell"/>
        <s v="Kathy Harris"/>
        <s v="Alyssa Cruz"/>
        <s v="Theresa Todd"/>
        <s v="Lisa Gonzalez"/>
        <s v="Charles Aguilar"/>
        <s v="Richard Douglas"/>
        <s v="Maureen Brown"/>
        <s v="Robin Smith"/>
        <s v="Samuel Roberson"/>
        <s v="Maria Andersen"/>
        <s v="Elizabeth Garrett"/>
        <s v="Mary Moses"/>
        <s v="Christopher Craig"/>
        <s v="Brittany Marshall"/>
        <s v="Anthony Peterson"/>
        <s v="Phyllis Gordon"/>
        <s v="Theresa Smith"/>
        <s v="Gregory Adkins"/>
        <s v="James Adams"/>
        <s v="Latoya Williams"/>
        <s v="Christopher Baker"/>
        <s v="Tiffany Davis"/>
        <s v="Chris Cruz"/>
        <s v="Cory Page"/>
        <s v="Mr. Ronald King MD"/>
        <s v="Pamela Cain"/>
        <s v="Steven Webb"/>
        <s v="Sara Gardner"/>
        <s v="Stanley Bates"/>
        <s v="Sherry Ramirez"/>
        <s v="Cynthia Hester"/>
        <s v="Melissa Mccormick"/>
        <s v="Nicole Rivera"/>
        <s v="Jennifer Everett"/>
        <s v="Juan Hayden"/>
        <s v="Gavin Wilson"/>
        <s v="Katie Contreras"/>
        <s v="Paula Morton"/>
        <s v="Andre Peterson"/>
        <s v="Melanie Buchanan"/>
        <s v="Tracy Knight"/>
        <s v="Andrea Robinson"/>
        <s v="Kathleen Blake"/>
        <s v="Corey Glass"/>
        <s v="Glenn Gonzalez"/>
        <s v="Antonio Cooley"/>
        <s v="Kimberly Sanders"/>
        <s v="Megan Mendez"/>
        <s v="Melinda Crawford"/>
        <s v="Nicole Goodwin"/>
        <s v="Alicia Franklin"/>
        <s v="Mr. Michael Johnston"/>
        <s v="Evelyn Miller"/>
        <s v="Shannon Green"/>
        <s v="Dylan White"/>
        <s v="Adam Merritt"/>
        <s v="Michael Mcdonald"/>
        <s v="Michael Beck"/>
        <s v="David Lewis"/>
        <s v="David Randall"/>
        <s v="Tiffany Hayden"/>
        <s v="Tamara Valenzuela"/>
        <s v="Amber Fischer"/>
        <s v="Mr. Christopher Wright"/>
        <s v="Jonathan Tapia"/>
        <s v="Kaylee Smith"/>
        <s v="Dustin Duncan"/>
        <s v="Dr. Karen Arnold"/>
        <s v="Jimmy Smith"/>
        <s v="Timothy Beck"/>
        <s v="Kyle Mccarthy"/>
        <s v="Morgan Walton"/>
        <s v="Craig Young"/>
        <s v="Keith Hart"/>
        <s v="Natalie Hendrix"/>
        <s v="Julie Haynes"/>
        <s v="Jordan Taylor"/>
        <s v="Daniel Black"/>
        <s v="James Ali"/>
        <s v="Derek Tucker"/>
        <s v="Brendan Kennedy"/>
        <s v="Jose Collins"/>
        <s v="Angelica Wheeler"/>
        <s v="Robert Allen"/>
        <s v="Tracey Jackson"/>
        <s v="Ann Harrison"/>
        <s v="Kayla Hunter"/>
        <s v="Richard Wood"/>
        <s v="Mrs. Jennifer Monroe MD"/>
        <s v="Mrs. Veronica Steele"/>
        <s v="Donna Sanchez"/>
        <s v="David Harris"/>
        <s v="Robert Meadows"/>
        <s v="Corey Gonzalez"/>
        <s v="Matthew Hays"/>
        <s v="Brenda Walker"/>
        <s v="Susan Vazquez"/>
        <s v="Lisa Stevens"/>
        <s v="Dennis Ochoa"/>
        <s v="Matthew Charles"/>
        <s v="David George"/>
        <s v="Paul Cortez"/>
        <s v="Monica Young"/>
        <s v="Alex Parker"/>
        <s v="Mandy Sloan"/>
        <s v="Cathy Bond"/>
        <s v="Elizabeth Thompson"/>
        <s v="Karen Randolph"/>
        <s v="Robert Greene"/>
        <s v="Brenda Richards"/>
        <s v="Laurie Garcia"/>
        <s v="Brenda Robinson"/>
        <s v="Jacob Huber"/>
        <s v="Dominic Wilson"/>
        <s v="Jennifer Dennis"/>
        <s v="Tina Hooper"/>
        <s v="Anthony Young"/>
        <s v="Heather Davis"/>
        <s v="Kyle Boyer"/>
        <s v="Amy Garza"/>
        <s v="Jessica Roman"/>
        <s v="Brian Terrell"/>
        <s v="Daniel Mitchell"/>
        <s v="Cynthia Hinton"/>
        <s v="Robert Diaz"/>
        <s v="Jacob Martin"/>
        <s v="Emily Simmons"/>
        <s v="Douglas Walker"/>
        <s v="Carlos Dixon"/>
        <s v="Barbara Miller"/>
        <s v="Shawn Miller"/>
        <s v="Steven White"/>
        <s v="Todd Waller"/>
        <s v="Shannon Stokes"/>
        <s v="Jose Lee"/>
        <s v="Michael White"/>
        <s v="Patrick Fuller"/>
        <s v="Mrs. Charlotte Anderson"/>
        <s v="Daniel Williams"/>
        <s v="Ashley Moody"/>
        <s v="Jonathan Gonzalez"/>
        <s v="Gabriel Martin"/>
        <s v="Carmen Chen"/>
        <s v="Pamela Hoover"/>
        <s v="Angela Morgan"/>
        <s v="Justin Beck"/>
        <s v="Danielle Chapman"/>
        <s v="Jason Le"/>
        <s v="Linda Shaw"/>
        <s v="Jennifer Nichols"/>
        <s v="Kellie Hall"/>
        <s v="Angela Camacho"/>
        <s v="Michael Diaz"/>
        <s v="James Lloyd"/>
        <s v="Brian Jackson"/>
        <s v="Richard Haas"/>
        <s v="Melanie Blackburn"/>
        <s v="Melissa Santiago"/>
        <s v="Christine Nelson"/>
        <s v="Noah Scott"/>
        <s v="Jonathan Johnson"/>
        <s v="Terri Johnson"/>
        <s v="Chelsey Alexander"/>
        <s v="Mr. William Matthews"/>
        <s v="Richard Escobar"/>
        <s v="James Spears"/>
        <s v="Clifford Chapman"/>
        <s v="Lisa Johnson"/>
        <s v="Rodney Haney"/>
        <s v="Kyle Johnson"/>
        <s v="David Warren"/>
        <s v="Leslie Turner"/>
        <s v="Beth Wilson"/>
        <s v="Melinda Chen"/>
        <s v="Jill Jones"/>
        <s v="Erica Webster"/>
        <s v="Cameron Rice"/>
        <s v="Carol Stark"/>
        <s v="Mr. Jimmy Robles"/>
        <s v="Danielle Jenkins"/>
        <s v="Alvin Brown"/>
        <s v="Daniel Miller MD"/>
        <s v="Jennifer Kennedy"/>
        <s v="Monica Perry"/>
        <s v="Charles Russell"/>
        <s v="Phyllis Miller"/>
        <s v="Thomas Vance"/>
        <s v="Joshua Jones"/>
        <s v="Aaron Clark"/>
        <s v="Kimberly Chan"/>
        <s v="Kathy Quinn"/>
        <s v="Kristie Wright"/>
        <s v="Adam Woods"/>
        <s v="Kimberly Klein"/>
        <s v="Thomas Curry"/>
        <s v="Richard Booth"/>
        <s v="Maria Brown"/>
        <s v="John Edwards"/>
        <s v="Alicia Campbell"/>
        <s v="David Barnes"/>
        <s v="Allison Smith"/>
        <s v="Randall Garner"/>
        <s v="Lindsey Kennedy"/>
        <s v="Kathleen Flynn"/>
        <s v="Lauren Brewer"/>
        <s v="Jennifer Hanson"/>
        <s v="Curtis Gibbs"/>
        <s v="Stephen Henry"/>
        <s v="James Davidson"/>
        <s v="Theresa Newman"/>
        <s v="William Everett"/>
        <s v="Julie Cooley"/>
        <s v="Hailey Gonzales"/>
        <s v="Elizabeth Dodson"/>
        <s v="Regina Mccall"/>
        <s v="Kathy Mcmillan"/>
        <s v="Brett Moore"/>
        <s v="Catherine Thomas"/>
        <s v="Brooke Rodgers"/>
        <s v="Shelly Johnson"/>
        <s v="Lisa Meadows"/>
        <s v="Pamela Torres"/>
        <s v="George Taylor"/>
        <s v="Anthony Webb"/>
        <s v="Alex Graham"/>
        <s v="Mary Brown"/>
        <s v="Samuel Castaneda"/>
        <s v="Adrian Lopez"/>
        <s v="Kristin Thompson"/>
        <s v="Patrick Jones"/>
        <s v="Calvin Summers"/>
        <s v="Jamie Zamora"/>
        <s v="Anthony Mcpherson"/>
        <s v="Elaine Ramirez"/>
        <s v="Kristina Reed"/>
        <s v="Amanda Hill"/>
        <s v="Stephanie Gonzalez"/>
        <s v="Diane Young"/>
        <s v="Catherine Pratt"/>
        <s v="Kimberly Smith"/>
        <s v="Wendy Terry"/>
        <s v="Monica Cabrera"/>
        <s v="Elizabeth Christensen"/>
        <s v="Joseph Hammond"/>
        <s v="Donald Vasquez"/>
        <s v="Alexander Green"/>
        <s v="Dr. Sandra Stark"/>
        <s v="Douglas Haley"/>
        <s v="Richard Pacheco"/>
        <s v="Samuel Thompson"/>
        <s v="Jeffrey Gray"/>
        <s v="Amy Rodriguez"/>
        <s v="Andrew Neal"/>
        <s v="Barbara Levy"/>
        <s v="Heather Curtis"/>
        <s v="Ernest Brown"/>
        <s v="Randall Russell"/>
        <s v="Brian Kirk"/>
        <s v="Peter Cunningham"/>
        <s v="Shane Merritt"/>
        <s v="Brianna Rodriguez"/>
        <s v="Henry Bauer"/>
        <s v="Madison Stokes"/>
        <s v="Susan Chavez"/>
        <s v="Joseph Smith"/>
        <s v="Melanie Wiggins"/>
        <s v="Elizabeth Perry PhD"/>
        <s v="Bryan Williamson"/>
        <s v="Heidi Martinez"/>
        <s v="Kenneth Salinas"/>
        <s v="Deborah Krause"/>
        <s v="Todd Watson"/>
        <s v="Sherri Bean"/>
        <s v="Olivia Campbell"/>
        <s v="Terri Osborne"/>
        <s v="Ronald Johnson"/>
        <s v="Barbara Richardson"/>
        <s v="Glenda Foley"/>
        <s v="Kristin Gross"/>
        <s v="Mary James"/>
        <s v="Jason Singh"/>
        <s v="Timothy Rodriguez"/>
        <s v="Michael Rivera"/>
        <s v="Ann Bryant"/>
        <s v="Michael Ray"/>
        <s v="Diana Herrera"/>
        <s v="Anthony Herrera"/>
        <s v="Sophia Alvarez"/>
        <s v="Michael Curtis"/>
        <s v="Joseph Dickson"/>
        <s v="Mark Miller"/>
        <s v="Patrick Woods"/>
        <s v="Joshua Flores"/>
        <s v="Cynthia Arnold"/>
        <s v="Melissa Mitchell"/>
        <s v="Holly Hendricks"/>
        <s v="Michael Mitchell"/>
        <s v="Jessica Griffin"/>
        <s v="Kevin Jensen"/>
        <s v="Daniel Bates"/>
        <s v="Alexander Morgan"/>
        <s v="Cynthia Fitzgerald"/>
        <s v="Amy Obrien"/>
        <s v="Miss Dawn Cook"/>
        <s v="Cindy Flynn"/>
        <s v="Jennifer Alexander"/>
        <s v="Kelly White"/>
        <s v="Kayla Scott"/>
        <s v="Pamela Daniels"/>
        <s v="Teresa Jordan"/>
        <s v="Alexander Mcmillan"/>
        <s v="Cassandra Baker"/>
        <s v="Daniel Jones"/>
        <s v="Thomas Ward"/>
        <s v="Andrew King"/>
        <s v="Richard Medina"/>
        <s v="Heather Parks"/>
        <s v="Jacob Bennett"/>
        <s v="William Harrell"/>
        <s v="Robert Maxwell"/>
        <s v="Daniel West"/>
        <s v="John Duncan"/>
        <s v="Bradley Giles"/>
        <s v="Stephanie Peterson"/>
        <s v="Emma Ramirez"/>
        <s v="Emma Bender"/>
        <s v="Christina Hayes"/>
        <s v="Mrs. Jacqueline Henry"/>
        <s v="Deanna Lyons"/>
        <s v="Brandon Nicholson"/>
        <s v="Heather Rodriguez"/>
        <s v="Kayla Cooley"/>
        <s v="Lisa Swanson"/>
        <s v="Melissa Thomas"/>
        <s v="Raymond Perez"/>
        <s v="Hector Bentley"/>
        <s v="Richard Morris"/>
        <s v="Joseph Ford"/>
        <s v="Nathan Boyd"/>
        <s v="Christopher Anderson"/>
        <s v="David Nelson"/>
        <s v="David Yu"/>
        <s v="Robyn Vang"/>
        <s v="Jessica Thompson"/>
        <s v="Christopher Miller"/>
        <s v="Mark Becker"/>
        <s v="Michelle Chandler"/>
        <s v="Jason Davis"/>
        <s v="Erica Cummings"/>
        <s v="James Herring"/>
        <s v="Robin Stone"/>
        <s v="Alexander Torres"/>
        <s v="Bradley King"/>
        <s v="Matthew Delgado"/>
        <s v="Diane Watts"/>
        <s v="Jennifer Phillips"/>
        <s v="Larry Smith"/>
        <s v="Michael Davies"/>
        <s v="Stephen Sharp"/>
        <s v="Joshua Perez"/>
        <s v="Eric Chavez"/>
        <s v="Jordan Sanchez"/>
        <s v="Abigail Morgan"/>
        <s v="Nicholas Taylor MD"/>
        <s v="Dr. Alexis Lopez"/>
        <s v="Cheyenne Kidd"/>
        <s v="Melissa Farley"/>
        <s v="Olivia Williams"/>
        <s v="Omar Thomas"/>
        <s v="Paula Burnett"/>
        <s v="Alexander Cruz"/>
        <s v="Kathleen Brandt"/>
        <s v="Richard Robinson"/>
        <s v="Shawn Charles"/>
        <s v="Wanda Nguyen"/>
        <s v="Brenda Jennings"/>
        <s v="Matthew Greene"/>
        <s v="Amanda Washington"/>
        <s v="Gabriel Flowers"/>
        <s v="Sandra Serrano"/>
        <s v="Daniel Sanchez"/>
        <s v="Amy Robinson"/>
        <s v="Jonathan Knox"/>
        <s v="Melissa Jones"/>
        <s v="Laura Murphy"/>
        <s v="Wendy Salazar"/>
        <s v="Katherine Stephens"/>
        <s v="James Cantu"/>
        <s v="Sherry White"/>
        <s v="Nicholas Duncan"/>
        <s v="Lucas Ortiz"/>
        <s v="Jennifer Green"/>
        <s v="Kimberly Carter"/>
        <s v="Erica Newton"/>
        <s v="Gerald Wolf"/>
        <s v="Joseph Pratt"/>
        <s v="Randy Patterson"/>
        <s v="Sheila Larson"/>
        <s v="Sylvia White"/>
        <s v="Katie Smith DVM"/>
        <s v="Jacob Byrd"/>
        <s v="Michael Douglas"/>
        <s v="Alyssa Hensley"/>
        <s v="Sarah Maddox"/>
        <s v="Stephanie Woods"/>
        <s v="Steven Clarke"/>
        <s v="Julie Krueger"/>
        <s v="Larry James"/>
        <s v="Ian Butler"/>
        <s v="Lori Taylor"/>
        <s v="Kevin Jones"/>
        <s v="Brian Lopez"/>
        <s v="Amanda Gonzalez"/>
        <s v="Kevin Alexander"/>
        <s v="Shannon Evans"/>
        <s v="Edgar Yang"/>
        <s v="Jesus Acosta"/>
        <s v="Denise Singleton"/>
        <s v="Jason Velasquez"/>
        <s v="Austin Ramos"/>
        <s v="Jeremy Peterson"/>
        <s v="Christie Lawson"/>
        <s v="James Berger"/>
        <s v="Laura Miller"/>
        <s v="Joseph Baker"/>
        <s v="Oscar Wilson"/>
        <s v="Ryan Cobb"/>
        <s v="Amanda Boyd"/>
        <s v="Benjamin Adams"/>
        <s v="Christopher Lyons"/>
        <s v="Dale Singleton"/>
        <s v="Elizabeth King PhD"/>
        <s v="Larry Miller"/>
        <s v="John Ortiz"/>
        <s v="Cody Dunlap"/>
        <s v="Tiffany Sandoval"/>
        <s v="James Perkins"/>
        <s v="Angela Lopez"/>
        <s v="Kristy Johnson"/>
        <s v="Anthony Barker"/>
        <s v="Tami Lester"/>
        <s v="James Lawson"/>
        <s v="Cody Jones"/>
        <s v="Chelsea Lyons"/>
        <s v="Lindsay Vargas"/>
        <s v="Ivan Stanley"/>
        <s v="Mark Simmons"/>
        <s v="Lori Hubbard"/>
        <s v="Jennifer Brown"/>
        <s v="Tyler Underwood III"/>
        <s v="Cindy Daniels"/>
        <s v="Tina Kent"/>
        <s v="Crystal Weaver"/>
        <s v="Ashley Luna"/>
        <s v="Margaret Colon"/>
        <s v="Rebecca Freeman"/>
        <s v="Lisa Hudson"/>
        <s v="Natalie Flores"/>
        <s v="Timothy Martin"/>
        <s v="Jacqueline Caldwell"/>
        <s v="Anthony Keith"/>
        <s v="Brett Gibbs"/>
        <s v="George Anderson"/>
        <s v="Stacy Henson"/>
        <s v="Samantha Hooper"/>
        <s v="James Crawford"/>
        <s v="Steven Johnson"/>
        <s v="Jill Barnes"/>
        <s v="James Jones"/>
        <s v="Chad Murphy"/>
        <s v="Jasmine Robinson"/>
        <s v="Sara Smith"/>
        <s v="Zachary Schultz"/>
      </sharedItems>
    </cacheField>
    <cacheField name="Department" numFmtId="0">
      <sharedItems count="7">
        <s v="Customer Support"/>
        <s v="Finance"/>
        <s v="IT"/>
        <s v="R&amp;D"/>
        <s v="Marketing"/>
        <s v="HR"/>
        <s v="Operations"/>
      </sharedItems>
    </cacheField>
    <cacheField name="Project_Name" numFmtId="0">
      <sharedItems count="6">
        <s v="Hermes"/>
        <s v="Orion"/>
        <s v="Apollo"/>
        <s v="Neptune"/>
        <s v="Athena"/>
        <s v="Zephyr"/>
      </sharedItems>
    </cacheField>
    <cacheField name="Task_Status" numFmtId="0">
      <sharedItems count="4">
        <s v="Completed"/>
        <s v="In Progress"/>
        <s v="On Hold"/>
        <s v="Not Started"/>
      </sharedItems>
    </cacheField>
    <cacheField name="Hours_Spent" numFmtId="0">
      <sharedItems containsSemiMixedTypes="0" containsString="0" containsNumber="1" minValue="1.02" maxValue="39.979999999999997" count="1250">
        <n v="31.24"/>
        <n v="29.13"/>
        <n v="16.489999999999998"/>
        <n v="20.059999999999999"/>
        <n v="34.299999999999997"/>
        <n v="33.79"/>
        <n v="17.809999999999999"/>
        <n v="22.11"/>
        <n v="22.7"/>
        <n v="25.73"/>
        <n v="32.229999999999997"/>
        <n v="26.44"/>
        <n v="34.479999999999997"/>
        <n v="35.46"/>
        <n v="31.68"/>
        <n v="8.68"/>
        <n v="30.69"/>
        <n v="3.32"/>
        <n v="14.19"/>
        <n v="34.409999999999997"/>
        <n v="8.65"/>
        <n v="29.32"/>
        <n v="16.23"/>
        <n v="20.02"/>
        <n v="39.090000000000003"/>
        <n v="23.03"/>
        <n v="21.17"/>
        <n v="23.92"/>
        <n v="12.18"/>
        <n v="22.64"/>
        <n v="31.17"/>
        <n v="35.94"/>
        <n v="31.39"/>
        <n v="7.91"/>
        <n v="7.43"/>
        <n v="5.66"/>
        <n v="21.33"/>
        <n v="32.58"/>
        <n v="39.81"/>
        <n v="13.15"/>
        <n v="4.25"/>
        <n v="30.04"/>
        <n v="10.3"/>
        <n v="6.85"/>
        <n v="25.95"/>
        <n v="12.56"/>
        <n v="25.32"/>
        <n v="20.49"/>
        <n v="10.25"/>
        <n v="35.25"/>
        <n v="12.26"/>
        <n v="4.7699999999999996"/>
        <n v="16.62"/>
        <n v="21.2"/>
        <n v="9.94"/>
        <n v="3.41"/>
        <n v="28.64"/>
        <n v="24.64"/>
        <n v="13.51"/>
        <n v="19.88"/>
        <n v="6.71"/>
        <n v="15.02"/>
        <n v="33.479999999999997"/>
        <n v="31.34"/>
        <n v="5.35"/>
        <n v="21.38"/>
        <n v="7.58"/>
        <n v="20.64"/>
        <n v="13.14"/>
        <n v="37.99"/>
        <n v="31.67"/>
        <n v="29.39"/>
        <n v="30.92"/>
        <n v="24.21"/>
        <n v="1.68"/>
        <n v="8.5299999999999994"/>
        <n v="15.92"/>
        <n v="23.59"/>
        <n v="6.13"/>
        <n v="34.53"/>
        <n v="18.89"/>
        <n v="36.81"/>
        <n v="26.36"/>
        <n v="5.38"/>
        <n v="8.1999999999999993"/>
        <n v="3.5"/>
        <n v="20.63"/>
        <n v="6.58"/>
        <n v="5.4"/>
        <n v="34.590000000000003"/>
        <n v="32.840000000000003"/>
        <n v="6.93"/>
        <n v="3.72"/>
        <n v="20.309999999999999"/>
        <n v="5.86"/>
        <n v="32.380000000000003"/>
        <n v="23.16"/>
        <n v="2.37"/>
        <n v="25.55"/>
        <n v="11.06"/>
        <n v="29.38"/>
        <n v="14.3"/>
        <n v="4.1500000000000004"/>
        <n v="17.66"/>
        <n v="23.38"/>
        <n v="6.61"/>
        <n v="21.48"/>
        <n v="17.190000000000001"/>
        <n v="38.69"/>
        <n v="35.24"/>
        <n v="38.409999999999997"/>
        <n v="11.83"/>
        <n v="20.149999999999999"/>
        <n v="39.39"/>
        <n v="35.659999999999997"/>
        <n v="22.67"/>
        <n v="30.11"/>
        <n v="19.64"/>
        <n v="8.5"/>
        <n v="2.36"/>
        <n v="9.14"/>
        <n v="23.42"/>
        <n v="26.82"/>
        <n v="19.43"/>
        <n v="21.07"/>
        <n v="38.67"/>
        <n v="38.619999999999997"/>
        <n v="2.21"/>
        <n v="26.24"/>
        <n v="2.5099999999999998"/>
        <n v="16.329999999999998"/>
        <n v="37.24"/>
        <n v="12.45"/>
        <n v="21.06"/>
        <n v="27.61"/>
        <n v="10.65"/>
        <n v="13.52"/>
        <n v="7.09"/>
        <n v="17.59"/>
        <n v="10.59"/>
        <n v="29.72"/>
        <n v="31.94"/>
        <n v="32.19"/>
        <n v="31.02"/>
        <n v="31.98"/>
        <n v="20.3"/>
        <n v="3.53"/>
        <n v="6.24"/>
        <n v="15.6"/>
        <n v="38.08"/>
        <n v="1.88"/>
        <n v="14.97"/>
        <n v="14.95"/>
        <n v="4.2300000000000004"/>
        <n v="15.25"/>
        <n v="15.75"/>
        <n v="11.08"/>
        <n v="23.66"/>
        <n v="8.4600000000000009"/>
        <n v="34.15"/>
        <n v="35.81"/>
        <n v="19.440000000000001"/>
        <n v="5.96"/>
        <n v="22.26"/>
        <n v="19.350000000000001"/>
        <n v="35.33"/>
        <n v="27.17"/>
        <n v="28.23"/>
        <n v="16.54"/>
        <n v="9.31"/>
        <n v="6.51"/>
        <n v="1.19"/>
        <n v="19.78"/>
        <n v="11.39"/>
        <n v="4.47"/>
        <n v="2.54"/>
        <n v="15.54"/>
        <n v="39.119999999999997"/>
        <n v="36.869999999999997"/>
        <n v="33.76"/>
        <n v="10.52"/>
        <n v="18.510000000000002"/>
        <n v="22.28"/>
        <n v="2.4300000000000002"/>
        <n v="35.53"/>
        <n v="36.57"/>
        <n v="27.64"/>
        <n v="21.88"/>
        <n v="34.5"/>
        <n v="25.48"/>
        <n v="1.17"/>
        <n v="37.340000000000003"/>
        <n v="6.67"/>
        <n v="1.25"/>
        <n v="3.37"/>
        <n v="23.09"/>
        <n v="22.5"/>
        <n v="19.55"/>
        <n v="4.43"/>
        <n v="5.55"/>
        <n v="29.27"/>
        <n v="34.799999999999997"/>
        <n v="31.19"/>
        <n v="9.08"/>
        <n v="39.89"/>
        <n v="11.79"/>
        <n v="9.7200000000000006"/>
        <n v="31.01"/>
        <n v="26.09"/>
        <n v="22.96"/>
        <n v="32.94"/>
        <n v="27.21"/>
        <n v="17.329999999999998"/>
        <n v="22.63"/>
        <n v="7.17"/>
        <n v="23.55"/>
        <n v="5.01"/>
        <n v="5.46"/>
        <n v="10.15"/>
        <n v="26.67"/>
        <n v="13.69"/>
        <n v="23.87"/>
        <n v="19.63"/>
        <n v="2.59"/>
        <n v="17.350000000000001"/>
        <n v="4.4800000000000004"/>
        <n v="5.9"/>
        <n v="26.94"/>
        <n v="5.05"/>
        <n v="24.45"/>
        <n v="27.27"/>
        <n v="3.77"/>
        <n v="30.99"/>
        <n v="7.37"/>
        <n v="20.93"/>
        <n v="29.04"/>
        <n v="25.78"/>
        <n v="18.239999999999998"/>
        <n v="17.16"/>
        <n v="29.24"/>
        <n v="30.01"/>
        <n v="10.53"/>
        <n v="31.25"/>
        <n v="12.91"/>
        <n v="9.1300000000000008"/>
        <n v="28.82"/>
        <n v="14.18"/>
        <n v="1.33"/>
        <n v="6.92"/>
        <n v="24.02"/>
        <n v="27.42"/>
        <n v="25.97"/>
        <n v="37.78"/>
        <n v="22.79"/>
        <n v="18.96"/>
        <n v="28.16"/>
        <n v="14.43"/>
        <n v="28.1"/>
        <n v="21.76"/>
        <n v="2.72"/>
        <n v="3.1"/>
        <n v="26.07"/>
        <n v="20.74"/>
        <n v="5.65"/>
        <n v="20.65"/>
        <n v="20.92"/>
        <n v="1.4"/>
        <n v="39.770000000000003"/>
        <n v="11.92"/>
        <n v="38.950000000000003"/>
        <n v="1.81"/>
        <n v="30.51"/>
        <n v="1.18"/>
        <n v="3.02"/>
        <n v="8.91"/>
        <n v="28.79"/>
        <n v="29.16"/>
        <n v="25.82"/>
        <n v="33.57"/>
        <n v="30.91"/>
        <n v="16.39"/>
        <n v="26.69"/>
        <n v="23.21"/>
        <n v="33.020000000000003"/>
        <n v="34.21"/>
        <n v="16.27"/>
        <n v="38.19"/>
        <n v="12"/>
        <n v="21.12"/>
        <n v="39.799999999999997"/>
        <n v="39.61"/>
        <n v="7.24"/>
        <n v="13.26"/>
        <n v="12.67"/>
        <n v="11.51"/>
        <n v="31.72"/>
        <n v="3.85"/>
        <n v="25.19"/>
        <n v="37"/>
        <n v="35.36"/>
        <n v="27.59"/>
        <n v="2.13"/>
        <n v="17.7"/>
        <n v="6.1"/>
        <n v="15"/>
        <n v="39.270000000000003"/>
        <n v="32.340000000000003"/>
        <n v="9.4700000000000006"/>
        <n v="36.950000000000003"/>
        <n v="35.130000000000003"/>
        <n v="26.48"/>
        <n v="15.37"/>
        <n v="33.19"/>
        <n v="14.08"/>
        <n v="30.75"/>
        <n v="31.15"/>
        <n v="8.93"/>
        <n v="31.56"/>
        <n v="10.1"/>
        <n v="29.6"/>
        <n v="16.07"/>
        <n v="1.5"/>
        <n v="6.75"/>
        <n v="25.67"/>
        <n v="31.78"/>
        <n v="29.2"/>
        <n v="3.57"/>
        <n v="10.97"/>
        <n v="27.35"/>
        <n v="11.44"/>
        <n v="30.61"/>
        <n v="29.87"/>
        <n v="4.72"/>
        <n v="17.91"/>
        <n v="7.3"/>
        <n v="7.36"/>
        <n v="15.3"/>
        <n v="8.9700000000000006"/>
        <n v="19.02"/>
        <n v="38.549999999999997"/>
        <n v="36.72"/>
        <n v="33.159999999999997"/>
        <n v="35.71"/>
        <n v="22.15"/>
        <n v="39.49"/>
        <n v="12.05"/>
        <n v="8.41"/>
        <n v="14.75"/>
        <n v="8.36"/>
        <n v="14.94"/>
        <n v="30.93"/>
        <n v="8.2899999999999991"/>
        <n v="4.9400000000000004"/>
        <n v="32.130000000000003"/>
        <n v="35.17"/>
        <n v="30.06"/>
        <n v="4.8899999999999997"/>
        <n v="36.07"/>
        <n v="25.42"/>
        <n v="14.69"/>
        <n v="4.01"/>
        <n v="19.09"/>
        <n v="33.229999999999997"/>
        <n v="13.41"/>
        <n v="30.23"/>
        <n v="4.24"/>
        <n v="24.8"/>
        <n v="39.08"/>
        <n v="33.71"/>
        <n v="34.229999999999997"/>
        <n v="19.96"/>
        <n v="21.14"/>
        <n v="18.93"/>
        <n v="6.83"/>
        <n v="34.950000000000003"/>
        <n v="29.15"/>
        <n v="21.31"/>
        <n v="35.54"/>
        <n v="5.84"/>
        <n v="4.0599999999999996"/>
        <n v="7.35"/>
        <n v="32.880000000000003"/>
        <n v="10.82"/>
        <n v="14.31"/>
        <n v="5.34"/>
        <n v="31.63"/>
        <n v="18.88"/>
        <n v="20.98"/>
        <n v="8.61"/>
        <n v="34.86"/>
        <n v="11.03"/>
        <n v="26.76"/>
        <n v="1.92"/>
        <n v="37.75"/>
        <n v="6.48"/>
        <n v="29.21"/>
        <n v="2.34"/>
        <n v="16"/>
        <n v="9.89"/>
        <n v="2.88"/>
        <n v="8.11"/>
        <n v="3.19"/>
        <n v="16.34"/>
        <n v="9.77"/>
        <n v="18.29"/>
        <n v="34.69"/>
        <n v="10.98"/>
        <n v="37.200000000000003"/>
        <n v="7.06"/>
        <n v="29.51"/>
        <n v="15.89"/>
        <n v="10.96"/>
        <n v="15.76"/>
        <n v="18.54"/>
        <n v="7.02"/>
        <n v="35.79"/>
        <n v="13.42"/>
        <n v="20.67"/>
        <n v="24.25"/>
        <n v="10.27"/>
        <n v="22.32"/>
        <n v="7.52"/>
        <n v="35.07"/>
        <n v="28.77"/>
        <n v="6.53"/>
        <n v="33.450000000000003"/>
        <n v="27.01"/>
        <n v="11.25"/>
        <n v="24.58"/>
        <n v="1.02"/>
        <n v="20.51"/>
        <n v="9.68"/>
        <n v="36.61"/>
        <n v="18.809999999999999"/>
        <n v="29.55"/>
        <n v="18.13"/>
        <n v="32.89"/>
        <n v="26.85"/>
        <n v="24.43"/>
        <n v="21.97"/>
        <n v="25.25"/>
        <n v="6.22"/>
        <n v="7.4"/>
        <n v="14.5"/>
        <n v="39.6"/>
        <n v="23.75"/>
        <n v="4.83"/>
        <n v="15.32"/>
        <n v="18.04"/>
        <n v="24.84"/>
        <n v="36.630000000000003"/>
        <n v="12.61"/>
        <n v="13.67"/>
        <n v="20.86"/>
        <n v="18.37"/>
        <n v="31.87"/>
        <n v="30.25"/>
        <n v="13.87"/>
        <n v="21.65"/>
        <n v="1.86"/>
        <n v="1.65"/>
        <n v="2.23"/>
        <n v="18.14"/>
        <n v="17.13"/>
        <n v="24.61"/>
        <n v="7.14"/>
        <n v="37.28"/>
        <n v="15.81"/>
        <n v="4.84"/>
        <n v="38.17"/>
        <n v="30.96"/>
        <n v="13.97"/>
        <n v="39.450000000000003"/>
        <n v="24.34"/>
        <n v="21.5"/>
        <n v="36.909999999999997"/>
        <n v="16.41"/>
        <n v="20.59"/>
        <n v="28.52"/>
        <n v="24.04"/>
        <n v="6.23"/>
        <n v="22.34"/>
        <n v="10.78"/>
        <n v="19.93"/>
        <n v="24.28"/>
        <n v="14.82"/>
        <n v="5.57"/>
        <n v="23.96"/>
        <n v="36.22"/>
        <n v="38.03"/>
        <n v="39.659999999999997"/>
        <n v="8.64"/>
        <n v="28.58"/>
        <n v="18.739999999999998"/>
        <n v="15.95"/>
        <n v="21.67"/>
        <n v="15.45"/>
        <n v="19.72"/>
        <n v="29.83"/>
        <n v="10.28"/>
        <n v="37.840000000000003"/>
        <n v="27.88"/>
        <n v="20.329999999999998"/>
        <n v="5.17"/>
        <n v="20.48"/>
        <n v="3.69"/>
        <n v="7.05"/>
        <n v="26.74"/>
        <n v="36.799999999999997"/>
        <n v="39.979999999999997"/>
        <n v="32.909999999999997"/>
        <n v="38.06"/>
        <n v="27.14"/>
        <n v="11.33"/>
        <n v="13.59"/>
        <n v="26.59"/>
        <n v="13.55"/>
        <n v="18.329999999999998"/>
        <n v="4"/>
        <n v="21.45"/>
        <n v="28.7"/>
        <n v="17.57"/>
        <n v="7.31"/>
        <n v="39.229999999999997"/>
        <n v="3.74"/>
        <n v="36.44"/>
        <n v="5.58"/>
        <n v="6.06"/>
        <n v="3.82"/>
        <n v="35.590000000000003"/>
        <n v="24.35"/>
        <n v="26.93"/>
        <n v="21.24"/>
        <n v="18.8"/>
        <n v="30.67"/>
        <n v="23.05"/>
        <n v="9.8699999999999992"/>
        <n v="13.16"/>
        <n v="7.6"/>
        <n v="4.29"/>
        <n v="10.64"/>
        <n v="2.17"/>
        <n v="2"/>
        <n v="31.36"/>
        <n v="34.68"/>
        <n v="8.49"/>
        <n v="4.8499999999999996"/>
        <n v="16.47"/>
        <n v="21.66"/>
        <n v="17.29"/>
        <n v="30.94"/>
        <n v="23.24"/>
        <n v="25.35"/>
        <n v="26.05"/>
        <n v="23.27"/>
        <n v="18.78"/>
        <n v="1.98"/>
        <n v="28.34"/>
        <n v="10.34"/>
        <n v="19.52"/>
        <n v="38.75"/>
        <n v="14.09"/>
        <n v="32.29"/>
        <n v="33.979999999999997"/>
        <n v="34.56"/>
        <n v="32.54"/>
        <n v="23.72"/>
        <n v="37.5"/>
        <n v="30.54"/>
        <n v="14.79"/>
        <n v="18.25"/>
        <n v="8.2100000000000009"/>
        <n v="38.11"/>
        <n v="8.98"/>
        <n v="16.57"/>
        <n v="39.340000000000003"/>
        <n v="29.8"/>
        <n v="1.28"/>
        <n v="6.54"/>
        <n v="25.2"/>
        <n v="12.99"/>
        <n v="25.17"/>
        <n v="34.32"/>
        <n v="14.38"/>
        <n v="1.9"/>
        <n v="12.89"/>
        <n v="12.95"/>
        <n v="16.22"/>
        <n v="26.49"/>
        <n v="33.880000000000003"/>
        <n v="34.25"/>
        <n v="32.17"/>
        <n v="37.729999999999997"/>
        <n v="8.15"/>
        <n v="15.12"/>
        <n v="31.2"/>
        <n v="5.03"/>
        <n v="2.25"/>
        <n v="38.51"/>
        <n v="37.159999999999997"/>
        <n v="32.79"/>
        <n v="15.14"/>
        <n v="12.23"/>
        <n v="37.869999999999997"/>
        <n v="7.7"/>
        <n v="1.58"/>
        <n v="35.39"/>
        <n v="11.36"/>
        <n v="28.78"/>
        <n v="33.17"/>
        <n v="32.6"/>
        <n v="24.95"/>
        <n v="15.79"/>
        <n v="21.56"/>
        <n v="28.05"/>
        <n v="17.43"/>
        <n v="3.76"/>
        <n v="27.4"/>
        <n v="23.5"/>
        <n v="10.54"/>
        <n v="5.21"/>
        <n v="16.61"/>
        <n v="26.14"/>
        <n v="25.11"/>
        <n v="35.82"/>
        <n v="17.260000000000002"/>
        <n v="36.5"/>
        <n v="1.73"/>
        <n v="11.18"/>
        <n v="15.29"/>
        <n v="39.31"/>
        <n v="35.49"/>
        <n v="11.94"/>
        <n v="11.72"/>
        <n v="39.369999999999997"/>
        <n v="9.56"/>
        <n v="37.86"/>
        <n v="13"/>
        <n v="36.69"/>
        <n v="15.51"/>
        <n v="7.08"/>
        <n v="38.909999999999997"/>
        <n v="8.85"/>
        <n v="7.67"/>
        <n v="32.67"/>
        <n v="38.6"/>
        <n v="30.7"/>
        <n v="35.369999999999997"/>
        <n v="13.05"/>
        <n v="23.33"/>
        <n v="14.56"/>
        <n v="5.67"/>
        <n v="18.86"/>
        <n v="1.79"/>
        <n v="6.35"/>
        <n v="21.05"/>
        <n v="18.95"/>
        <n v="21.35"/>
        <n v="9.73"/>
        <n v="13.19"/>
        <n v="21.32"/>
        <n v="1.67"/>
        <n v="2.1"/>
        <n v="4.38"/>
        <n v="21.77"/>
        <n v="37.880000000000003"/>
        <n v="33"/>
        <n v="4.5599999999999996"/>
        <n v="2.68"/>
        <n v="34.6"/>
        <n v="18.899999999999999"/>
        <n v="26.29"/>
        <n v="34.840000000000003"/>
        <n v="34.869999999999997"/>
        <n v="23.57"/>
        <n v="17.62"/>
        <n v="17.22"/>
        <n v="30.07"/>
        <n v="8.59"/>
        <n v="38.979999999999997"/>
        <n v="7.48"/>
        <n v="20.25"/>
        <n v="23.71"/>
        <n v="26.11"/>
        <n v="8.89"/>
        <n v="14.58"/>
        <n v="15.98"/>
        <n v="19.16"/>
        <n v="14.55"/>
        <n v="1.47"/>
        <n v="39.46"/>
        <n v="9.02"/>
        <n v="22.74"/>
        <n v="2.94"/>
        <n v="20.77"/>
        <n v="25.29"/>
        <n v="13.95"/>
        <n v="6.15"/>
        <n v="11.59"/>
        <n v="1.29"/>
        <n v="14.63"/>
        <n v="26.16"/>
        <n v="34.78"/>
        <n v="10.57"/>
        <n v="33.03"/>
        <n v="29.69"/>
        <n v="8.48"/>
        <n v="13.27"/>
        <n v="31.49"/>
        <n v="29.58"/>
        <n v="19.77"/>
        <n v="9.43"/>
        <n v="8.52"/>
        <n v="17.77"/>
        <n v="35.479999999999997"/>
        <n v="32.36"/>
        <n v="22.1"/>
        <n v="18.03"/>
        <n v="31.81"/>
        <n v="12.84"/>
        <n v="11.42"/>
        <n v="9.86"/>
        <n v="17.07"/>
        <n v="18.399999999999999"/>
        <n v="23.74"/>
        <n v="23.3"/>
        <n v="30.19"/>
        <n v="23.84"/>
        <n v="11.78"/>
        <n v="30.24"/>
        <n v="13.5"/>
        <n v="38.5"/>
        <n v="27.77"/>
        <n v="19.7"/>
        <n v="23.07"/>
        <n v="36.25"/>
        <n v="24.15"/>
        <n v="39.25"/>
        <n v="11.13"/>
        <n v="23.23"/>
        <n v="33.04"/>
        <n v="16.899999999999999"/>
        <n v="38.54"/>
        <n v="36.1"/>
        <n v="35.04"/>
        <n v="2.89"/>
        <n v="23.7"/>
        <n v="11.26"/>
        <n v="30.71"/>
        <n v="28.96"/>
        <n v="34.18"/>
        <n v="29.31"/>
        <n v="18.75"/>
        <n v="21.84"/>
        <n v="4.63"/>
        <n v="11.31"/>
        <n v="31.31"/>
        <n v="21.81"/>
        <n v="22.48"/>
        <n v="11.12"/>
        <n v="26.27"/>
        <n v="16.7"/>
        <n v="17.579999999999998"/>
        <n v="18.87"/>
        <n v="6.09"/>
        <n v="6.03"/>
        <n v="5.47"/>
        <n v="28.3"/>
        <n v="22.91"/>
        <n v="6.65"/>
        <n v="11.24"/>
        <n v="24.12"/>
        <n v="34.74"/>
        <n v="20.52"/>
        <n v="17.600000000000001"/>
        <n v="8.6300000000000008"/>
        <n v="26.73"/>
        <n v="10.19"/>
        <n v="37.32"/>
        <n v="9.3800000000000008"/>
        <n v="32.04"/>
        <n v="17.100000000000001"/>
        <n v="11.89"/>
        <n v="38.4"/>
        <n v="15.87"/>
        <n v="20.350000000000001"/>
        <n v="4.79"/>
        <n v="11.29"/>
        <n v="27.72"/>
        <n v="37.450000000000003"/>
        <n v="36.82"/>
        <n v="22.44"/>
        <n v="25.01"/>
        <n v="13.53"/>
        <n v="39.18"/>
        <n v="38.18"/>
        <n v="13.96"/>
        <n v="11.62"/>
        <n v="31.8"/>
        <n v="17.690000000000001"/>
        <n v="8.83"/>
        <n v="21.34"/>
        <n v="31.95"/>
        <n v="9.5500000000000007"/>
        <n v="19.739999999999998"/>
        <n v="23.98"/>
        <n v="16.02"/>
        <n v="19.47"/>
        <n v="29.22"/>
        <n v="37.39"/>
        <n v="33.43"/>
        <n v="28.71"/>
        <n v="36.42"/>
        <n v="8.7899999999999991"/>
        <n v="39.409999999999997"/>
        <n v="16.829999999999998"/>
        <n v="33.369999999999997"/>
        <n v="25.06"/>
        <n v="23.32"/>
        <n v="14.21"/>
        <n v="15.47"/>
        <n v="28.85"/>
        <n v="24.99"/>
        <n v="38.57"/>
        <n v="26.37"/>
        <n v="5.8"/>
        <n v="3.3"/>
        <n v="18.27"/>
        <n v="4.2699999999999996"/>
        <n v="20.87"/>
        <n v="6.16"/>
        <n v="37.72"/>
        <n v="20.100000000000001"/>
        <n v="33.950000000000003"/>
        <n v="19.11"/>
        <n v="26.25"/>
        <n v="19.89"/>
        <n v="38.07"/>
        <n v="9.27"/>
        <n v="33.65"/>
        <n v="18.600000000000001"/>
        <n v="4.26"/>
        <n v="20.84"/>
        <n v="17.41"/>
        <n v="28.49"/>
        <n v="10.72"/>
        <n v="20.83"/>
        <n v="24.36"/>
        <n v="8.0299999999999994"/>
        <n v="31.92"/>
        <n v="21.55"/>
        <n v="8.58"/>
        <n v="32.42"/>
        <n v="10.24"/>
        <n v="13.76"/>
        <n v="22.8"/>
        <n v="28.07"/>
        <n v="35.31"/>
        <n v="19.559999999999999"/>
        <n v="21.95"/>
        <n v="8.8800000000000008"/>
        <n v="8.06"/>
        <n v="9.76"/>
        <n v="19.95"/>
        <n v="12.51"/>
        <n v="19.97"/>
        <n v="37.82"/>
        <n v="11.46"/>
        <n v="17.98"/>
        <n v="4.18"/>
        <n v="19.87"/>
        <n v="32.619999999999997"/>
        <n v="31.55"/>
        <n v="36.54"/>
        <n v="28.74"/>
        <n v="17.88"/>
        <n v="20.190000000000001"/>
        <n v="37.979999999999997"/>
        <n v="13.66"/>
        <n v="10.039999999999999"/>
        <n v="36.270000000000003"/>
        <n v="16.18"/>
        <n v="26.32"/>
        <n v="36.21"/>
        <n v="21.72"/>
        <n v="14.64"/>
        <n v="2.04"/>
        <n v="9.83"/>
        <n v="18.350000000000001"/>
        <n v="30.9"/>
        <n v="30.87"/>
        <n v="39.909999999999997"/>
        <n v="18.690000000000001"/>
        <n v="25.72"/>
        <n v="2.09"/>
        <n v="19.61"/>
        <n v="34.89"/>
        <n v="8.01"/>
        <n v="17.559999999999999"/>
        <n v="38.94"/>
        <n v="34.67"/>
        <n v="37.6"/>
        <n v="21.98"/>
        <n v="6.32"/>
        <n v="14.65"/>
        <n v="23.58"/>
        <n v="33.67"/>
        <n v="5.94"/>
        <n v="38.86"/>
        <n v="13.23"/>
        <n v="37.97"/>
        <n v="30.3"/>
        <n v="7.68"/>
        <n v="7.44"/>
        <n v="14.37"/>
        <n v="1.1000000000000001"/>
        <n v="18.649999999999999"/>
        <n v="31.05"/>
        <n v="35.01"/>
        <n v="37.020000000000003"/>
        <n v="25.4"/>
        <n v="33.770000000000003"/>
        <n v="21.99"/>
        <n v="17.03"/>
        <n v="7.65"/>
        <n v="25.08"/>
        <n v="17.37"/>
        <n v="33.1"/>
        <n v="11.5"/>
        <n v="17.2"/>
        <n v="27.1"/>
        <n v="15.62"/>
        <n v="13.33"/>
        <n v="27.07"/>
        <n v="4.92"/>
        <n v="9.42"/>
        <n v="23.73"/>
        <n v="4.53"/>
        <n v="7.38"/>
        <n v="27.48"/>
        <n v="15.73"/>
        <n v="16.5"/>
        <n v="6.12"/>
        <n v="27.63"/>
        <n v="15.15"/>
        <n v="30.42"/>
        <n v="35.06"/>
        <n v="11.86"/>
        <n v="17.47"/>
        <n v="30.88"/>
        <n v="17.71"/>
        <n v="38.47"/>
        <n v="13.17"/>
        <n v="17.02"/>
        <n v="37.9"/>
        <n v="7.26"/>
        <n v="18.48"/>
        <n v="31.16"/>
        <n v="1.32"/>
        <n v="4.45"/>
        <n v="6.26"/>
        <n v="28.38"/>
        <n v="12.65"/>
        <n v="32.770000000000003"/>
        <n v="16.78"/>
        <n v="24.66"/>
        <n v="3.52"/>
        <n v="19.05"/>
        <n v="4.5199999999999996"/>
        <n v="19.79"/>
        <n v="29.96"/>
        <n v="38.520000000000003"/>
        <n v="2.7"/>
        <n v="24.06"/>
        <n v="36.729999999999997"/>
        <n v="19.2"/>
        <n v="14.25"/>
        <n v="30"/>
        <n v="35.840000000000003"/>
        <n v="13.28"/>
        <n v="20.71"/>
        <n v="15.68"/>
        <n v="3.44"/>
        <n v="19.04"/>
        <n v="16.920000000000002"/>
        <n v="3.34"/>
        <n v="12.46"/>
        <n v="20.5"/>
        <n v="20.47"/>
        <n v="12.32"/>
        <n v="39.619999999999997"/>
        <n v="25.8"/>
        <n v="18.68"/>
        <n v="26.77"/>
        <n v="31.11"/>
        <n v="15.84"/>
        <n v="31.93"/>
        <n v="23.51"/>
        <n v="13.77"/>
        <n v="32.01"/>
        <n v="32.090000000000003"/>
        <n v="35.75"/>
        <n v="21.42"/>
        <n v="26.01"/>
        <n v="5.19"/>
        <n v="20.04"/>
        <n v="4.5"/>
        <n v="7.27"/>
        <n v="5.0199999999999996"/>
        <n v="28.91"/>
        <n v="35.1"/>
        <n v="11.61"/>
        <n v="8.9600000000000009"/>
        <n v="17.309999999999999"/>
        <n v="22.78"/>
        <n v="16.88"/>
        <n v="8.17"/>
        <n v="11.35"/>
        <n v="5.78"/>
        <n v="22.25"/>
        <n v="23.28"/>
        <n v="8.77"/>
        <n v="34.24"/>
        <n v="23.62"/>
        <n v="37.46"/>
        <n v="29.14"/>
        <n v="19.489999999999998"/>
        <n v="12.53"/>
        <n v="11.47"/>
        <n v="24.85"/>
        <n v="12.34"/>
        <n v="31.6"/>
        <n v="7.54"/>
        <n v="18.11"/>
        <n v="36.049999999999997"/>
        <n v="17.670000000000002"/>
        <n v="19.010000000000002"/>
        <n v="9.33"/>
        <n v="36.299999999999997"/>
        <n v="28.73"/>
        <n v="18.34"/>
        <n v="39.94"/>
        <n v="6"/>
        <n v="12.17"/>
        <n v="13.64"/>
        <n v="14.22"/>
        <n v="15.19"/>
        <n v="8.8000000000000007"/>
        <n v="2.56"/>
        <n v="35.03"/>
        <n v="27.18"/>
        <n v="20.12"/>
        <n v="5.62"/>
        <n v="13.7"/>
        <n v="34.72"/>
        <n v="29.46"/>
        <n v="21.02"/>
        <n v="21.51"/>
        <n v="23.25"/>
        <n v="14.85"/>
        <n v="1.07"/>
        <n v="17.5"/>
        <n v="3.94"/>
        <n v="39.78"/>
        <n v="25.98"/>
        <n v="23.94"/>
        <n v="2.5"/>
        <n v="27.25"/>
        <n v="32.119999999999997"/>
        <n v="22.9"/>
        <n v="18.079999999999998"/>
        <n v="37.65"/>
        <n v="11.75"/>
        <n v="24.71"/>
        <n v="4.54"/>
        <n v="27.41"/>
        <n v="22.27"/>
        <n v="23.08"/>
        <n v="27.22"/>
        <n v="23.76"/>
        <n v="12.25"/>
        <n v="33.53"/>
        <n v="36.130000000000003"/>
        <n v="28.97"/>
        <n v="14.35"/>
        <n v="13.13"/>
        <n v="16.89"/>
        <n v="4.66"/>
        <n v="14.06"/>
        <n v="25.24"/>
        <n v="38.770000000000003"/>
        <n v="22.13"/>
        <n v="37.049999999999997"/>
        <n v="13.46"/>
        <n v="37.79"/>
        <n v="21.19"/>
        <n v="22.31"/>
        <n v="1.44"/>
        <n v="30.79"/>
        <n v="31.97"/>
        <n v="29.56"/>
        <n v="24.1"/>
        <n v="9.57"/>
        <n v="36.9"/>
        <n v="10.11"/>
        <n v="32.020000000000003"/>
        <n v="28.5"/>
        <n v="34.49"/>
        <n v="12.98"/>
        <n v="25.21"/>
        <n v="9.65"/>
        <n v="8.4700000000000006"/>
        <n v="21.91"/>
        <n v="16.739999999999998"/>
        <n v="3.28"/>
        <n v="35.96"/>
        <n v="34.57"/>
        <n v="27.06"/>
        <n v="6.62"/>
        <n v="2.0499999999999998"/>
        <n v="25.56"/>
        <n v="11.49"/>
        <n v="2.27"/>
        <n v="12.09"/>
        <n v="22.61"/>
        <n v="39.24"/>
        <n v="33.33"/>
        <n v="25.37"/>
        <n v="21.74"/>
        <n v="17.63"/>
        <n v="11.97"/>
        <n v="31.51"/>
        <n v="33.409999999999997"/>
        <n v="15.57"/>
        <n v="38.15"/>
        <n v="1.61"/>
        <n v="28.04"/>
        <n v="27.9"/>
        <n v="34.33"/>
        <n v="22.85"/>
        <n v="32.86"/>
        <n v="9.7799999999999994"/>
        <n v="33.47"/>
        <n v="7.62"/>
        <n v="34"/>
        <n v="12.19"/>
        <n v="20.13"/>
        <n v="13.36"/>
        <n v="19.21"/>
        <n v="25.76"/>
        <n v="7.69"/>
        <n v="9.1199999999999992"/>
        <n v="33.35"/>
        <n v="35.909999999999997"/>
        <n v="10.07"/>
        <n v="15.11"/>
        <n v="25.75"/>
        <n v="22.62"/>
        <n v="15.27"/>
        <n v="8.14"/>
        <n v="9.3699999999999992"/>
        <n v="30.52"/>
        <n v="22.71"/>
        <n v="12.04"/>
        <n v="17.54"/>
        <n v="35.47"/>
        <n v="4.08"/>
        <n v="39.520000000000003"/>
        <n v="32.049999999999997"/>
        <n v="34.94"/>
        <n v="35.78"/>
        <n v="38.89"/>
        <n v="26.23"/>
        <n v="31.21"/>
        <n v="20.7"/>
        <n v="27.74"/>
        <n v="2.95"/>
        <n v="38.119999999999997"/>
        <n v="18.18"/>
        <n v="9.59"/>
        <n v="1.56"/>
        <n v="36.64"/>
        <n v="15.53"/>
        <n v="5.3"/>
        <n v="35.020000000000003"/>
        <n v="15.36"/>
        <n v="7.74"/>
        <n v="18.23"/>
        <n v="7.97"/>
        <n v="37.04"/>
        <n v="3.92"/>
        <n v="4.3499999999999996"/>
        <n v="16.579999999999998"/>
        <n v="10.210000000000001"/>
        <n v="23.99"/>
        <n v="36.56"/>
        <n v="12.41"/>
        <n v="35.26"/>
        <n v="33.630000000000003"/>
        <n v="8.23"/>
        <n v="17.12"/>
        <n v="29.64"/>
        <n v="3.25"/>
        <n v="29.26"/>
        <n v="7.07"/>
        <n v="12.22"/>
        <n v="13.63"/>
        <n v="10.46"/>
        <n v="9.39"/>
        <n v="36.770000000000003"/>
        <n v="7.01"/>
        <n v="17.97"/>
        <n v="33.36"/>
        <n v="37.19"/>
        <n v="28.15"/>
        <n v="31.57"/>
        <n v="19.22"/>
        <n v="29.34"/>
        <n v="26.71"/>
        <n v="11.84"/>
        <n v="33.15"/>
        <n v="13.1"/>
        <n v="29.09"/>
        <n v="31.03"/>
        <n v="14.81"/>
        <n v="31.06"/>
        <n v="21.59"/>
        <n v="9.81"/>
        <n v="16.72"/>
        <n v="24.49"/>
        <n v="24.11"/>
        <n v="17.04"/>
        <n v="34.99"/>
        <n v="25.85"/>
        <n v="19.84"/>
        <n v="6.76"/>
        <n v="2.84"/>
        <n v="1.1599999999999999"/>
        <n v="9.9499999999999993"/>
        <n v="29.35"/>
        <n v="26.18"/>
        <n v="12.96"/>
        <n v="25.07"/>
        <n v="20.239999999999998"/>
        <n v="36.47"/>
        <n v="31.3"/>
        <n v="30.15"/>
        <n v="21.47"/>
        <n v="30.35"/>
        <n v="14.23"/>
      </sharedItems>
    </cacheField>
    <cacheField name="Task_Deadline" numFmtId="14">
      <sharedItems containsSemiMixedTypes="0" containsNonDate="0" containsDate="1" containsString="0" minDate="2025-02-17T00:00:00" maxDate="2026-02-17T00:00:00"/>
    </cacheField>
    <cacheField name="Joining_Date" numFmtId="14">
      <sharedItems containsSemiMixedTypes="0" containsNonDate="0" containsDate="1" containsString="0" minDate="2015-08-23T00:00:00" maxDate="2024-08-15T00:00:00"/>
    </cacheField>
    <cacheField name="Manager" numFmtId="0">
      <sharedItems count="1483">
        <s v="Vanessa Armstrong"/>
        <s v="Vanessa Sanders"/>
        <s v="Katrina Brown"/>
        <s v="Brittany Gomez"/>
        <s v="William Alvarez"/>
        <s v="Daniel Brown"/>
        <s v="Theresa Martinez"/>
        <s v="Michael Barrett"/>
        <s v="Joanne Bentley"/>
        <s v="Elizabeth Frazier"/>
        <s v="Joshua Thompson"/>
        <s v="Dennis Clarke"/>
        <s v="Jackson Cannon"/>
        <s v="Patricia Lara"/>
        <s v="Kristin Stanley"/>
        <s v="David Hernandez"/>
        <s v="Samantha Harmon"/>
        <s v="Kimberly Thompson"/>
        <s v="Kaylee Osborn"/>
        <s v="Melissa Campos"/>
        <s v="Joann Byrd"/>
        <s v="Charles Jackson"/>
        <s v="Kristen Holland"/>
        <s v="Kelly Macias"/>
        <s v="Kenneth Warren"/>
        <s v="Jennifer Turner"/>
        <s v="Richard Singleton"/>
        <s v="Latoya White"/>
        <s v="Kayla Mason"/>
        <s v="April Rice"/>
        <s v="Rachel Hamilton"/>
        <s v="Michelle Weaver"/>
        <s v="Joseph Allen"/>
        <s v="Patrick Richardson"/>
        <s v="Isaac Yoder"/>
        <s v="Brandon Krause"/>
        <s v="Luke Smith"/>
        <s v="Kaitlyn Lopez"/>
        <s v="Claudia Fletcher"/>
        <s v="Stacy Williams"/>
        <s v="Kathleen Freeman"/>
        <s v="Kimberly Ferguson"/>
        <s v="Jessica Murphy"/>
        <s v="Paul Horne"/>
        <s v="Tyler Reyes"/>
        <s v="Daniel Edwards"/>
        <s v="Beth Cole"/>
        <s v="Stephen Castro"/>
        <s v="Mr. Danny Davis Jr."/>
        <s v="Jill Martinez"/>
        <s v="David Gill"/>
        <s v="Rebecca Henson"/>
        <s v="Sandra Peterson"/>
        <s v="Michelle Williams"/>
        <s v="Mr. Thomas Wilson"/>
        <s v="Jeffrey Peterson"/>
        <s v="Sean Johnson"/>
        <s v="Joseph Rodriguez MD"/>
        <s v="Regina Weaver"/>
        <s v="Hayden Tucker"/>
        <s v="Cynthia Greene"/>
        <s v="Christina Harmon"/>
        <s v="Kimberly Brown"/>
        <s v="Joseph Gomez"/>
        <s v="Mark Padilla"/>
        <s v="Steve Fuentes"/>
        <s v="Mark Park PhD"/>
        <s v="Hannah Nelson"/>
        <s v="Amanda Mills"/>
        <s v="Mary Johns"/>
        <s v="Tammie Maxwell"/>
        <s v="Jermaine Smith"/>
        <s v="Isabel Nguyen"/>
        <s v="John Simon"/>
        <s v="Ethan Giles"/>
        <s v="Taylor Hall"/>
        <s v="Howard Warner"/>
        <s v="Mason Wagner"/>
        <s v="Taylor Richmond"/>
        <s v="Joyce Smith"/>
        <s v="Gregory Trevino"/>
        <s v="Nicholas Booth"/>
        <s v="Emily Bradshaw"/>
        <s v="Misty Hebert"/>
        <s v="Veronica Mccarty"/>
        <s v="Kimberly Powell"/>
        <s v="Amanda Moore"/>
        <s v="Ashley Lopez MD"/>
        <s v="Kristine Park"/>
        <s v="Erin Lamb"/>
        <s v="Anthony Clark"/>
        <s v="Amber Lynn"/>
        <s v="Tracy Carroll"/>
        <s v="Brian Henderson"/>
        <s v="Maria Carpenter"/>
        <s v="Jessica Nielsen"/>
        <s v="Robert Rojas"/>
        <s v="Madison Howard"/>
        <s v="Darren Jackson"/>
        <s v="Chris Moore"/>
        <s v="Mike Nelson"/>
        <s v="Jill Williams"/>
        <s v="James Jones"/>
        <s v="Marisa Johnson"/>
        <s v="Sara Barnes"/>
        <s v="Alexis Jarvis"/>
        <s v="Pamela Hart"/>
        <s v="Justin Mclean"/>
        <s v="George Howard"/>
        <s v="Matthew Hoover"/>
        <s v="Brian Ingram"/>
        <s v="Cheyenne Leblanc"/>
        <s v="Elizabeth Boone"/>
        <s v="Angela Lynch"/>
        <s v="Carrie Frey"/>
        <s v="Cassie Gray"/>
        <s v="Pamela Taylor"/>
        <s v="Kenneth Long"/>
        <s v="Amanda Mcclure"/>
        <s v="Tyler Ho"/>
        <s v="Jennifer Gonzalez"/>
        <s v="Michelle Walton"/>
        <s v="Walter Smith"/>
        <s v="Michael Smith"/>
        <s v="Andrew Le"/>
        <s v="Crystal Huynh"/>
        <s v="Ashley Perez"/>
        <s v="Elizabeth Bowman"/>
        <s v="Tracy Peterson"/>
        <s v="Frank May"/>
        <s v="Shannon Young"/>
        <s v="Seth Walsh"/>
        <s v="Adam Castillo"/>
        <s v="Melissa Rivera"/>
        <s v="Haley Moore"/>
        <s v="Eric Morgan"/>
        <s v="Tami Blake"/>
        <s v="Christian Richardson"/>
        <s v="Donald Bell"/>
        <s v="Sarah Davis"/>
        <s v="Calvin Miller"/>
        <s v="Kelly Griffith"/>
        <s v="Cory Jacobs"/>
        <s v="Caitlin Holland"/>
        <s v="Kelly Smith"/>
        <s v="Melissa Becker"/>
        <s v="Dawn Thompson"/>
        <s v="Linda Moore"/>
        <s v="James Nichols"/>
        <s v="Tyler Osborne"/>
        <s v="Christopher Walton"/>
        <s v="Stephen Perkins Jr."/>
        <s v="Cynthia Daniels"/>
        <s v="Kimberly Duffy"/>
        <s v="John Weaver"/>
        <s v="Michael Chen"/>
        <s v="Jake Diaz"/>
        <s v="Andrea Sandoval"/>
        <s v="Tom Turner"/>
        <s v="Phyllis Johnson"/>
        <s v="Tanner Tanner"/>
        <s v="Jessica Kline"/>
        <s v="Michael Atkins"/>
        <s v="Tanya Martinez"/>
        <s v="Jessica Davis"/>
        <s v="Steve Harrison"/>
        <s v="Jody Jackson"/>
        <s v="Joshua Morales"/>
        <s v="Pam Collins PhD"/>
        <s v="Frank Mccoy"/>
        <s v="Jonathan Bowman"/>
        <s v="John Chung"/>
        <s v="Noah Parker"/>
        <s v="Robert Mata"/>
        <s v="Jeffrey Lawson"/>
        <s v="Erin Becker"/>
        <s v="Kristy Jenkins"/>
        <s v="Erica Allison"/>
        <s v="Daniel Scott"/>
        <s v="Tiffany Kent"/>
        <s v="Robert Mitchell"/>
        <s v="Whitney Leonard"/>
        <s v="Patrick Smith"/>
        <s v="Robert Holland"/>
        <s v="Travis Gordon"/>
        <s v="Lisa Carroll"/>
        <s v="Keith Brady MD"/>
        <s v="Kristi Parker"/>
        <s v="Kathleen Herrera"/>
        <s v="Jade Scott"/>
        <s v="Maria Fox"/>
        <s v="Brian Watson"/>
        <s v="James Moore"/>
        <s v="Dr. Angela Velazquez DVM"/>
        <s v="Patrick Hill"/>
        <s v="Samuel Velazquez"/>
        <s v="Crystal Harris"/>
        <s v="Michael Mccoy"/>
        <s v="Eddie Scott"/>
        <s v="Crystal Bird"/>
        <s v="Stephanie Contreras"/>
        <s v="Stephen Johnson"/>
        <s v="Thomas Burton"/>
        <s v="David Carr"/>
        <s v="Angel Adkins"/>
        <s v="Gary Mckinney"/>
        <s v="Mr. Brent Chaney"/>
        <s v="Martha Johnson"/>
        <s v="Shannon Mcguire"/>
        <s v="Julia Lopez"/>
        <s v="Amy Gaines"/>
        <s v="Melissa Cunningham"/>
        <s v="Patricia Fernandez"/>
        <s v="William Meyer"/>
        <s v="Richard Moreno"/>
        <s v="Eric Lawson"/>
        <s v="Kara Diaz"/>
        <s v="Patricia Lamb"/>
        <s v="Kimberly Peterson"/>
        <s v="Joel Curry"/>
        <s v="Andrea Robinson"/>
        <s v="Colin Hudson"/>
        <s v="Joseph Davis"/>
        <s v="Ronnie Valdez"/>
        <s v="Brittney Perez"/>
        <s v="Sarah Smith"/>
        <s v="Elizabeth Reid"/>
        <s v="Kristin Chang"/>
        <s v="Kenneth Day"/>
        <s v="Lisa Wright"/>
        <s v="Jose Lewis"/>
        <s v="Alexis Patton"/>
        <s v="Michael Beasley"/>
        <s v="Alan Mcpherson"/>
        <s v="Frank Henry"/>
        <s v="William Jackson"/>
        <s v="Nicholas Moreno"/>
        <s v="Cheryl Tran"/>
        <s v="Ashley Donaldson"/>
        <s v="Michelle Thomas"/>
        <s v="Tara Kirby"/>
        <s v="Andres Dickerson"/>
        <s v="Robert Stanley"/>
        <s v="Katherine Wilkinson"/>
        <s v="Jessica Johnson"/>
        <s v="David Smith"/>
        <s v="Emily Gonzales"/>
        <s v="Ariana Rojas"/>
        <s v="Samantha Keith"/>
        <s v="Jennifer Johnson"/>
        <s v="Arthur Boyer"/>
        <s v="Amanda Luna"/>
        <s v="Javier Taylor"/>
        <s v="Michael Pittman"/>
        <s v="Emily Taylor"/>
        <s v="Kevin Diaz"/>
        <s v="Matthew Holt"/>
        <s v="Andre Suarez"/>
        <s v="Wendy Bradley"/>
        <s v="Mallory Green"/>
        <s v="Chelsea Cunningham"/>
        <s v="Kristi Martin"/>
        <s v="Beth Wilcox"/>
        <s v="Miss Maria Miller"/>
        <s v="Frank Peters"/>
        <s v="Lisa Brown"/>
        <s v="Perry Moreno"/>
        <s v="David Mills"/>
        <s v="Matthew Savage"/>
        <s v="Jason Everett"/>
        <s v="James Perry"/>
        <s v="Stephanie Bush"/>
        <s v="Jack Jennings"/>
        <s v="Michael Gomez"/>
        <s v="Patrick Garcia"/>
        <s v="Trevor Johnson"/>
        <s v="Hailey Lynn"/>
        <s v="Scott Moss"/>
        <s v="Paul Smith"/>
        <s v="Sarah Briggs"/>
        <s v="Susan Lane"/>
        <s v="Riley Andrews"/>
        <s v="Nancy Mccann"/>
        <s v="Ms. Laurie Molina"/>
        <s v="Denise Hammond"/>
        <s v="Eric Cook"/>
        <s v="Wendy Ballard"/>
        <s v="Barry Banks"/>
        <s v="Richard Wright"/>
        <s v="Bryce Roberts"/>
        <s v="Dawn Frost"/>
        <s v="Hannah Noble"/>
        <s v="Tyler Burke"/>
        <s v="James Wallace"/>
        <s v="Pamela Buchanan"/>
        <s v="Brenda Jackson"/>
        <s v="Sierra Smith"/>
        <s v="Melissa Russell"/>
        <s v="Gregory Jacobs"/>
        <s v="William Morales"/>
        <s v="Nicholas Hodge"/>
        <s v="Alexandria Kramer"/>
        <s v="Christopher Blevins"/>
        <s v="Tiffany Davis"/>
        <s v="Alexander Turner"/>
        <s v="Margaret Wilson"/>
        <s v="Savannah Yu"/>
        <s v="Ryan Wolf"/>
        <s v="Dawn Miller"/>
        <s v="Rachel Weber"/>
        <s v="Valerie Gonzales"/>
        <s v="Lisa Bautista"/>
        <s v="Nicholas Moore"/>
        <s v="Nathan Lewis"/>
        <s v="Melissa Pierce"/>
        <s v="Zachary Santiago"/>
        <s v="Steven Wyatt"/>
        <s v="Gregory Fischer"/>
        <s v="Jennifer Berger"/>
        <s v="Taylor Ruiz"/>
        <s v="Jason Smith"/>
        <s v="David Adams"/>
        <s v="Lawrence Arias"/>
        <s v="Susan Gill"/>
        <s v="Pamela Warner"/>
        <s v="Randall Dixon"/>
        <s v="Joshua Howard"/>
        <s v="Michelle Moore"/>
        <s v="Linda Hooper"/>
        <s v="Paul Nicholson"/>
        <s v="Justin Thornton"/>
        <s v="Carlos Wilson"/>
        <s v="Randy Hendricks"/>
        <s v="Michael Adams"/>
        <s v="David Meyers"/>
        <s v="David Gamble"/>
        <s v="Dustin Alvarez"/>
        <s v="Scott Brandt"/>
        <s v="Daniel Collins"/>
        <s v="Deborah Bennett"/>
        <s v="Andrew Stokes"/>
        <s v="Elizabeth Proctor"/>
        <s v="Denise Taylor"/>
        <s v="Leah Gates"/>
        <s v="Ryan Kane"/>
        <s v="Brandon White"/>
        <s v="Carrie Thompson"/>
        <s v="Richard Beck"/>
        <s v="Lisa Ward"/>
        <s v="April Miller"/>
        <s v="Corey Johnson"/>
        <s v="Andre Ponce"/>
        <s v="Sandra Powell"/>
        <s v="Christine Jordan"/>
        <s v="Aaron Watts"/>
        <s v="Vincent Bartlett"/>
        <s v="Frank Lewis"/>
        <s v="Catherine Booth"/>
        <s v="Kevin Garcia"/>
        <s v="Christopher Stevens"/>
        <s v="Victoria Cordova"/>
        <s v="Ann Herrera"/>
        <s v="Shannon Conrad"/>
        <s v="Jonathan Cordova"/>
        <s v="Kristen Castillo"/>
        <s v="James Baker"/>
        <s v="Seth King"/>
        <s v="Timothy Cole"/>
        <s v="Sandra Wilson"/>
        <s v="Jessica Nguyen"/>
        <s v="Joshua Conrad"/>
        <s v="Hannah Jackson"/>
        <s v="Robert Cameron"/>
        <s v="Lori Wood"/>
        <s v="Kimberly Bishop"/>
        <s v="Jasmine Bishop"/>
        <s v="Melissa Smith"/>
        <s v="Danielle Lee"/>
        <s v="Justin Benton"/>
        <s v="Jeffery Logan"/>
        <s v="Margaret Mccarthy"/>
        <s v="Brent Myers"/>
        <s v="Chris Cox"/>
        <s v="Sandra Whitaker"/>
        <s v="Elizabeth Williams"/>
        <s v="Mr. Joel Clark"/>
        <s v="Lauren Mason"/>
        <s v="Mr. Randy Chang DVM"/>
        <s v="Roger Underwood"/>
        <s v="Pedro Wilson"/>
        <s v="Maxwell Rojas"/>
        <s v="Alexis Brown"/>
        <s v="Samuel Donovan"/>
        <s v="Christopher Cardenas"/>
        <s v="Christopher Phillips"/>
        <s v="Samuel Nicholson"/>
        <s v="Carla Nielsen"/>
        <s v="Caleb Mccormick"/>
        <s v="Tamara Morris"/>
        <s v="Dr. Shawn Howell"/>
        <s v="Paul Silva"/>
        <s v="Brittany Johnson"/>
        <s v="Christopher Peterson"/>
        <s v="Christopher Davis"/>
        <s v="Arthur Gross"/>
        <s v="Christopher Johnson"/>
        <s v="Breanna Williams"/>
        <s v="Valerie Montoya"/>
        <s v="Taylor Acevedo"/>
        <s v="Noah Hill"/>
        <s v="Kevin Levy"/>
        <s v="Curtis Chandler"/>
        <s v="Robert Hoffman"/>
        <s v="Ryan Gonzalez"/>
        <s v="Theresa Morgan"/>
        <s v="David Bautista"/>
        <s v="Tina Horton"/>
        <s v="Faith Johnson"/>
        <s v="Alicia Austin"/>
        <s v="Kristina Sosa"/>
        <s v="Tammy Reed"/>
        <s v="Anthony Flores"/>
        <s v="Charles Morales"/>
        <s v="William Medina"/>
        <s v="Nichole Good"/>
        <s v="William Decker"/>
        <s v="Maurice Howell"/>
        <s v="Edward Stewart"/>
        <s v="Donald Kelly"/>
        <s v="Kathryn Salazar"/>
        <s v="Jose Parks"/>
        <s v="Jason Fox"/>
        <s v="David Thomas"/>
        <s v="Francisco Middleton"/>
        <s v="Kristi Patrick"/>
        <s v="Sabrina Taylor"/>
        <s v="Thomas Smith"/>
        <s v="Melanie Smith"/>
        <s v="Angela Sanford"/>
        <s v="Victoria Santana"/>
        <s v="Nancy Rose"/>
        <s v="Kirsten Wilcox"/>
        <s v="David Archer"/>
        <s v="Rebekah Nichols"/>
        <s v="Melissa Morrison"/>
        <s v="Xavier Reyes"/>
        <s v="Shannon Wood"/>
        <s v="Joanna Castro"/>
        <s v="Ryan Adams"/>
        <s v="Marcus Carter"/>
        <s v="Madeline Hill"/>
        <s v="Kathy Moreno"/>
        <s v="Melissa Mays"/>
        <s v="Sergio Elliott"/>
        <s v="Tracey Martinez"/>
        <s v="David Lewis"/>
        <s v="Mallory Roberson"/>
        <s v="Nicholas Lynch"/>
        <s v="Charles Hart"/>
        <s v="Austin Smith"/>
        <s v="Jillian Santos"/>
        <s v="David Ford"/>
        <s v="Michael Lewis"/>
        <s v="Pamela Larson"/>
        <s v="Robert Carter"/>
        <s v="Stephanie Turner"/>
        <s v="David Parsons"/>
        <s v="Michelle Smith"/>
        <s v="Michael Graham"/>
        <s v="Terry Burton"/>
        <s v="Kelly Sanchez"/>
        <s v="Jennifer Allen"/>
        <s v="Peter Hayden"/>
        <s v="Connor Smith"/>
        <s v="Charles Melton"/>
        <s v="Kevin Mason"/>
        <s v="Gregory Werner PhD"/>
        <s v="Patricia Jacobs"/>
        <s v="John Mcdaniel"/>
        <s v="Victoria Jackson"/>
        <s v="Jonathan Allen"/>
        <s v="Kevin Joseph"/>
        <s v="Christopher Anderson"/>
        <s v="Clayton Walker"/>
        <s v="Terri Holland"/>
        <s v="Audrey Davis"/>
        <s v="Edward Vargas"/>
        <s v="Paul Krause"/>
        <s v="Caitlin Castillo"/>
        <s v="David Chapman"/>
        <s v="Richard Cole"/>
        <s v="Sarah Jones"/>
        <s v="Mitchell White"/>
        <s v="Megan King"/>
        <s v="Sherri Thomas"/>
        <s v="Allison Hall"/>
        <s v="Destiny Kirk"/>
        <s v="Natasha Lloyd"/>
        <s v="James Thomas"/>
        <s v="Evan Hall"/>
        <s v="Ashley Contreras"/>
        <s v="Jennifer Martin"/>
        <s v="Gabrielle Ford"/>
        <s v="Matthew Kerr"/>
        <s v="Stacy Perry"/>
        <s v="James Deleon"/>
        <s v="Monique Chen"/>
        <s v="Leslie Hoffman"/>
        <s v="Robert Sparks"/>
        <s v="Bruce Wells MD"/>
        <s v="John Rose"/>
        <s v="Dominique Miller"/>
        <s v="Rebecca Mullins"/>
        <s v="Jay Moore"/>
        <s v="Olivia Rice"/>
        <s v="Gabriel Martinez"/>
        <s v="Samuel Martinez"/>
        <s v="Justin Lopez"/>
        <s v="Cheryl Soto"/>
        <s v="Michael Rivera MD"/>
        <s v="Tyler Beck"/>
        <s v="Chad Davis"/>
        <s v="Brian Guzman"/>
        <s v="Thomas James"/>
        <s v="Samuel Wilson"/>
        <s v="Michael Clarke"/>
        <s v="Christopher Atkins"/>
        <s v="Anthony Nguyen"/>
        <s v="Vanessa Kane"/>
        <s v="Christopher Smith"/>
        <s v="Devin Williams"/>
        <s v="Kimberly Crawford"/>
        <s v="Lindsey Hamilton"/>
        <s v="Holly Gomez"/>
        <s v="Adrian Rose"/>
        <s v="Krista Brooks"/>
        <s v="Gary Brandt"/>
        <s v="Lisa Ross"/>
        <s v="Jeremy Wall"/>
        <s v="Bryan Sanders"/>
        <s v="Jessica Brooks"/>
        <s v="Jill Cole"/>
        <s v="Timothy Zimmerman"/>
        <s v="Earl Martinez"/>
        <s v="Michael Wagner"/>
        <s v="David Pitts"/>
        <s v="Rachel Garner"/>
        <s v="Michael Hodges"/>
        <s v="Michelle Woodward"/>
        <s v="Christine Sullivan"/>
        <s v="Heather Turner"/>
        <s v="Jill Miller"/>
        <s v="Timothy Williams"/>
        <s v="Julie House"/>
        <s v="Bryce Gibbs"/>
        <s v="Brian Henry"/>
        <s v="Jeffery Smith"/>
        <s v="Steven Anderson"/>
        <s v="Jessica Dominguez"/>
        <s v="Heather Travis"/>
        <s v="Melissa Clark"/>
        <s v="Micheal Holmes"/>
        <s v="Debra Marshall"/>
        <s v="Todd Woodward"/>
        <s v="Danielle Meyers"/>
        <s v="Matthew Hart"/>
        <s v="Anthony Garner"/>
        <s v="Randy Smith"/>
        <s v="Amanda Wood"/>
        <s v="Robert Curry"/>
        <s v="Julie Harris"/>
        <s v="Ralph Ramos"/>
        <s v="Michele Robinson"/>
        <s v="Kristina George"/>
        <s v="Sandra Smith"/>
        <s v="Mrs. Elizabeth Webster"/>
        <s v="Nicholas King"/>
        <s v="Gary Hardy"/>
        <s v="Sharon Smith"/>
        <s v="Linda Crawford"/>
        <s v="Michelle Brown"/>
        <s v="Jason Johns"/>
        <s v="Joan Lloyd DDS"/>
        <s v="Jeremiah Peterson"/>
        <s v="Nicole Morrison"/>
        <s v="Ann Noble"/>
        <s v="Michael Cline"/>
        <s v="Erin Spence"/>
        <s v="Krystal Green"/>
        <s v="Ronald Chavez"/>
        <s v="Debra Andrews MD"/>
        <s v="Jennifer Bradshaw"/>
        <s v="Brandon Clark"/>
        <s v="Aaron Garcia"/>
        <s v="Stuart Williams"/>
        <s v="Theresa Johnson"/>
        <s v="Christina Scott"/>
        <s v="Jason Ross"/>
        <s v="Donald Wise"/>
        <s v="Mrs. Amy Harris"/>
        <s v="Micheal Newman"/>
        <s v="Lindsay Taylor"/>
        <s v="Lynn Davis"/>
        <s v="Diane Graves"/>
        <s v="Lisa Mays"/>
        <s v="Denise Maynard"/>
        <s v="Rachel Ford"/>
        <s v="Brad Phillips"/>
        <s v="Joshua Lewis"/>
        <s v="James Rogers"/>
        <s v="Jessica Woods"/>
        <s v="Jose English"/>
        <s v="Tina Figueroa"/>
        <s v="Luis Fernandez"/>
        <s v="Benjamin Wagner"/>
        <s v="Michelle Huerta"/>
        <s v="Travis Simmons"/>
        <s v="Destiny Williams DDS"/>
        <s v="Heather Gilbert"/>
        <s v="Elizabeth Rice"/>
        <s v="Anthony Smith"/>
        <s v="John Nelson"/>
        <s v="Ricardo Parker"/>
        <s v="Melissa Pollard"/>
        <s v="Bruce Marshall"/>
        <s v="Ashley Holland"/>
        <s v="Bridget Martin"/>
        <s v="Harry Bernard"/>
        <s v="John Harris"/>
        <s v="Anthony Dixon"/>
        <s v="Jessica Ramirez"/>
        <s v="Norman Coffey"/>
        <s v="Susan White"/>
        <s v="Donna Garrett"/>
        <s v="Patricia Garner"/>
        <s v="Matthew Hicks"/>
        <s v="Kenneth Johnson"/>
        <s v="Mariah Herrera"/>
        <s v="Penny Rogers"/>
        <s v="Antonio Hopkins"/>
        <s v="Jorge Compton"/>
        <s v="Nicholas Wall"/>
        <s v="Matthew Rodriguez DDS"/>
        <s v="Carla Morton"/>
        <s v="Chad Rivers"/>
        <s v="David Hooper"/>
        <s v="Suzanne Foley"/>
        <s v="Jennifer Smith"/>
        <s v="Phillip Lopez"/>
        <s v="Lisa Martinez"/>
        <s v="Kevin Wood"/>
        <s v="Jacob Garcia"/>
        <s v="John Long"/>
        <s v="Megan Castro"/>
        <s v="Julie Walker"/>
        <s v="Chris Barton"/>
        <s v="Michael Thornton"/>
        <s v="Carlos Cox"/>
        <s v="Brandi Parsons"/>
        <s v="Daniel Diaz"/>
        <s v="Teresa Bell"/>
        <s v="Samantha Chavez"/>
        <s v="Cody Moreno"/>
        <s v="Nicholas Perry"/>
        <s v="Nicholas Watkins"/>
        <s v="Brian Craig"/>
        <s v="Jerry Chambers"/>
        <s v="Gregory Yates"/>
        <s v="Crystal Stewart"/>
        <s v="Melinda Perez"/>
        <s v="Kimberly Zavala"/>
        <s v="Gary Arnold"/>
        <s v="Briana Williams"/>
        <s v="Shelby Arias"/>
        <s v="Michele Harrell"/>
        <s v="Terry Miranda"/>
        <s v="Phillip Brown"/>
        <s v="Amy Baker"/>
        <s v="Denise Daniels"/>
        <s v="Mark Macias"/>
        <s v="Bradley Perry"/>
        <s v="Frank Gonzalez"/>
        <s v="Brandon Love"/>
        <s v="Allison Johnson"/>
        <s v="Benjamin Nelson"/>
        <s v="Taylor Peck"/>
        <s v="Monica Johnson"/>
        <s v="Anthony Gomez"/>
        <s v="Ryan Watkins"/>
        <s v="Amy Baldwin"/>
        <s v="Sarah Daniel"/>
        <s v="Jonathan Hardin"/>
        <s v="Anthony Gates"/>
        <s v="Donald Hart MD"/>
        <s v="David Alvarez"/>
        <s v="David Anderson"/>
        <s v="Lisa Murillo"/>
        <s v="Carl Rosario"/>
        <s v="Mary Walker"/>
        <s v="Marc Carter"/>
        <s v="Mrs. Stacy Oliver"/>
        <s v="Randy Hampton"/>
        <s v="Laura Ponce"/>
        <s v="Frank Moore"/>
        <s v="David Marshall"/>
        <s v="Michael Meyers"/>
        <s v="Stephanie Coleman"/>
        <s v="Anthony Howard"/>
        <s v="Andrea Peterson"/>
        <s v="Andrea Page"/>
        <s v="Charles Leblanc DDS"/>
        <s v="Lynn Shields"/>
        <s v="Monica Grimes"/>
        <s v="John Salas"/>
        <s v="Katrina Pope"/>
        <s v="Teresa Hart"/>
        <s v="Maria Smith"/>
        <s v="Richard Taylor"/>
        <s v="Elizabeth Zimmerman"/>
        <s v="William Harrison III"/>
        <s v="Bradley Berger"/>
        <s v="Mr. Eric Brown DDS"/>
        <s v="Samuel Kennedy"/>
        <s v="Peter Christian"/>
        <s v="Christy Olsen"/>
        <s v="Thomas Orozco"/>
        <s v="Andrew Jones"/>
        <s v="Betty Peterson"/>
        <s v="Shelly Bates"/>
        <s v="Brenda Mclean"/>
        <s v="Lori Dean"/>
        <s v="Alicia Joseph"/>
        <s v="Cindy Hahn"/>
        <s v="Stephanie Johnson"/>
        <s v="Susan Nguyen"/>
        <s v="Mikayla Orozco MD"/>
        <s v="Eric Aguilar"/>
        <s v="Joshua Stone"/>
        <s v="Brenda Chandler"/>
        <s v="Michael Fernandez"/>
        <s v="April Mason"/>
        <s v="Gary Ballard"/>
        <s v="Terry Ryan"/>
        <s v="Donna Mccormick"/>
        <s v="Melissa Harvey"/>
        <s v="Michael Huffman"/>
        <s v="Emily Doyle"/>
        <s v="Yolanda Riggs"/>
        <s v="Steve Reyes"/>
        <s v="Nicholas Whitaker"/>
        <s v="Joseph Parker"/>
        <s v="Vincent Swanson"/>
        <s v="Patrick Carr"/>
        <s v="Victor Fitzgerald"/>
        <s v="Travis Ingram"/>
        <s v="Brian Cox"/>
        <s v="Sylvia Anderson"/>
        <s v="Nicole Jackson"/>
        <s v="Pamela Garcia"/>
        <s v="Katie Stanley"/>
        <s v="Christopher Barnett"/>
        <s v="Jesus Chavez"/>
        <s v="Tammy Mitchell"/>
        <s v="Alan Murphy"/>
        <s v="Sandra Henry"/>
        <s v="Ryan Sherman"/>
        <s v="Janice Price"/>
        <s v="Kenneth Beck"/>
        <s v="Christopher Young"/>
        <s v="James Garcia"/>
        <s v="Michael Campbell"/>
        <s v="Alexander Rollins"/>
        <s v="Timothy Rodriguez"/>
        <s v="Emily Lewis"/>
        <s v="Kelly Weeks"/>
        <s v="Miguel Levine"/>
        <s v="Heather Barker"/>
        <s v="Richard Leblanc"/>
        <s v="Tommy Lee"/>
        <s v="Charles Wilson"/>
        <s v="Sarah Clark"/>
        <s v="Kyle Macdonald"/>
        <s v="Andrew Fernandez"/>
        <s v="Heather Perez"/>
        <s v="Kelly Diaz"/>
        <s v="Elizabeth Garcia DVM"/>
        <s v="Lori Baldwin"/>
        <s v="Jessica Campos"/>
        <s v="Lawrence Ramirez"/>
        <s v="Miguel Perry"/>
        <s v="Heather Summers"/>
        <s v="Timothy Singh"/>
        <s v="Jennifer Martinez"/>
        <s v="Kelly Cohen"/>
        <s v="Brandon Crane DDS"/>
        <s v="Rebecca Williams"/>
        <s v="Kevin Kelley"/>
        <s v="Michelle Sutton"/>
        <s v="David Rowland"/>
        <s v="Anne Werner"/>
        <s v="Cynthia Wright"/>
        <s v="Julia Sandoval"/>
        <s v="Derek Price"/>
        <s v="Mr. David Weaver DDS"/>
        <s v="Maria Higgins"/>
        <s v="Megan Graham"/>
        <s v="Angelica Wallace"/>
        <s v="Robin Vaughn"/>
        <s v="Michael Romero"/>
        <s v="Dr. Maria Martinez"/>
        <s v="Kara King"/>
        <s v="Adrian Mejia"/>
        <s v="Joseph Bradley"/>
        <s v="Mr. Jeffrey Harris"/>
        <s v="Peggy Levine"/>
        <s v="Jason Fields"/>
        <s v="Katie Burgess"/>
        <s v="Robert Hamilton"/>
        <s v="Nicole Sanchez"/>
        <s v="Erik Cruz"/>
        <s v="Kevin Nelson"/>
        <s v="Julia Miller"/>
        <s v="Michael Ruiz"/>
        <s v="Christopher Mckee"/>
        <s v="Philip Stewart"/>
        <s v="Katrina Giles"/>
        <s v="William Johnson"/>
        <s v="Victoria Bautista"/>
        <s v="Monique Ruiz"/>
        <s v="Brian Green"/>
        <s v="Derrick Garrison"/>
        <s v="Casey Wheeler"/>
        <s v="Matthew Best"/>
        <s v="Megan Salazar"/>
        <s v="Jeffrey Patton"/>
        <s v="Troy Parks"/>
        <s v="Diana Rhodes"/>
        <s v="Jenny Chang"/>
        <s v="Danny Kaiser"/>
        <s v="Ashley Hawkins"/>
        <s v="Robyn Miller"/>
        <s v="Laurie Escobar"/>
        <s v="Mary Washington"/>
        <s v="Brian Carpenter"/>
        <s v="Lindsay Ware DVM"/>
        <s v="Nicole Stevens"/>
        <s v="Charles Campos"/>
        <s v="Jacob Davis"/>
        <s v="Kim Conley"/>
        <s v="Natalie Mendoza"/>
        <s v="Steven Rodriguez"/>
        <s v="Ronnie Townsend"/>
        <s v="Michael Sims"/>
        <s v="Christine Davis"/>
        <s v="Emma Johnson"/>
        <s v="Bradley Cannon"/>
        <s v="Amanda Page"/>
        <s v="Mark Berg"/>
        <s v="Jason Castillo"/>
        <s v="Jesse Wilkerson"/>
        <s v="Heather Campbell"/>
        <s v="Jeffrey Carter"/>
        <s v="Amy Oneal"/>
        <s v="Frank White"/>
        <s v="Curtis May"/>
        <s v="Stephanie Aguirre"/>
        <s v="Sonya Hall"/>
        <s v="Jonathan Peters"/>
        <s v="Amanda Anderson"/>
        <s v="Ricky Oconnor"/>
        <s v="Nicole Booker"/>
        <s v="Mia Maxwell"/>
        <s v="Jason Cooper"/>
        <s v="Monica Dunn"/>
        <s v="Kristen Moore"/>
        <s v="Matthew Flynn"/>
        <s v="Zachary Roberts"/>
        <s v="Elizabeth Johnson"/>
        <s v="Lisa Marshall"/>
        <s v="Jeffery Long"/>
        <s v="Eric Williamson"/>
        <s v="Tracy Barrera"/>
        <s v="Nathan Hopkins"/>
        <s v="Cynthia Barker"/>
        <s v="Daniel Robbins"/>
        <s v="Crystal Ross"/>
        <s v="Brandon French"/>
        <s v="Brittany Arnold"/>
        <s v="Dawn Hughes"/>
        <s v="Melissa Nelson"/>
        <s v="Michael Carter"/>
        <s v="Marc Paul"/>
        <s v="Carolyn Pierce DVM"/>
        <s v="Jessica Payne"/>
        <s v="Amber Davis"/>
        <s v="Allison Jackson"/>
        <s v="Joshua Mcpherson"/>
        <s v="Raymond Clark"/>
        <s v="Eric Nguyen"/>
        <s v="Thomas Carr"/>
        <s v="Shawn Miller"/>
        <s v="Dana Perez"/>
        <s v="Thomas Lopez"/>
        <s v="Tracy Bell"/>
        <s v="Jonathan Osborn"/>
        <s v="Phillip Lee"/>
        <s v="Jaime Mckenzie"/>
        <s v="Stephen Williams"/>
        <s v="Benjamin Ruiz"/>
        <s v="Angel Weaver"/>
        <s v="Jennifer Davis"/>
        <s v="Travis Landry"/>
        <s v="Nicole Roberson"/>
        <s v="James Rivas"/>
        <s v="John Miller"/>
        <s v="Linda Miller"/>
        <s v="Emily Parks"/>
        <s v="Shannon Thompson"/>
        <s v="Zachary Bowers"/>
        <s v="Katie Walker"/>
        <s v="Zachary Ruiz"/>
        <s v="James Andrews"/>
        <s v="Shannon Parks"/>
        <s v="Lauren Haney"/>
        <s v="David Johnson"/>
        <s v="Darryl Sherman"/>
        <s v="Ryan Lee"/>
        <s v="Douglas Mccullough"/>
        <s v="Natasha Vaughn"/>
        <s v="Mark Brown"/>
        <s v="Amy Simpson"/>
        <s v="Amy Cook"/>
        <s v="Natasha Lopez"/>
        <s v="Michelle Serrano"/>
        <s v="Tammie David"/>
        <s v="John Mcdonald"/>
        <s v="Joshua Foster MD"/>
        <s v="Kim Powell"/>
        <s v="Scott Vasquez"/>
        <s v="Carrie Ramirez"/>
        <s v="Jennifer Peterson"/>
        <s v="Joshua Robertson"/>
        <s v="Travis Melendez"/>
        <s v="Kevin Baker"/>
        <s v="Richard Hart"/>
        <s v="Carolyn Reed"/>
        <s v="Willie Moore"/>
        <s v="Wesley Schultz"/>
        <s v="Kelly Flowers"/>
        <s v="David Robinson"/>
        <s v="Denise Diaz"/>
        <s v="Ronald Smith"/>
        <s v="Heather Porter"/>
        <s v="Jessica Collins"/>
        <s v="Aaron Murphy"/>
        <s v="Richard Ramirez"/>
        <s v="Destiny Fowler"/>
        <s v="Maria Gonzalez"/>
        <s v="Michael Mcclain"/>
        <s v="Sharon Cardenas MD"/>
        <s v="Anna Cole"/>
        <s v="Jacqueline Miller"/>
        <s v="Sharon Dean"/>
        <s v="Shelly Gomez"/>
        <s v="Tyler Barton"/>
        <s v="Stephanie Reeves"/>
        <s v="Stephen Sanchez"/>
        <s v="Kelly Blankenship"/>
        <s v="Mathew Wells"/>
        <s v="Duane Flores"/>
        <s v="Jeffrey Kirby"/>
        <s v="William Shepherd"/>
        <s v="Michael Moore"/>
        <s v="Justin Norton"/>
        <s v="Peggy Butler"/>
        <s v="Thomas Webb"/>
        <s v="Jasmine Myers"/>
        <s v="Christopher Edwards"/>
        <s v="Terri Hernandez PhD"/>
        <s v="Angela Mckenzie"/>
        <s v="Kristy Marquez DDS"/>
        <s v="Jessica Bowman"/>
        <s v="Timothy Hawkins"/>
        <s v="Melissa Hicks"/>
        <s v="Laura Dodson"/>
        <s v="Eric Romero"/>
        <s v="Juan Snyder"/>
        <s v="Isabel Castaneda"/>
        <s v="Ethan Reid"/>
        <s v="Herbert Cooper"/>
        <s v="Scott Brown"/>
        <s v="Zachary Nguyen"/>
        <s v="David Rivers"/>
        <s v="Jasmine Lopez"/>
        <s v="Kimberly Rogers"/>
        <s v="Ronald Levine"/>
        <s v="Alexis Obrien"/>
        <s v="Bradley Wong"/>
        <s v="Angela Chang"/>
        <s v="Katherine Griffin"/>
        <s v="Thomas Berger"/>
        <s v="Christopher Garza"/>
        <s v="Erika Thomas"/>
        <s v="Sandra Perez"/>
        <s v="Jessica Hodge"/>
        <s v="Mitchell Sutton"/>
        <s v="Anna Conner"/>
        <s v="Brett Osborne"/>
        <s v="Marvin Buchanan"/>
        <s v="Lynn Stokes"/>
        <s v="William Estrada"/>
        <s v="Scott Nichols"/>
        <s v="Kendra Sims"/>
        <s v="Matthew Gardner"/>
        <s v="Eric Maynard"/>
        <s v="Ronald Daugherty"/>
        <s v="Adam Mendoza"/>
        <s v="Todd Vincent"/>
        <s v="Holly Young"/>
        <s v="Kelly Martinez"/>
        <s v="Donna Walters"/>
        <s v="Melissa Buckley"/>
        <s v="Nicole Martin"/>
        <s v="Janice Williams"/>
        <s v="Melissa Barnes"/>
        <s v="Barbara Anderson"/>
        <s v="Wendy Brown"/>
        <s v="Louis Schaefer"/>
        <s v="Emily Moore"/>
        <s v="Kristen Carpenter"/>
        <s v="Daniel Trujillo"/>
        <s v="Darlene Glass"/>
        <s v="Angela Wilson"/>
        <s v="Thomas Montoya"/>
        <s v="Yvonne Scott"/>
        <s v="Kevin Grimes"/>
        <s v="Robert Serrano"/>
        <s v="Destiny Austin"/>
        <s v="Shannon Wilson"/>
        <s v="Michelle Mcdonald"/>
        <s v="Johnathan Mcdonald"/>
        <s v="Hannah Schwartz"/>
        <s v="Chase Foster"/>
        <s v="Michelle Cohen"/>
        <s v="Richard Smith"/>
        <s v="Christine Peters"/>
        <s v="Tracy Morrison"/>
        <s v="Jeffrey Williams"/>
        <s v="Shannon Williams"/>
        <s v="Walter Lopez"/>
        <s v="Charles White"/>
        <s v="Heather Davis"/>
        <s v="Monica Morgan"/>
        <s v="Casey Bowen"/>
        <s v="Candice Taylor MD"/>
        <s v="Jose Jimenez"/>
        <s v="Lori Lyons"/>
        <s v="Barbara Smith"/>
        <s v="Taylor Harrington"/>
        <s v="Anthony Hamilton"/>
        <s v="Ronald Martin"/>
        <s v="Gregory Webb"/>
        <s v="Craig Garrett"/>
        <s v="Christopher Ramos"/>
        <s v="Barbara Blake"/>
        <s v="Jennifer Bryan"/>
        <s v="Kerry Dominguez"/>
        <s v="Jodi Webster"/>
        <s v="Diane Guzman"/>
        <s v="Joseph Contreras"/>
        <s v="Allison Sanders"/>
        <s v="Jeremy Smith"/>
        <s v="Mark Fisher"/>
        <s v="Jennifer Wang"/>
        <s v="Rebecca Bell"/>
        <s v="Kimberly Brooks"/>
        <s v="Bruce Morris"/>
        <s v="Patricia Miller"/>
        <s v="Angela Rocha"/>
        <s v="Tamara Simon"/>
        <s v="Deborah Elliott"/>
        <s v="Daniel Stewart"/>
        <s v="Theresa Smith"/>
        <s v="Erin Scott"/>
        <s v="Andrew Wong"/>
        <s v="Karen Powell"/>
        <s v="Donald Mcguire"/>
        <s v="Sarah Wolf"/>
        <s v="Sarah Ferguson"/>
        <s v="Melissa Nguyen"/>
        <s v="Taylor Garrison"/>
        <s v="David Jones"/>
        <s v="Cheryl Robles"/>
        <s v="Janet Rodriguez"/>
        <s v="Anthony Kelly"/>
        <s v="Anthony Price"/>
        <s v="Katherine Flores"/>
        <s v="Michael Gonzalez"/>
        <s v="Rachael Manning"/>
        <s v="Laura Steele"/>
        <s v="Ronald Garcia"/>
        <s v="Andrew Carter"/>
        <s v="Lisa Villa"/>
        <s v="Tracy Smith"/>
        <s v="Donald Thompson"/>
        <s v="Robert Johnson"/>
        <s v="Veronica Rosales"/>
        <s v="Bradley Carter"/>
        <s v="Annette Randall"/>
        <s v="Pedro Andersen"/>
        <s v="Jesse Jennings"/>
        <s v="Anthony Carlson"/>
        <s v="Robert Miller"/>
        <s v="Sarah Adams"/>
        <s v="Benjamin Thompson"/>
        <s v="Roger Williams"/>
        <s v="Patricia Hernandez"/>
        <s v="Sean Michael"/>
        <s v="Jonathan York"/>
        <s v="Juan Norris"/>
        <s v="Joshua Mills"/>
        <s v="Natalie Collins"/>
        <s v="Christy Martinez"/>
        <s v="Katherine Campbell"/>
        <s v="David Le"/>
        <s v="Linda Wright"/>
        <s v="Jessica Wolfe"/>
        <s v="Stephanie Orr MD"/>
        <s v="Tammy Fisher"/>
        <s v="Timothy Bennett"/>
        <s v="Jason Haney"/>
        <s v="Douglas Williams"/>
        <s v="Derrick Kim"/>
        <s v="Derrick Lewis"/>
        <s v="Carol Roach"/>
        <s v="Brian Alvarado"/>
        <s v="Christopher Carlson"/>
        <s v="William Velez"/>
        <s v="Harold Delacruz"/>
        <s v="Shaun Myers"/>
        <s v="Kelly Green"/>
        <s v="Kathryn Smith"/>
        <s v="Barbara Powell"/>
        <s v="Cindy Jones"/>
        <s v="John Davis"/>
        <s v="Timothy Smith"/>
        <s v="David Taylor"/>
        <s v="Ryan Mcbride"/>
        <s v="Holly Marshall"/>
        <s v="Caitlin Powell"/>
        <s v="Francis Henry"/>
        <s v="Michael Nielsen"/>
        <s v="Joseph Burton"/>
        <s v="Jason Walker"/>
        <s v="Kevin Noble"/>
        <s v="Frances Mitchell"/>
        <s v="Julia Carson"/>
        <s v="Aaron Ortega"/>
        <s v="Tara Graves"/>
        <s v="Willie Hunter MD"/>
        <s v="Jason Ellis"/>
        <s v="Timothy Edwards"/>
        <s v="Laura Burns"/>
        <s v="Mary Porter DVM"/>
        <s v="Frank Howard"/>
        <s v="Paula Edwards DVM"/>
        <s v="Ross Herring"/>
        <s v="Zachary Hernandez"/>
        <s v="Jonathan Sims"/>
        <s v="Richard Phillips"/>
        <s v="Russell Deleon"/>
        <s v="April Trevino"/>
        <s v="Angela Harmon"/>
        <s v="Brian Singleton"/>
        <s v="Mary Warner"/>
        <s v="Nicole Fleming"/>
        <s v="Michael Mcpherson"/>
        <s v="Mary Flores"/>
        <s v="Samuel Rodriguez"/>
        <s v="Melissa Boyd"/>
        <s v="Jon Lane"/>
        <s v="Devin Wagner"/>
        <s v="Clifford Williams"/>
        <s v="Nathan Martinez"/>
        <s v="Megan Glover"/>
        <s v="Cynthia Washington"/>
        <s v="Carlos Hernandez"/>
        <s v="Brian Porter"/>
        <s v="Diana Johnson"/>
        <s v="Adam Mason"/>
        <s v="Oscar Cooper"/>
        <s v="Julie Martinez"/>
        <s v="Sharon Baker"/>
        <s v="Wayne Brooks"/>
        <s v="Jacob Jones"/>
        <s v="Loretta Parker"/>
        <s v="Karla Randolph"/>
        <s v="Tony Frederick"/>
        <s v="Heather Smith"/>
        <s v="William Arnold"/>
        <s v="Joe Carter"/>
        <s v="Cassandra Rivera"/>
        <s v="Christian Cuevas"/>
        <s v="Donald Rodriguez"/>
        <s v="Margaret Johnson"/>
        <s v="Angela Patton"/>
        <s v="Michelle George"/>
        <s v="Michelle Harrington"/>
        <s v="Kathleen Perez"/>
        <s v="John Chavez"/>
        <s v="April Walters"/>
        <s v="Mrs. Cynthia Thompson"/>
        <s v="Julia Williams"/>
        <s v="Debra Williams"/>
        <s v="Brian Dominguez"/>
        <s v="James Mitchell"/>
        <s v="Mrs. Rebecca Foster"/>
        <s v="Michael Hunter"/>
        <s v="Jody Christian"/>
        <s v="Nicholas Guerra"/>
        <s v="Christian Mills"/>
        <s v="Kyle Montoya"/>
        <s v="Stephanie Green"/>
        <s v="Christopher Gonzalez"/>
        <s v="Heather Benson"/>
        <s v="Lauren Wright"/>
        <s v="Michael Cole"/>
        <s v="Joseph Deleon"/>
        <s v="Ryan Hopkins"/>
        <s v="Jeremy Stewart"/>
        <s v="Alexandra Young"/>
        <s v="Haley Jones"/>
        <s v="Emily Vega"/>
        <s v="David Hudson"/>
        <s v="David Palmer"/>
        <s v="Phillip Finley"/>
        <s v="Richard Shaw"/>
        <s v="Micheal King"/>
        <s v="Tonya Lopez"/>
        <s v="Jaclyn Ward"/>
        <s v="Vanessa Watkins"/>
        <s v="Cathy Frazier"/>
        <s v="Mark Carlson"/>
        <s v="Carla Johnson"/>
        <s v="Adam Rogers"/>
        <s v="Anthony Lawrence"/>
        <s v="Kyle Jackson"/>
        <s v="Joseph Ferguson"/>
        <s v="Abigail Hall"/>
        <s v="Judy Powell"/>
        <s v="Michele Lloyd"/>
        <s v="Paul Turner"/>
        <s v="Lori Cantu"/>
        <s v="Jessica Brown"/>
        <s v="Michael Rivera"/>
        <s v="Dennis Lopez"/>
        <s v="Christopher York"/>
        <s v="Sarah Lopez"/>
        <s v="Michael Clark"/>
        <s v="Kaylee Brown"/>
        <s v="Jack Mclaughlin"/>
        <s v="Jeremy Fox"/>
        <s v="Jesus Zamora"/>
        <s v="Joshua Tran"/>
        <s v="Wendy Cooper"/>
        <s v="Timothy Bernard"/>
        <s v="Tracy Bullock"/>
        <s v="Kevin Vargas"/>
        <s v="Holly Garcia"/>
        <s v="Kathleen Robinson"/>
        <s v="Felicia Jackson"/>
        <s v="Danielle Gallagher"/>
        <s v="Michael Salazar"/>
        <s v="Jimmy Alvarez"/>
        <s v="Chad Clayton"/>
        <s v="Anthony Jenkins"/>
        <s v="Angela Cruz"/>
        <s v="Mario Roberson"/>
        <s v="Matthew Smith"/>
        <s v="Sharon Taylor"/>
        <s v="Jason Lopez"/>
        <s v="Tammy Allen"/>
        <s v="Joseph Campbell"/>
        <s v="Carrie Warren"/>
        <s v="Jeffery Little"/>
        <s v="Sherry Campbell"/>
        <s v="Travis Haney"/>
        <s v="Sarah Fry"/>
        <s v="Richard Christian"/>
        <s v="Stuart Barrett"/>
        <s v="Kim Bullock"/>
        <s v="Kevin Conway"/>
        <s v="Jonathan Berry"/>
        <s v="Sara Palmer"/>
        <s v="Leah Cunningham"/>
        <s v="Brian Barnes"/>
        <s v="Jennifer Bauer"/>
        <s v="Daniel Powell"/>
        <s v="Kerri Reid"/>
        <s v="Jennifer King"/>
        <s v="Jordan Flores"/>
        <s v="Anthony Vincent"/>
        <s v="Gregory Turner"/>
        <s v="Jessica Colon"/>
        <s v="Lauren Medina"/>
        <s v="Courtney Hernandez"/>
        <s v="Samuel Olsen"/>
        <s v="Rachael Martinez"/>
        <s v="Steve Fernandez"/>
        <s v="Katrina Harper"/>
        <s v="Alexandra Gilmore"/>
        <s v="Nancy Roberts"/>
        <s v="Kyle Ford"/>
        <s v="Frank Dyer"/>
        <s v="Monica Escobar"/>
        <s v="Kelly Livingston"/>
        <s v="Linda Farmer"/>
        <s v="Brian Love"/>
        <s v="Michele Smith"/>
        <s v="Alyssa Reyes"/>
        <s v="Marcus Johnson"/>
        <s v="Zachary Romero"/>
        <s v="Robert Jensen"/>
        <s v="Dr. Chelsea Cooley"/>
        <s v="Joseph Estrada"/>
        <s v="Alexander Saunders"/>
        <s v="Mitchell Ibarra"/>
        <s v="Todd Thompson"/>
        <s v="Allison Padilla"/>
        <s v="Erin Young"/>
        <s v="Mary Rowe"/>
        <s v="Derrick Fischer Jr."/>
        <s v="Valerie Gilbert"/>
        <s v="Sarah Young"/>
        <s v="Kevin Haas"/>
        <s v="John Page"/>
        <s v="Jason Moss"/>
        <s v="Chad Lynch"/>
        <s v="Gregory Smith"/>
        <s v="Rachel Meyer"/>
        <s v="Rachel Thompson"/>
        <s v="Toni Morton"/>
        <s v="Bobby Jones"/>
        <s v="Jackson Hampton"/>
        <s v="Renee Payne"/>
        <s v="Joshua Kelly"/>
        <s v="Robert Robinson"/>
        <s v="Lacey Parker"/>
        <s v="Courtney Thompson"/>
        <s v="Sandra Larsen"/>
        <s v="Kevin Larson"/>
        <s v="Sharon Gomez"/>
        <s v="Jeremy Brown"/>
        <s v="Patrick Owens"/>
        <s v="Shaun Rodgers"/>
        <s v="Melinda Murphy"/>
        <s v="Melissa Atkinson"/>
        <s v="David Roth"/>
        <s v="Bryan Martinez"/>
        <s v="Shawna Thompson DVM"/>
        <s v="Shannon Gross"/>
        <s v="Courtney Cortez"/>
        <s v="Daniel Alvarez"/>
        <s v="Nicholas Solis"/>
        <s v="Daisy Harvey"/>
        <s v="Jose Lawrence"/>
        <s v="Christina Brown"/>
        <s v="Brittany Murray"/>
        <s v="Joe Robertson"/>
        <s v="Lori Stevens"/>
        <s v="Donald Davis"/>
        <s v="Joseph Lewis"/>
        <s v="Steven Aguilar"/>
        <s v="Richard Mitchell"/>
        <s v="Robert West"/>
        <s v="Ann Frank"/>
        <s v="Shannon Harvey"/>
        <s v="Justin Miller"/>
        <s v="Karen Lyons"/>
        <s v="Zachary Cook"/>
        <s v="Dylan Martinez"/>
        <s v="Kristin Davis MD"/>
        <s v="Kenneth Parker"/>
        <s v="Susan Schwartz"/>
        <s v="Toni English"/>
        <s v="Mike Todd"/>
        <s v="Erik Robinson"/>
        <s v="Michael Brown"/>
        <s v="Jessica Sanders"/>
        <s v="Katherine Wood"/>
        <s v="Jason Farrell"/>
        <s v="Christina Miller"/>
        <s v="Kelly Davis"/>
        <s v="Ryan Sutton"/>
        <s v="Cody Brown"/>
        <s v="James Roy"/>
        <s v="Nichole Moore"/>
        <s v="Carrie Collins"/>
        <s v="Cory Taylor"/>
        <s v="Christine Morales"/>
        <s v="Tracy Morgan"/>
        <s v="John Alvarado"/>
        <s v="Kenneth Smith"/>
        <s v="Jose Mccoy"/>
        <s v="Jeremy Roberts"/>
        <s v="Miranda Bryant"/>
        <s v="Megan Dixon"/>
        <s v="Rachel Simmons"/>
        <s v="Michelle Shea"/>
        <s v="Shelby Ross"/>
        <s v="Kevin Shelton"/>
        <s v="Jonathan Sanders"/>
        <s v="Stephen Wright"/>
        <s v="Christina Conley"/>
        <s v="Robert Hernandez"/>
        <s v="Tara Dunn"/>
        <s v="Candice White"/>
        <s v="Debbie Green"/>
        <s v="Brittany Ross"/>
        <s v="Michael Hunt"/>
        <s v="Alison Mccarthy"/>
        <s v="Jeffrey Edwards"/>
        <s v="Raymond Herrera"/>
        <s v="Kathy Fisher"/>
        <s v="Nicholas Vargas"/>
        <s v="Julie Anderson"/>
        <s v="Rebecca West"/>
        <s v="Leah Gray"/>
        <s v="Matthew Kim"/>
        <s v="Paul Heath"/>
        <s v="Tony Norris"/>
        <s v="Karen Love"/>
        <s v="Amanda Long"/>
        <s v="Eric Ferrell"/>
        <s v="April Higgins"/>
        <s v="Christopher Weber"/>
        <s v="Wendy Donovan"/>
        <s v="Herbert Gay"/>
        <s v="Jennifer Mcdonald"/>
        <s v="Emma Allen"/>
        <s v="Laura Doyle"/>
        <s v="Christine Booth"/>
        <s v="Breanna Roy"/>
        <s v="Randy Hunter"/>
        <s v="Allison Webb"/>
        <s v="Rebecca Christensen"/>
        <s v="Roy Tucker"/>
        <s v="Sydney Clements"/>
        <s v="Betty Hamilton"/>
        <s v="Thomas Johnson"/>
        <s v="Steven Bridges"/>
        <s v="Nathan Russo"/>
        <s v="Benjamin Frye DDS"/>
        <s v="Anthony Arias"/>
        <s v="Nicholas Villanueva"/>
        <s v="Rachel Rhodes"/>
        <s v="Alison Cordova"/>
        <s v="Nathan Mcmillan"/>
        <s v="Jeffrey Griffin"/>
        <s v="Richard Kelly"/>
        <s v="Katie Taylor"/>
        <s v="Michelle Frost"/>
        <s v="Richard Cohen"/>
        <s v="Erin Hill"/>
        <s v="William Nielsen"/>
        <s v="Derek Acosta"/>
        <s v="Crystal Smith MD"/>
        <s v="Jacob Walker"/>
        <s v="David Hoffman"/>
        <s v="Donald Davidson"/>
        <s v="Randall Lowe"/>
        <s v="Michael Ryan"/>
        <s v="Andrea Noble"/>
        <s v="Joseph Bennett"/>
        <s v="Curtis Rojas"/>
        <s v="Rodney Riddle"/>
        <s v="Ronald Hughes"/>
        <s v="Betty Richardson"/>
        <s v="William Daniels"/>
        <s v="David Ward"/>
        <s v="Michael Norman"/>
        <s v="Joshua Chavez"/>
        <s v="Michael Dunn"/>
      </sharedItems>
    </cacheField>
    <cacheField name="Location" numFmtId="0">
      <sharedItems/>
    </cacheField>
    <cacheField name="Performance_Rating" numFmtId="0">
      <sharedItems containsSemiMixedTypes="0" containsString="0" containsNumber="1" containsInteger="1" minValue="1" maxValue="5" count="5">
        <n v="3"/>
        <n v="1"/>
        <n v="2"/>
        <n v="5"/>
        <n v="4"/>
      </sharedItems>
    </cacheField>
    <cacheField name="Remote_Work" numFmtId="0">
      <sharedItems count="2">
        <s v="Yes"/>
        <s v="No"/>
      </sharedItems>
    </cacheField>
  </cacheFields>
  <extLst>
    <ext xmlns:x14="http://schemas.microsoft.com/office/spreadsheetml/2009/9/main" uri="{725AE2AE-9491-48be-B2B4-4EB974FC3084}">
      <x14:pivotCacheDefinition pivotCacheId="147348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d v="2025-12-21T00:00:00"/>
    <d v="2020-07-07T00:00:00"/>
    <x v="0"/>
    <s v="Bangalore"/>
    <x v="0"/>
    <x v="0"/>
  </r>
  <r>
    <x v="1"/>
    <x v="1"/>
    <x v="1"/>
    <x v="0"/>
    <x v="1"/>
    <x v="1"/>
    <d v="2025-09-16T00:00:00"/>
    <d v="2021-06-13T00:00:00"/>
    <x v="1"/>
    <s v="Berlin"/>
    <x v="1"/>
    <x v="1"/>
  </r>
  <r>
    <x v="2"/>
    <x v="2"/>
    <x v="1"/>
    <x v="0"/>
    <x v="2"/>
    <x v="2"/>
    <d v="2025-08-04T00:00:00"/>
    <d v="2017-04-29T00:00:00"/>
    <x v="2"/>
    <s v="Berlin"/>
    <x v="2"/>
    <x v="0"/>
  </r>
  <r>
    <x v="3"/>
    <x v="3"/>
    <x v="2"/>
    <x v="1"/>
    <x v="0"/>
    <x v="3"/>
    <d v="2025-05-23T00:00:00"/>
    <d v="2018-05-10T00:00:00"/>
    <x v="3"/>
    <s v="London"/>
    <x v="0"/>
    <x v="0"/>
  </r>
  <r>
    <x v="4"/>
    <x v="4"/>
    <x v="0"/>
    <x v="2"/>
    <x v="1"/>
    <x v="4"/>
    <d v="2025-07-17T00:00:00"/>
    <d v="2020-08-25T00:00:00"/>
    <x v="4"/>
    <s v="London"/>
    <x v="3"/>
    <x v="1"/>
  </r>
  <r>
    <x v="5"/>
    <x v="5"/>
    <x v="2"/>
    <x v="0"/>
    <x v="0"/>
    <x v="5"/>
    <d v="2026-01-27T00:00:00"/>
    <d v="2019-02-28T00:00:00"/>
    <x v="5"/>
    <s v="Bangalore"/>
    <x v="3"/>
    <x v="1"/>
  </r>
  <r>
    <x v="6"/>
    <x v="6"/>
    <x v="3"/>
    <x v="0"/>
    <x v="2"/>
    <x v="6"/>
    <d v="2026-02-14T00:00:00"/>
    <d v="2015-08-30T00:00:00"/>
    <x v="6"/>
    <s v="Toronto"/>
    <x v="3"/>
    <x v="1"/>
  </r>
  <r>
    <x v="7"/>
    <x v="7"/>
    <x v="0"/>
    <x v="2"/>
    <x v="3"/>
    <x v="7"/>
    <d v="2025-08-01T00:00:00"/>
    <d v="2020-10-30T00:00:00"/>
    <x v="7"/>
    <s v="Toronto"/>
    <x v="1"/>
    <x v="0"/>
  </r>
  <r>
    <x v="8"/>
    <x v="8"/>
    <x v="2"/>
    <x v="3"/>
    <x v="3"/>
    <x v="8"/>
    <d v="2025-03-22T00:00:00"/>
    <d v="2021-04-04T00:00:00"/>
    <x v="8"/>
    <s v="Bangalore"/>
    <x v="2"/>
    <x v="0"/>
  </r>
  <r>
    <x v="9"/>
    <x v="9"/>
    <x v="4"/>
    <x v="2"/>
    <x v="0"/>
    <x v="9"/>
    <d v="2025-08-24T00:00:00"/>
    <d v="2016-02-02T00:00:00"/>
    <x v="9"/>
    <s v="Bangalore"/>
    <x v="3"/>
    <x v="1"/>
  </r>
  <r>
    <x v="10"/>
    <x v="10"/>
    <x v="5"/>
    <x v="2"/>
    <x v="1"/>
    <x v="10"/>
    <d v="2025-12-26T00:00:00"/>
    <d v="2018-02-02T00:00:00"/>
    <x v="10"/>
    <s v="Sydney"/>
    <x v="4"/>
    <x v="1"/>
  </r>
  <r>
    <x v="11"/>
    <x v="11"/>
    <x v="0"/>
    <x v="4"/>
    <x v="1"/>
    <x v="11"/>
    <d v="2025-08-24T00:00:00"/>
    <d v="2021-06-29T00:00:00"/>
    <x v="11"/>
    <s v="Berlin"/>
    <x v="3"/>
    <x v="0"/>
  </r>
  <r>
    <x v="12"/>
    <x v="12"/>
    <x v="5"/>
    <x v="5"/>
    <x v="0"/>
    <x v="12"/>
    <d v="2025-10-22T00:00:00"/>
    <d v="2024-04-27T00:00:00"/>
    <x v="12"/>
    <s v="Singapore"/>
    <x v="4"/>
    <x v="0"/>
  </r>
  <r>
    <x v="13"/>
    <x v="13"/>
    <x v="0"/>
    <x v="2"/>
    <x v="0"/>
    <x v="13"/>
    <d v="2025-06-02T00:00:00"/>
    <d v="2022-01-24T00:00:00"/>
    <x v="13"/>
    <s v="Berlin"/>
    <x v="3"/>
    <x v="0"/>
  </r>
  <r>
    <x v="14"/>
    <x v="14"/>
    <x v="4"/>
    <x v="4"/>
    <x v="2"/>
    <x v="14"/>
    <d v="2025-10-17T00:00:00"/>
    <d v="2021-03-23T00:00:00"/>
    <x v="14"/>
    <s v="Toronto"/>
    <x v="3"/>
    <x v="1"/>
  </r>
  <r>
    <x v="15"/>
    <x v="15"/>
    <x v="5"/>
    <x v="4"/>
    <x v="3"/>
    <x v="15"/>
    <d v="2025-05-22T00:00:00"/>
    <d v="2020-06-02T00:00:00"/>
    <x v="15"/>
    <s v="Berlin"/>
    <x v="0"/>
    <x v="1"/>
  </r>
  <r>
    <x v="16"/>
    <x v="16"/>
    <x v="3"/>
    <x v="3"/>
    <x v="0"/>
    <x v="16"/>
    <d v="2025-12-27T00:00:00"/>
    <d v="2017-05-02T00:00:00"/>
    <x v="16"/>
    <s v="Sydney"/>
    <x v="4"/>
    <x v="0"/>
  </r>
  <r>
    <x v="17"/>
    <x v="17"/>
    <x v="5"/>
    <x v="5"/>
    <x v="1"/>
    <x v="17"/>
    <d v="2025-08-31T00:00:00"/>
    <d v="2019-02-20T00:00:00"/>
    <x v="17"/>
    <s v="Sydney"/>
    <x v="1"/>
    <x v="1"/>
  </r>
  <r>
    <x v="18"/>
    <x v="18"/>
    <x v="3"/>
    <x v="3"/>
    <x v="1"/>
    <x v="18"/>
    <d v="2025-08-02T00:00:00"/>
    <d v="2018-08-16T00:00:00"/>
    <x v="18"/>
    <s v="New York"/>
    <x v="0"/>
    <x v="0"/>
  </r>
  <r>
    <x v="19"/>
    <x v="19"/>
    <x v="0"/>
    <x v="5"/>
    <x v="1"/>
    <x v="19"/>
    <d v="2025-06-22T00:00:00"/>
    <d v="2024-03-22T00:00:00"/>
    <x v="19"/>
    <s v="Toronto"/>
    <x v="3"/>
    <x v="0"/>
  </r>
  <r>
    <x v="20"/>
    <x v="20"/>
    <x v="1"/>
    <x v="3"/>
    <x v="3"/>
    <x v="20"/>
    <d v="2025-08-29T00:00:00"/>
    <d v="2023-03-11T00:00:00"/>
    <x v="20"/>
    <s v="Berlin"/>
    <x v="3"/>
    <x v="1"/>
  </r>
  <r>
    <x v="21"/>
    <x v="21"/>
    <x v="4"/>
    <x v="1"/>
    <x v="3"/>
    <x v="21"/>
    <d v="2025-12-11T00:00:00"/>
    <d v="2022-07-06T00:00:00"/>
    <x v="21"/>
    <s v="Toronto"/>
    <x v="0"/>
    <x v="1"/>
  </r>
  <r>
    <x v="22"/>
    <x v="22"/>
    <x v="1"/>
    <x v="5"/>
    <x v="0"/>
    <x v="22"/>
    <d v="2026-01-27T00:00:00"/>
    <d v="2019-09-25T00:00:00"/>
    <x v="22"/>
    <s v="Singapore"/>
    <x v="4"/>
    <x v="1"/>
  </r>
  <r>
    <x v="23"/>
    <x v="23"/>
    <x v="0"/>
    <x v="3"/>
    <x v="2"/>
    <x v="23"/>
    <d v="2025-12-05T00:00:00"/>
    <d v="2018-08-11T00:00:00"/>
    <x v="23"/>
    <s v="London"/>
    <x v="0"/>
    <x v="0"/>
  </r>
  <r>
    <x v="24"/>
    <x v="24"/>
    <x v="4"/>
    <x v="5"/>
    <x v="2"/>
    <x v="24"/>
    <d v="2025-05-01T00:00:00"/>
    <d v="2020-08-12T00:00:00"/>
    <x v="24"/>
    <s v="New York"/>
    <x v="4"/>
    <x v="0"/>
  </r>
  <r>
    <x v="25"/>
    <x v="25"/>
    <x v="5"/>
    <x v="3"/>
    <x v="3"/>
    <x v="25"/>
    <d v="2025-03-05T00:00:00"/>
    <d v="2018-06-06T00:00:00"/>
    <x v="25"/>
    <s v="New York"/>
    <x v="1"/>
    <x v="1"/>
  </r>
  <r>
    <x v="26"/>
    <x v="26"/>
    <x v="2"/>
    <x v="5"/>
    <x v="2"/>
    <x v="26"/>
    <d v="2025-04-30T00:00:00"/>
    <d v="2016-01-27T00:00:00"/>
    <x v="26"/>
    <s v="Sydney"/>
    <x v="2"/>
    <x v="1"/>
  </r>
  <r>
    <x v="27"/>
    <x v="27"/>
    <x v="4"/>
    <x v="5"/>
    <x v="2"/>
    <x v="27"/>
    <d v="2025-07-15T00:00:00"/>
    <d v="2018-09-25T00:00:00"/>
    <x v="27"/>
    <s v="New York"/>
    <x v="2"/>
    <x v="1"/>
  </r>
  <r>
    <x v="28"/>
    <x v="28"/>
    <x v="6"/>
    <x v="2"/>
    <x v="2"/>
    <x v="28"/>
    <d v="2026-01-05T00:00:00"/>
    <d v="2022-05-29T00:00:00"/>
    <x v="28"/>
    <s v="Toronto"/>
    <x v="1"/>
    <x v="1"/>
  </r>
  <r>
    <x v="29"/>
    <x v="29"/>
    <x v="4"/>
    <x v="5"/>
    <x v="3"/>
    <x v="29"/>
    <d v="2026-02-12T00:00:00"/>
    <d v="2024-05-14T00:00:00"/>
    <x v="29"/>
    <s v="New York"/>
    <x v="2"/>
    <x v="0"/>
  </r>
  <r>
    <x v="30"/>
    <x v="30"/>
    <x v="0"/>
    <x v="0"/>
    <x v="3"/>
    <x v="30"/>
    <d v="2025-11-07T00:00:00"/>
    <d v="2021-08-17T00:00:00"/>
    <x v="30"/>
    <s v="Bangalore"/>
    <x v="4"/>
    <x v="1"/>
  </r>
  <r>
    <x v="31"/>
    <x v="31"/>
    <x v="2"/>
    <x v="4"/>
    <x v="1"/>
    <x v="31"/>
    <d v="2025-05-16T00:00:00"/>
    <d v="2018-06-06T00:00:00"/>
    <x v="31"/>
    <s v="Berlin"/>
    <x v="4"/>
    <x v="1"/>
  </r>
  <r>
    <x v="32"/>
    <x v="32"/>
    <x v="4"/>
    <x v="5"/>
    <x v="0"/>
    <x v="32"/>
    <d v="2025-12-30T00:00:00"/>
    <d v="2021-03-20T00:00:00"/>
    <x v="32"/>
    <s v="Bangalore"/>
    <x v="1"/>
    <x v="0"/>
  </r>
  <r>
    <x v="33"/>
    <x v="33"/>
    <x v="1"/>
    <x v="2"/>
    <x v="1"/>
    <x v="33"/>
    <d v="2025-05-07T00:00:00"/>
    <d v="2022-10-18T00:00:00"/>
    <x v="33"/>
    <s v="Toronto"/>
    <x v="2"/>
    <x v="1"/>
  </r>
  <r>
    <x v="34"/>
    <x v="34"/>
    <x v="4"/>
    <x v="2"/>
    <x v="1"/>
    <x v="34"/>
    <d v="2025-07-01T00:00:00"/>
    <d v="2023-08-20T00:00:00"/>
    <x v="34"/>
    <s v="Berlin"/>
    <x v="0"/>
    <x v="1"/>
  </r>
  <r>
    <x v="35"/>
    <x v="35"/>
    <x v="3"/>
    <x v="3"/>
    <x v="1"/>
    <x v="35"/>
    <d v="2025-05-29T00:00:00"/>
    <d v="2016-02-12T00:00:00"/>
    <x v="35"/>
    <s v="Singapore"/>
    <x v="4"/>
    <x v="1"/>
  </r>
  <r>
    <x v="36"/>
    <x v="36"/>
    <x v="1"/>
    <x v="3"/>
    <x v="0"/>
    <x v="36"/>
    <d v="2026-01-29T00:00:00"/>
    <d v="2022-04-10T00:00:00"/>
    <x v="36"/>
    <s v="Singapore"/>
    <x v="1"/>
    <x v="1"/>
  </r>
  <r>
    <x v="37"/>
    <x v="37"/>
    <x v="2"/>
    <x v="4"/>
    <x v="0"/>
    <x v="37"/>
    <d v="2025-11-21T00:00:00"/>
    <d v="2015-12-08T00:00:00"/>
    <x v="37"/>
    <s v="Bangalore"/>
    <x v="4"/>
    <x v="0"/>
  </r>
  <r>
    <x v="38"/>
    <x v="38"/>
    <x v="0"/>
    <x v="0"/>
    <x v="2"/>
    <x v="38"/>
    <d v="2025-10-16T00:00:00"/>
    <d v="2023-05-09T00:00:00"/>
    <x v="38"/>
    <s v="London"/>
    <x v="3"/>
    <x v="1"/>
  </r>
  <r>
    <x v="39"/>
    <x v="39"/>
    <x v="3"/>
    <x v="5"/>
    <x v="3"/>
    <x v="39"/>
    <d v="2025-10-09T00:00:00"/>
    <d v="2017-07-31T00:00:00"/>
    <x v="39"/>
    <s v="New York"/>
    <x v="4"/>
    <x v="0"/>
  </r>
  <r>
    <x v="40"/>
    <x v="40"/>
    <x v="0"/>
    <x v="3"/>
    <x v="1"/>
    <x v="40"/>
    <d v="2025-02-27T00:00:00"/>
    <d v="2023-01-24T00:00:00"/>
    <x v="40"/>
    <s v="Singapore"/>
    <x v="4"/>
    <x v="0"/>
  </r>
  <r>
    <x v="41"/>
    <x v="41"/>
    <x v="0"/>
    <x v="3"/>
    <x v="2"/>
    <x v="41"/>
    <d v="2025-07-09T00:00:00"/>
    <d v="2017-09-30T00:00:00"/>
    <x v="41"/>
    <s v="Toronto"/>
    <x v="0"/>
    <x v="0"/>
  </r>
  <r>
    <x v="42"/>
    <x v="42"/>
    <x v="6"/>
    <x v="2"/>
    <x v="2"/>
    <x v="42"/>
    <d v="2025-08-22T00:00:00"/>
    <d v="2024-03-27T00:00:00"/>
    <x v="42"/>
    <s v="Toronto"/>
    <x v="1"/>
    <x v="0"/>
  </r>
  <r>
    <x v="43"/>
    <x v="43"/>
    <x v="1"/>
    <x v="5"/>
    <x v="0"/>
    <x v="43"/>
    <d v="2026-02-12T00:00:00"/>
    <d v="2021-05-13T00:00:00"/>
    <x v="43"/>
    <s v="New York"/>
    <x v="3"/>
    <x v="0"/>
  </r>
  <r>
    <x v="44"/>
    <x v="44"/>
    <x v="1"/>
    <x v="5"/>
    <x v="2"/>
    <x v="44"/>
    <d v="2025-06-18T00:00:00"/>
    <d v="2020-01-22T00:00:00"/>
    <x v="44"/>
    <s v="Berlin"/>
    <x v="2"/>
    <x v="1"/>
  </r>
  <r>
    <x v="45"/>
    <x v="45"/>
    <x v="2"/>
    <x v="1"/>
    <x v="0"/>
    <x v="45"/>
    <d v="2025-08-09T00:00:00"/>
    <d v="2020-08-21T00:00:00"/>
    <x v="45"/>
    <s v="Singapore"/>
    <x v="1"/>
    <x v="0"/>
  </r>
  <r>
    <x v="46"/>
    <x v="46"/>
    <x v="3"/>
    <x v="5"/>
    <x v="3"/>
    <x v="46"/>
    <d v="2026-01-18T00:00:00"/>
    <d v="2018-10-19T00:00:00"/>
    <x v="46"/>
    <s v="Bangalore"/>
    <x v="2"/>
    <x v="0"/>
  </r>
  <r>
    <x v="47"/>
    <x v="47"/>
    <x v="2"/>
    <x v="0"/>
    <x v="0"/>
    <x v="47"/>
    <d v="2025-03-14T00:00:00"/>
    <d v="2021-09-12T00:00:00"/>
    <x v="47"/>
    <s v="Berlin"/>
    <x v="1"/>
    <x v="1"/>
  </r>
  <r>
    <x v="48"/>
    <x v="48"/>
    <x v="4"/>
    <x v="1"/>
    <x v="1"/>
    <x v="48"/>
    <d v="2025-04-28T00:00:00"/>
    <d v="2018-12-06T00:00:00"/>
    <x v="48"/>
    <s v="Sydney"/>
    <x v="1"/>
    <x v="0"/>
  </r>
  <r>
    <x v="49"/>
    <x v="49"/>
    <x v="6"/>
    <x v="1"/>
    <x v="1"/>
    <x v="49"/>
    <d v="2026-01-31T00:00:00"/>
    <d v="2017-09-09T00:00:00"/>
    <x v="49"/>
    <s v="New York"/>
    <x v="0"/>
    <x v="1"/>
  </r>
  <r>
    <x v="50"/>
    <x v="50"/>
    <x v="6"/>
    <x v="1"/>
    <x v="3"/>
    <x v="50"/>
    <d v="2025-12-14T00:00:00"/>
    <d v="2016-12-25T00:00:00"/>
    <x v="50"/>
    <s v="Singapore"/>
    <x v="4"/>
    <x v="0"/>
  </r>
  <r>
    <x v="51"/>
    <x v="51"/>
    <x v="3"/>
    <x v="2"/>
    <x v="3"/>
    <x v="51"/>
    <d v="2025-08-20T00:00:00"/>
    <d v="2019-04-09T00:00:00"/>
    <x v="51"/>
    <s v="New York"/>
    <x v="1"/>
    <x v="1"/>
  </r>
  <r>
    <x v="52"/>
    <x v="52"/>
    <x v="6"/>
    <x v="4"/>
    <x v="0"/>
    <x v="52"/>
    <d v="2025-09-15T00:00:00"/>
    <d v="2016-01-14T00:00:00"/>
    <x v="52"/>
    <s v="New York"/>
    <x v="2"/>
    <x v="0"/>
  </r>
  <r>
    <x v="53"/>
    <x v="53"/>
    <x v="2"/>
    <x v="3"/>
    <x v="2"/>
    <x v="53"/>
    <d v="2025-04-24T00:00:00"/>
    <d v="2018-03-07T00:00:00"/>
    <x v="53"/>
    <s v="New York"/>
    <x v="3"/>
    <x v="1"/>
  </r>
  <r>
    <x v="54"/>
    <x v="54"/>
    <x v="3"/>
    <x v="0"/>
    <x v="0"/>
    <x v="54"/>
    <d v="2025-08-14T00:00:00"/>
    <d v="2022-09-26T00:00:00"/>
    <x v="54"/>
    <s v="Sydney"/>
    <x v="3"/>
    <x v="0"/>
  </r>
  <r>
    <x v="55"/>
    <x v="55"/>
    <x v="5"/>
    <x v="5"/>
    <x v="3"/>
    <x v="55"/>
    <d v="2025-10-19T00:00:00"/>
    <d v="2022-01-29T00:00:00"/>
    <x v="55"/>
    <s v="Bangalore"/>
    <x v="3"/>
    <x v="0"/>
  </r>
  <r>
    <x v="56"/>
    <x v="56"/>
    <x v="6"/>
    <x v="1"/>
    <x v="2"/>
    <x v="56"/>
    <d v="2025-06-01T00:00:00"/>
    <d v="2023-10-08T00:00:00"/>
    <x v="56"/>
    <s v="Singapore"/>
    <x v="1"/>
    <x v="1"/>
  </r>
  <r>
    <x v="57"/>
    <x v="57"/>
    <x v="2"/>
    <x v="5"/>
    <x v="2"/>
    <x v="57"/>
    <d v="2025-07-26T00:00:00"/>
    <d v="2015-12-29T00:00:00"/>
    <x v="57"/>
    <s v="New York"/>
    <x v="3"/>
    <x v="1"/>
  </r>
  <r>
    <x v="58"/>
    <x v="58"/>
    <x v="6"/>
    <x v="2"/>
    <x v="2"/>
    <x v="58"/>
    <d v="2025-08-04T00:00:00"/>
    <d v="2023-01-29T00:00:00"/>
    <x v="58"/>
    <s v="London"/>
    <x v="2"/>
    <x v="1"/>
  </r>
  <r>
    <x v="59"/>
    <x v="59"/>
    <x v="3"/>
    <x v="3"/>
    <x v="3"/>
    <x v="48"/>
    <d v="2025-08-30T00:00:00"/>
    <d v="2016-07-29T00:00:00"/>
    <x v="59"/>
    <s v="Bangalore"/>
    <x v="3"/>
    <x v="1"/>
  </r>
  <r>
    <x v="60"/>
    <x v="60"/>
    <x v="2"/>
    <x v="1"/>
    <x v="1"/>
    <x v="59"/>
    <d v="2025-02-26T00:00:00"/>
    <d v="2020-04-30T00:00:00"/>
    <x v="60"/>
    <s v="New York"/>
    <x v="2"/>
    <x v="1"/>
  </r>
  <r>
    <x v="61"/>
    <x v="61"/>
    <x v="6"/>
    <x v="5"/>
    <x v="2"/>
    <x v="60"/>
    <d v="2025-08-02T00:00:00"/>
    <d v="2017-07-17T00:00:00"/>
    <x v="61"/>
    <s v="Berlin"/>
    <x v="3"/>
    <x v="1"/>
  </r>
  <r>
    <x v="62"/>
    <x v="62"/>
    <x v="2"/>
    <x v="5"/>
    <x v="1"/>
    <x v="61"/>
    <d v="2025-11-27T00:00:00"/>
    <d v="2018-03-17T00:00:00"/>
    <x v="62"/>
    <s v="Berlin"/>
    <x v="3"/>
    <x v="1"/>
  </r>
  <r>
    <x v="63"/>
    <x v="63"/>
    <x v="2"/>
    <x v="3"/>
    <x v="3"/>
    <x v="62"/>
    <d v="2026-02-16T00:00:00"/>
    <d v="2023-11-29T00:00:00"/>
    <x v="63"/>
    <s v="Toronto"/>
    <x v="0"/>
    <x v="0"/>
  </r>
  <r>
    <x v="64"/>
    <x v="64"/>
    <x v="4"/>
    <x v="3"/>
    <x v="0"/>
    <x v="63"/>
    <d v="2025-04-13T00:00:00"/>
    <d v="2017-05-05T00:00:00"/>
    <x v="64"/>
    <s v="Bangalore"/>
    <x v="1"/>
    <x v="1"/>
  </r>
  <r>
    <x v="65"/>
    <x v="65"/>
    <x v="1"/>
    <x v="0"/>
    <x v="1"/>
    <x v="64"/>
    <d v="2025-04-03T00:00:00"/>
    <d v="2018-09-07T00:00:00"/>
    <x v="65"/>
    <s v="Bangalore"/>
    <x v="2"/>
    <x v="1"/>
  </r>
  <r>
    <x v="66"/>
    <x v="66"/>
    <x v="3"/>
    <x v="2"/>
    <x v="3"/>
    <x v="65"/>
    <d v="2025-09-07T00:00:00"/>
    <d v="2021-05-05T00:00:00"/>
    <x v="66"/>
    <s v="Singapore"/>
    <x v="0"/>
    <x v="1"/>
  </r>
  <r>
    <x v="67"/>
    <x v="67"/>
    <x v="2"/>
    <x v="2"/>
    <x v="0"/>
    <x v="66"/>
    <d v="2026-01-07T00:00:00"/>
    <d v="2017-08-21T00:00:00"/>
    <x v="67"/>
    <s v="New York"/>
    <x v="4"/>
    <x v="0"/>
  </r>
  <r>
    <x v="68"/>
    <x v="68"/>
    <x v="2"/>
    <x v="4"/>
    <x v="0"/>
    <x v="67"/>
    <d v="2025-08-26T00:00:00"/>
    <d v="2017-01-05T00:00:00"/>
    <x v="68"/>
    <s v="Singapore"/>
    <x v="2"/>
    <x v="0"/>
  </r>
  <r>
    <x v="69"/>
    <x v="69"/>
    <x v="4"/>
    <x v="0"/>
    <x v="1"/>
    <x v="68"/>
    <d v="2025-03-30T00:00:00"/>
    <d v="2023-01-09T00:00:00"/>
    <x v="69"/>
    <s v="London"/>
    <x v="2"/>
    <x v="1"/>
  </r>
  <r>
    <x v="70"/>
    <x v="70"/>
    <x v="0"/>
    <x v="0"/>
    <x v="0"/>
    <x v="69"/>
    <d v="2025-08-17T00:00:00"/>
    <d v="2020-06-29T00:00:00"/>
    <x v="70"/>
    <s v="Bangalore"/>
    <x v="2"/>
    <x v="0"/>
  </r>
  <r>
    <x v="71"/>
    <x v="71"/>
    <x v="6"/>
    <x v="0"/>
    <x v="1"/>
    <x v="70"/>
    <d v="2025-07-28T00:00:00"/>
    <d v="2018-06-02T00:00:00"/>
    <x v="71"/>
    <s v="Berlin"/>
    <x v="4"/>
    <x v="0"/>
  </r>
  <r>
    <x v="72"/>
    <x v="72"/>
    <x v="0"/>
    <x v="5"/>
    <x v="1"/>
    <x v="71"/>
    <d v="2025-07-18T00:00:00"/>
    <d v="2016-04-01T00:00:00"/>
    <x v="72"/>
    <s v="Sydney"/>
    <x v="0"/>
    <x v="1"/>
  </r>
  <r>
    <x v="73"/>
    <x v="73"/>
    <x v="4"/>
    <x v="3"/>
    <x v="3"/>
    <x v="72"/>
    <d v="2026-02-16T00:00:00"/>
    <d v="2022-07-16T00:00:00"/>
    <x v="73"/>
    <s v="Bangalore"/>
    <x v="1"/>
    <x v="0"/>
  </r>
  <r>
    <x v="74"/>
    <x v="74"/>
    <x v="4"/>
    <x v="4"/>
    <x v="0"/>
    <x v="73"/>
    <d v="2025-08-10T00:00:00"/>
    <d v="2017-10-25T00:00:00"/>
    <x v="74"/>
    <s v="Berlin"/>
    <x v="4"/>
    <x v="1"/>
  </r>
  <r>
    <x v="75"/>
    <x v="75"/>
    <x v="5"/>
    <x v="5"/>
    <x v="1"/>
    <x v="74"/>
    <d v="2025-06-06T00:00:00"/>
    <d v="2022-06-02T00:00:00"/>
    <x v="75"/>
    <s v="Sydney"/>
    <x v="1"/>
    <x v="0"/>
  </r>
  <r>
    <x v="76"/>
    <x v="76"/>
    <x v="4"/>
    <x v="3"/>
    <x v="1"/>
    <x v="75"/>
    <d v="2025-12-05T00:00:00"/>
    <d v="2017-04-15T00:00:00"/>
    <x v="76"/>
    <s v="New York"/>
    <x v="0"/>
    <x v="0"/>
  </r>
  <r>
    <x v="77"/>
    <x v="77"/>
    <x v="5"/>
    <x v="0"/>
    <x v="0"/>
    <x v="76"/>
    <d v="2025-10-15T00:00:00"/>
    <d v="2019-07-13T00:00:00"/>
    <x v="77"/>
    <s v="Singapore"/>
    <x v="4"/>
    <x v="1"/>
  </r>
  <r>
    <x v="78"/>
    <x v="78"/>
    <x v="2"/>
    <x v="2"/>
    <x v="2"/>
    <x v="77"/>
    <d v="2026-01-17T00:00:00"/>
    <d v="2021-03-07T00:00:00"/>
    <x v="78"/>
    <s v="Berlin"/>
    <x v="1"/>
    <x v="0"/>
  </r>
  <r>
    <x v="79"/>
    <x v="79"/>
    <x v="1"/>
    <x v="2"/>
    <x v="2"/>
    <x v="78"/>
    <d v="2025-12-13T00:00:00"/>
    <d v="2019-12-01T00:00:00"/>
    <x v="79"/>
    <s v="Sydney"/>
    <x v="3"/>
    <x v="1"/>
  </r>
  <r>
    <x v="80"/>
    <x v="80"/>
    <x v="0"/>
    <x v="1"/>
    <x v="3"/>
    <x v="79"/>
    <d v="2026-01-18T00:00:00"/>
    <d v="2020-05-29T00:00:00"/>
    <x v="80"/>
    <s v="Sydney"/>
    <x v="4"/>
    <x v="0"/>
  </r>
  <r>
    <x v="81"/>
    <x v="81"/>
    <x v="0"/>
    <x v="5"/>
    <x v="0"/>
    <x v="80"/>
    <d v="2026-01-18T00:00:00"/>
    <d v="2024-07-15T00:00:00"/>
    <x v="81"/>
    <s v="Sydney"/>
    <x v="1"/>
    <x v="1"/>
  </r>
  <r>
    <x v="82"/>
    <x v="82"/>
    <x v="1"/>
    <x v="2"/>
    <x v="1"/>
    <x v="81"/>
    <d v="2025-04-17T00:00:00"/>
    <d v="2021-05-18T00:00:00"/>
    <x v="82"/>
    <s v="Bangalore"/>
    <x v="2"/>
    <x v="1"/>
  </r>
  <r>
    <x v="83"/>
    <x v="83"/>
    <x v="4"/>
    <x v="0"/>
    <x v="1"/>
    <x v="82"/>
    <d v="2025-04-10T00:00:00"/>
    <d v="2015-12-16T00:00:00"/>
    <x v="83"/>
    <s v="London"/>
    <x v="3"/>
    <x v="0"/>
  </r>
  <r>
    <x v="84"/>
    <x v="84"/>
    <x v="4"/>
    <x v="1"/>
    <x v="0"/>
    <x v="83"/>
    <d v="2025-07-19T00:00:00"/>
    <d v="2020-09-22T00:00:00"/>
    <x v="84"/>
    <s v="Bangalore"/>
    <x v="4"/>
    <x v="0"/>
  </r>
  <r>
    <x v="85"/>
    <x v="85"/>
    <x v="1"/>
    <x v="5"/>
    <x v="1"/>
    <x v="84"/>
    <d v="2025-12-20T00:00:00"/>
    <d v="2020-10-28T00:00:00"/>
    <x v="85"/>
    <s v="New York"/>
    <x v="3"/>
    <x v="0"/>
  </r>
  <r>
    <x v="86"/>
    <x v="86"/>
    <x v="5"/>
    <x v="5"/>
    <x v="3"/>
    <x v="85"/>
    <d v="2025-10-29T00:00:00"/>
    <d v="2021-04-08T00:00:00"/>
    <x v="86"/>
    <s v="Berlin"/>
    <x v="2"/>
    <x v="1"/>
  </r>
  <r>
    <x v="87"/>
    <x v="87"/>
    <x v="3"/>
    <x v="2"/>
    <x v="3"/>
    <x v="86"/>
    <d v="2025-04-05T00:00:00"/>
    <d v="2024-04-09T00:00:00"/>
    <x v="87"/>
    <s v="New York"/>
    <x v="3"/>
    <x v="1"/>
  </r>
  <r>
    <x v="88"/>
    <x v="88"/>
    <x v="1"/>
    <x v="0"/>
    <x v="3"/>
    <x v="87"/>
    <d v="2025-03-21T00:00:00"/>
    <d v="2023-11-30T00:00:00"/>
    <x v="88"/>
    <s v="London"/>
    <x v="1"/>
    <x v="1"/>
  </r>
  <r>
    <x v="89"/>
    <x v="89"/>
    <x v="6"/>
    <x v="3"/>
    <x v="1"/>
    <x v="88"/>
    <d v="2025-04-30T00:00:00"/>
    <d v="2018-03-13T00:00:00"/>
    <x v="89"/>
    <s v="Toronto"/>
    <x v="3"/>
    <x v="0"/>
  </r>
  <r>
    <x v="90"/>
    <x v="90"/>
    <x v="6"/>
    <x v="2"/>
    <x v="0"/>
    <x v="89"/>
    <d v="2026-02-09T00:00:00"/>
    <d v="2017-04-06T00:00:00"/>
    <x v="90"/>
    <s v="Bangalore"/>
    <x v="0"/>
    <x v="0"/>
  </r>
  <r>
    <x v="91"/>
    <x v="91"/>
    <x v="4"/>
    <x v="5"/>
    <x v="3"/>
    <x v="90"/>
    <d v="2025-08-05T00:00:00"/>
    <d v="2018-03-30T00:00:00"/>
    <x v="91"/>
    <s v="Bangalore"/>
    <x v="3"/>
    <x v="1"/>
  </r>
  <r>
    <x v="92"/>
    <x v="92"/>
    <x v="5"/>
    <x v="3"/>
    <x v="2"/>
    <x v="85"/>
    <d v="2025-11-19T00:00:00"/>
    <d v="2020-02-02T00:00:00"/>
    <x v="92"/>
    <s v="Sydney"/>
    <x v="3"/>
    <x v="0"/>
  </r>
  <r>
    <x v="93"/>
    <x v="93"/>
    <x v="3"/>
    <x v="0"/>
    <x v="1"/>
    <x v="91"/>
    <d v="2026-02-15T00:00:00"/>
    <d v="2016-12-17T00:00:00"/>
    <x v="93"/>
    <s v="Toronto"/>
    <x v="1"/>
    <x v="1"/>
  </r>
  <r>
    <x v="94"/>
    <x v="94"/>
    <x v="3"/>
    <x v="5"/>
    <x v="2"/>
    <x v="92"/>
    <d v="2025-04-19T00:00:00"/>
    <d v="2023-01-14T00:00:00"/>
    <x v="94"/>
    <s v="Singapore"/>
    <x v="4"/>
    <x v="1"/>
  </r>
  <r>
    <x v="95"/>
    <x v="95"/>
    <x v="0"/>
    <x v="5"/>
    <x v="1"/>
    <x v="93"/>
    <d v="2025-04-07T00:00:00"/>
    <d v="2018-09-21T00:00:00"/>
    <x v="95"/>
    <s v="New York"/>
    <x v="4"/>
    <x v="1"/>
  </r>
  <r>
    <x v="96"/>
    <x v="96"/>
    <x v="2"/>
    <x v="5"/>
    <x v="2"/>
    <x v="94"/>
    <d v="2025-03-04T00:00:00"/>
    <d v="2017-11-23T00:00:00"/>
    <x v="96"/>
    <s v="Sydney"/>
    <x v="4"/>
    <x v="1"/>
  </r>
  <r>
    <x v="97"/>
    <x v="97"/>
    <x v="5"/>
    <x v="5"/>
    <x v="1"/>
    <x v="95"/>
    <d v="2026-01-18T00:00:00"/>
    <d v="2023-11-14T00:00:00"/>
    <x v="97"/>
    <s v="New York"/>
    <x v="0"/>
    <x v="1"/>
  </r>
  <r>
    <x v="98"/>
    <x v="98"/>
    <x v="0"/>
    <x v="4"/>
    <x v="2"/>
    <x v="96"/>
    <d v="2025-07-08T00:00:00"/>
    <d v="2019-09-09T00:00:00"/>
    <x v="98"/>
    <s v="London"/>
    <x v="0"/>
    <x v="1"/>
  </r>
  <r>
    <x v="99"/>
    <x v="99"/>
    <x v="6"/>
    <x v="0"/>
    <x v="3"/>
    <x v="97"/>
    <d v="2025-11-12T00:00:00"/>
    <d v="2023-03-08T00:00:00"/>
    <x v="99"/>
    <s v="Berlin"/>
    <x v="0"/>
    <x v="1"/>
  </r>
  <r>
    <x v="100"/>
    <x v="100"/>
    <x v="4"/>
    <x v="5"/>
    <x v="2"/>
    <x v="98"/>
    <d v="2025-11-24T00:00:00"/>
    <d v="2015-09-11T00:00:00"/>
    <x v="100"/>
    <s v="Sydney"/>
    <x v="3"/>
    <x v="0"/>
  </r>
  <r>
    <x v="101"/>
    <x v="101"/>
    <x v="5"/>
    <x v="4"/>
    <x v="2"/>
    <x v="99"/>
    <d v="2025-08-14T00:00:00"/>
    <d v="2020-08-15T00:00:00"/>
    <x v="101"/>
    <s v="Bangalore"/>
    <x v="0"/>
    <x v="0"/>
  </r>
  <r>
    <x v="102"/>
    <x v="102"/>
    <x v="3"/>
    <x v="1"/>
    <x v="3"/>
    <x v="100"/>
    <d v="2025-04-03T00:00:00"/>
    <d v="2017-04-25T00:00:00"/>
    <x v="102"/>
    <s v="Toronto"/>
    <x v="0"/>
    <x v="0"/>
  </r>
  <r>
    <x v="103"/>
    <x v="103"/>
    <x v="5"/>
    <x v="3"/>
    <x v="2"/>
    <x v="101"/>
    <d v="2025-11-06T00:00:00"/>
    <d v="2024-07-01T00:00:00"/>
    <x v="103"/>
    <s v="Bangalore"/>
    <x v="2"/>
    <x v="1"/>
  </r>
  <r>
    <x v="104"/>
    <x v="104"/>
    <x v="1"/>
    <x v="3"/>
    <x v="2"/>
    <x v="102"/>
    <d v="2025-12-11T00:00:00"/>
    <d v="2022-07-15T00:00:00"/>
    <x v="104"/>
    <s v="Berlin"/>
    <x v="2"/>
    <x v="0"/>
  </r>
  <r>
    <x v="105"/>
    <x v="105"/>
    <x v="0"/>
    <x v="5"/>
    <x v="3"/>
    <x v="103"/>
    <d v="2026-01-21T00:00:00"/>
    <d v="2016-07-06T00:00:00"/>
    <x v="105"/>
    <s v="London"/>
    <x v="0"/>
    <x v="1"/>
  </r>
  <r>
    <x v="106"/>
    <x v="106"/>
    <x v="5"/>
    <x v="5"/>
    <x v="0"/>
    <x v="104"/>
    <d v="2025-08-22T00:00:00"/>
    <d v="2020-09-30T00:00:00"/>
    <x v="106"/>
    <s v="Sydney"/>
    <x v="3"/>
    <x v="0"/>
  </r>
  <r>
    <x v="107"/>
    <x v="107"/>
    <x v="4"/>
    <x v="1"/>
    <x v="3"/>
    <x v="105"/>
    <d v="2025-04-29T00:00:00"/>
    <d v="2016-05-05T00:00:00"/>
    <x v="107"/>
    <s v="Sydney"/>
    <x v="3"/>
    <x v="1"/>
  </r>
  <r>
    <x v="108"/>
    <x v="108"/>
    <x v="6"/>
    <x v="0"/>
    <x v="2"/>
    <x v="106"/>
    <d v="2026-02-11T00:00:00"/>
    <d v="2023-03-03T00:00:00"/>
    <x v="108"/>
    <s v="Singapore"/>
    <x v="3"/>
    <x v="1"/>
  </r>
  <r>
    <x v="109"/>
    <x v="109"/>
    <x v="5"/>
    <x v="2"/>
    <x v="3"/>
    <x v="107"/>
    <d v="2025-11-28T00:00:00"/>
    <d v="2022-01-18T00:00:00"/>
    <x v="109"/>
    <s v="Toronto"/>
    <x v="2"/>
    <x v="0"/>
  </r>
  <r>
    <x v="110"/>
    <x v="110"/>
    <x v="2"/>
    <x v="5"/>
    <x v="2"/>
    <x v="108"/>
    <d v="2025-06-23T00:00:00"/>
    <d v="2019-06-16T00:00:00"/>
    <x v="110"/>
    <s v="New York"/>
    <x v="3"/>
    <x v="0"/>
  </r>
  <r>
    <x v="111"/>
    <x v="111"/>
    <x v="2"/>
    <x v="4"/>
    <x v="1"/>
    <x v="109"/>
    <d v="2025-05-11T00:00:00"/>
    <d v="2017-12-23T00:00:00"/>
    <x v="111"/>
    <s v="Singapore"/>
    <x v="0"/>
    <x v="1"/>
  </r>
  <r>
    <x v="112"/>
    <x v="112"/>
    <x v="1"/>
    <x v="1"/>
    <x v="0"/>
    <x v="110"/>
    <d v="2025-08-31T00:00:00"/>
    <d v="2022-07-23T00:00:00"/>
    <x v="112"/>
    <s v="New York"/>
    <x v="2"/>
    <x v="0"/>
  </r>
  <r>
    <x v="113"/>
    <x v="113"/>
    <x v="4"/>
    <x v="0"/>
    <x v="2"/>
    <x v="111"/>
    <d v="2025-05-12T00:00:00"/>
    <d v="2022-04-26T00:00:00"/>
    <x v="113"/>
    <s v="New York"/>
    <x v="0"/>
    <x v="1"/>
  </r>
  <r>
    <x v="114"/>
    <x v="114"/>
    <x v="6"/>
    <x v="3"/>
    <x v="2"/>
    <x v="112"/>
    <d v="2025-06-10T00:00:00"/>
    <d v="2019-05-28T00:00:00"/>
    <x v="114"/>
    <s v="Berlin"/>
    <x v="0"/>
    <x v="0"/>
  </r>
  <r>
    <x v="115"/>
    <x v="115"/>
    <x v="6"/>
    <x v="2"/>
    <x v="1"/>
    <x v="113"/>
    <d v="2025-10-15T00:00:00"/>
    <d v="2024-02-28T00:00:00"/>
    <x v="115"/>
    <s v="Bangalore"/>
    <x v="4"/>
    <x v="0"/>
  </r>
  <r>
    <x v="116"/>
    <x v="116"/>
    <x v="3"/>
    <x v="3"/>
    <x v="1"/>
    <x v="114"/>
    <d v="2025-05-22T00:00:00"/>
    <d v="2016-12-11T00:00:00"/>
    <x v="116"/>
    <s v="Bangalore"/>
    <x v="1"/>
    <x v="1"/>
  </r>
  <r>
    <x v="117"/>
    <x v="117"/>
    <x v="1"/>
    <x v="5"/>
    <x v="1"/>
    <x v="115"/>
    <d v="2025-08-20T00:00:00"/>
    <d v="2017-12-20T00:00:00"/>
    <x v="117"/>
    <s v="Bangalore"/>
    <x v="4"/>
    <x v="1"/>
  </r>
  <r>
    <x v="118"/>
    <x v="118"/>
    <x v="3"/>
    <x v="5"/>
    <x v="0"/>
    <x v="116"/>
    <d v="2025-03-25T00:00:00"/>
    <d v="2016-06-19T00:00:00"/>
    <x v="118"/>
    <s v="New York"/>
    <x v="4"/>
    <x v="0"/>
  </r>
  <r>
    <x v="119"/>
    <x v="119"/>
    <x v="2"/>
    <x v="2"/>
    <x v="0"/>
    <x v="117"/>
    <d v="2026-02-04T00:00:00"/>
    <d v="2020-08-30T00:00:00"/>
    <x v="119"/>
    <s v="Bangalore"/>
    <x v="1"/>
    <x v="0"/>
  </r>
  <r>
    <x v="120"/>
    <x v="120"/>
    <x v="5"/>
    <x v="5"/>
    <x v="2"/>
    <x v="118"/>
    <d v="2025-05-10T00:00:00"/>
    <d v="2016-03-20T00:00:00"/>
    <x v="120"/>
    <s v="London"/>
    <x v="3"/>
    <x v="0"/>
  </r>
  <r>
    <x v="121"/>
    <x v="121"/>
    <x v="6"/>
    <x v="4"/>
    <x v="3"/>
    <x v="119"/>
    <d v="2025-11-12T00:00:00"/>
    <d v="2016-07-25T00:00:00"/>
    <x v="121"/>
    <s v="Sydney"/>
    <x v="1"/>
    <x v="1"/>
  </r>
  <r>
    <x v="122"/>
    <x v="122"/>
    <x v="6"/>
    <x v="0"/>
    <x v="2"/>
    <x v="120"/>
    <d v="2025-11-01T00:00:00"/>
    <d v="2021-05-19T00:00:00"/>
    <x v="122"/>
    <s v="New York"/>
    <x v="0"/>
    <x v="1"/>
  </r>
  <r>
    <x v="123"/>
    <x v="123"/>
    <x v="5"/>
    <x v="0"/>
    <x v="1"/>
    <x v="121"/>
    <d v="2025-12-23T00:00:00"/>
    <d v="2019-08-06T00:00:00"/>
    <x v="123"/>
    <s v="Bangalore"/>
    <x v="4"/>
    <x v="1"/>
  </r>
  <r>
    <x v="124"/>
    <x v="124"/>
    <x v="6"/>
    <x v="5"/>
    <x v="1"/>
    <x v="122"/>
    <d v="2025-12-17T00:00:00"/>
    <d v="2016-01-29T00:00:00"/>
    <x v="124"/>
    <s v="Sydney"/>
    <x v="4"/>
    <x v="0"/>
  </r>
  <r>
    <x v="125"/>
    <x v="125"/>
    <x v="4"/>
    <x v="1"/>
    <x v="1"/>
    <x v="123"/>
    <d v="2025-09-16T00:00:00"/>
    <d v="2016-10-13T00:00:00"/>
    <x v="125"/>
    <s v="Toronto"/>
    <x v="3"/>
    <x v="0"/>
  </r>
  <r>
    <x v="126"/>
    <x v="126"/>
    <x v="2"/>
    <x v="2"/>
    <x v="0"/>
    <x v="124"/>
    <d v="2025-06-13T00:00:00"/>
    <d v="2017-08-27T00:00:00"/>
    <x v="126"/>
    <s v="New York"/>
    <x v="3"/>
    <x v="1"/>
  </r>
  <r>
    <x v="127"/>
    <x v="127"/>
    <x v="2"/>
    <x v="3"/>
    <x v="0"/>
    <x v="125"/>
    <d v="2026-01-10T00:00:00"/>
    <d v="2017-06-04T00:00:00"/>
    <x v="127"/>
    <s v="Bangalore"/>
    <x v="0"/>
    <x v="0"/>
  </r>
  <r>
    <x v="128"/>
    <x v="128"/>
    <x v="6"/>
    <x v="5"/>
    <x v="0"/>
    <x v="126"/>
    <d v="2025-03-16T00:00:00"/>
    <d v="2020-02-05T00:00:00"/>
    <x v="128"/>
    <s v="Toronto"/>
    <x v="1"/>
    <x v="1"/>
  </r>
  <r>
    <x v="129"/>
    <x v="129"/>
    <x v="1"/>
    <x v="3"/>
    <x v="2"/>
    <x v="127"/>
    <d v="2026-02-03T00:00:00"/>
    <d v="2024-06-05T00:00:00"/>
    <x v="129"/>
    <s v="Sydney"/>
    <x v="4"/>
    <x v="0"/>
  </r>
  <r>
    <x v="130"/>
    <x v="130"/>
    <x v="5"/>
    <x v="4"/>
    <x v="3"/>
    <x v="128"/>
    <d v="2025-03-21T00:00:00"/>
    <d v="2021-05-05T00:00:00"/>
    <x v="130"/>
    <s v="London"/>
    <x v="2"/>
    <x v="0"/>
  </r>
  <r>
    <x v="131"/>
    <x v="131"/>
    <x v="5"/>
    <x v="2"/>
    <x v="2"/>
    <x v="129"/>
    <d v="2025-12-26T00:00:00"/>
    <d v="2017-11-07T00:00:00"/>
    <x v="131"/>
    <s v="New York"/>
    <x v="1"/>
    <x v="1"/>
  </r>
  <r>
    <x v="132"/>
    <x v="132"/>
    <x v="6"/>
    <x v="1"/>
    <x v="2"/>
    <x v="130"/>
    <d v="2025-11-24T00:00:00"/>
    <d v="2022-06-19T00:00:00"/>
    <x v="132"/>
    <s v="Bangalore"/>
    <x v="0"/>
    <x v="1"/>
  </r>
  <r>
    <x v="133"/>
    <x v="133"/>
    <x v="0"/>
    <x v="0"/>
    <x v="3"/>
    <x v="131"/>
    <d v="2025-05-30T00:00:00"/>
    <d v="2018-07-17T00:00:00"/>
    <x v="133"/>
    <s v="Berlin"/>
    <x v="4"/>
    <x v="1"/>
  </r>
  <r>
    <x v="134"/>
    <x v="134"/>
    <x v="2"/>
    <x v="2"/>
    <x v="1"/>
    <x v="132"/>
    <d v="2025-06-22T00:00:00"/>
    <d v="2016-06-30T00:00:00"/>
    <x v="134"/>
    <s v="Sydney"/>
    <x v="4"/>
    <x v="0"/>
  </r>
  <r>
    <x v="135"/>
    <x v="135"/>
    <x v="5"/>
    <x v="3"/>
    <x v="0"/>
    <x v="133"/>
    <d v="2025-09-05T00:00:00"/>
    <d v="2020-06-27T00:00:00"/>
    <x v="135"/>
    <s v="Toronto"/>
    <x v="2"/>
    <x v="1"/>
  </r>
  <r>
    <x v="136"/>
    <x v="136"/>
    <x v="1"/>
    <x v="1"/>
    <x v="2"/>
    <x v="134"/>
    <d v="2025-04-06T00:00:00"/>
    <d v="2018-01-03T00:00:00"/>
    <x v="136"/>
    <s v="Berlin"/>
    <x v="0"/>
    <x v="1"/>
  </r>
  <r>
    <x v="137"/>
    <x v="137"/>
    <x v="0"/>
    <x v="4"/>
    <x v="1"/>
    <x v="135"/>
    <d v="2025-10-05T00:00:00"/>
    <d v="2020-04-29T00:00:00"/>
    <x v="137"/>
    <s v="New York"/>
    <x v="3"/>
    <x v="0"/>
  </r>
  <r>
    <x v="138"/>
    <x v="138"/>
    <x v="6"/>
    <x v="0"/>
    <x v="3"/>
    <x v="136"/>
    <d v="2025-10-29T00:00:00"/>
    <d v="2021-12-20T00:00:00"/>
    <x v="138"/>
    <s v="Berlin"/>
    <x v="3"/>
    <x v="1"/>
  </r>
  <r>
    <x v="139"/>
    <x v="139"/>
    <x v="6"/>
    <x v="5"/>
    <x v="2"/>
    <x v="137"/>
    <d v="2025-06-25T00:00:00"/>
    <d v="2016-05-07T00:00:00"/>
    <x v="139"/>
    <s v="Berlin"/>
    <x v="0"/>
    <x v="1"/>
  </r>
  <r>
    <x v="140"/>
    <x v="140"/>
    <x v="0"/>
    <x v="5"/>
    <x v="2"/>
    <x v="138"/>
    <d v="2025-12-17T00:00:00"/>
    <d v="2016-09-21T00:00:00"/>
    <x v="140"/>
    <s v="Berlin"/>
    <x v="0"/>
    <x v="1"/>
  </r>
  <r>
    <x v="141"/>
    <x v="141"/>
    <x v="5"/>
    <x v="2"/>
    <x v="2"/>
    <x v="139"/>
    <d v="2025-08-24T00:00:00"/>
    <d v="2020-05-21T00:00:00"/>
    <x v="141"/>
    <s v="London"/>
    <x v="0"/>
    <x v="0"/>
  </r>
  <r>
    <x v="142"/>
    <x v="142"/>
    <x v="5"/>
    <x v="2"/>
    <x v="1"/>
    <x v="140"/>
    <d v="2025-04-07T00:00:00"/>
    <d v="2022-11-28T00:00:00"/>
    <x v="142"/>
    <s v="Singapore"/>
    <x v="1"/>
    <x v="1"/>
  </r>
  <r>
    <x v="143"/>
    <x v="143"/>
    <x v="3"/>
    <x v="1"/>
    <x v="0"/>
    <x v="141"/>
    <d v="2025-04-23T00:00:00"/>
    <d v="2020-06-26T00:00:00"/>
    <x v="143"/>
    <s v="Singapore"/>
    <x v="0"/>
    <x v="1"/>
  </r>
  <r>
    <x v="144"/>
    <x v="144"/>
    <x v="5"/>
    <x v="0"/>
    <x v="0"/>
    <x v="142"/>
    <d v="2025-04-05T00:00:00"/>
    <d v="2019-06-30T00:00:00"/>
    <x v="144"/>
    <s v="London"/>
    <x v="2"/>
    <x v="1"/>
  </r>
  <r>
    <x v="145"/>
    <x v="145"/>
    <x v="0"/>
    <x v="2"/>
    <x v="1"/>
    <x v="143"/>
    <d v="2025-08-20T00:00:00"/>
    <d v="2024-05-23T00:00:00"/>
    <x v="145"/>
    <s v="New York"/>
    <x v="0"/>
    <x v="0"/>
  </r>
  <r>
    <x v="146"/>
    <x v="146"/>
    <x v="6"/>
    <x v="3"/>
    <x v="1"/>
    <x v="144"/>
    <d v="2025-10-31T00:00:00"/>
    <d v="2019-03-07T00:00:00"/>
    <x v="146"/>
    <s v="New York"/>
    <x v="3"/>
    <x v="1"/>
  </r>
  <r>
    <x v="147"/>
    <x v="147"/>
    <x v="3"/>
    <x v="0"/>
    <x v="0"/>
    <x v="145"/>
    <d v="2025-07-26T00:00:00"/>
    <d v="2018-09-19T00:00:00"/>
    <x v="147"/>
    <s v="Bangalore"/>
    <x v="0"/>
    <x v="1"/>
  </r>
  <r>
    <x v="148"/>
    <x v="148"/>
    <x v="3"/>
    <x v="3"/>
    <x v="2"/>
    <x v="146"/>
    <d v="2025-08-10T00:00:00"/>
    <d v="2024-05-18T00:00:00"/>
    <x v="148"/>
    <s v="New York"/>
    <x v="0"/>
    <x v="0"/>
  </r>
  <r>
    <x v="149"/>
    <x v="149"/>
    <x v="5"/>
    <x v="0"/>
    <x v="1"/>
    <x v="147"/>
    <d v="2025-10-19T00:00:00"/>
    <d v="2021-02-02T00:00:00"/>
    <x v="149"/>
    <s v="Bangalore"/>
    <x v="1"/>
    <x v="0"/>
  </r>
  <r>
    <x v="150"/>
    <x v="150"/>
    <x v="0"/>
    <x v="3"/>
    <x v="0"/>
    <x v="148"/>
    <d v="2025-02-20T00:00:00"/>
    <d v="2022-09-07T00:00:00"/>
    <x v="150"/>
    <s v="Toronto"/>
    <x v="3"/>
    <x v="1"/>
  </r>
  <r>
    <x v="151"/>
    <x v="151"/>
    <x v="6"/>
    <x v="5"/>
    <x v="0"/>
    <x v="149"/>
    <d v="2025-03-23T00:00:00"/>
    <d v="2021-09-08T00:00:00"/>
    <x v="151"/>
    <s v="Bangalore"/>
    <x v="1"/>
    <x v="1"/>
  </r>
  <r>
    <x v="152"/>
    <x v="152"/>
    <x v="6"/>
    <x v="5"/>
    <x v="2"/>
    <x v="150"/>
    <d v="2025-06-04T00:00:00"/>
    <d v="2017-05-29T00:00:00"/>
    <x v="152"/>
    <s v="Bangalore"/>
    <x v="0"/>
    <x v="0"/>
  </r>
  <r>
    <x v="153"/>
    <x v="153"/>
    <x v="3"/>
    <x v="3"/>
    <x v="1"/>
    <x v="151"/>
    <d v="2025-06-08T00:00:00"/>
    <d v="2021-06-04T00:00:00"/>
    <x v="153"/>
    <s v="New York"/>
    <x v="2"/>
    <x v="1"/>
  </r>
  <r>
    <x v="154"/>
    <x v="154"/>
    <x v="3"/>
    <x v="0"/>
    <x v="0"/>
    <x v="152"/>
    <d v="2025-12-05T00:00:00"/>
    <d v="2021-02-09T00:00:00"/>
    <x v="154"/>
    <s v="Berlin"/>
    <x v="1"/>
    <x v="0"/>
  </r>
  <r>
    <x v="155"/>
    <x v="155"/>
    <x v="4"/>
    <x v="1"/>
    <x v="2"/>
    <x v="153"/>
    <d v="2025-06-10T00:00:00"/>
    <d v="2016-10-26T00:00:00"/>
    <x v="155"/>
    <s v="London"/>
    <x v="3"/>
    <x v="0"/>
  </r>
  <r>
    <x v="156"/>
    <x v="156"/>
    <x v="0"/>
    <x v="5"/>
    <x v="1"/>
    <x v="154"/>
    <d v="2025-05-22T00:00:00"/>
    <d v="2016-01-27T00:00:00"/>
    <x v="156"/>
    <s v="Sydney"/>
    <x v="1"/>
    <x v="1"/>
  </r>
  <r>
    <x v="157"/>
    <x v="157"/>
    <x v="6"/>
    <x v="4"/>
    <x v="3"/>
    <x v="155"/>
    <d v="2025-03-23T00:00:00"/>
    <d v="2022-03-05T00:00:00"/>
    <x v="157"/>
    <s v="Bangalore"/>
    <x v="0"/>
    <x v="1"/>
  </r>
  <r>
    <x v="158"/>
    <x v="158"/>
    <x v="6"/>
    <x v="3"/>
    <x v="1"/>
    <x v="156"/>
    <d v="2025-03-05T00:00:00"/>
    <d v="2018-05-26T00:00:00"/>
    <x v="158"/>
    <s v="Berlin"/>
    <x v="0"/>
    <x v="0"/>
  </r>
  <r>
    <x v="159"/>
    <x v="159"/>
    <x v="4"/>
    <x v="5"/>
    <x v="0"/>
    <x v="157"/>
    <d v="2025-07-13T00:00:00"/>
    <d v="2017-01-01T00:00:00"/>
    <x v="159"/>
    <s v="Toronto"/>
    <x v="3"/>
    <x v="0"/>
  </r>
  <r>
    <x v="160"/>
    <x v="160"/>
    <x v="2"/>
    <x v="4"/>
    <x v="3"/>
    <x v="158"/>
    <d v="2026-01-19T00:00:00"/>
    <d v="2020-01-26T00:00:00"/>
    <x v="160"/>
    <s v="London"/>
    <x v="1"/>
    <x v="0"/>
  </r>
  <r>
    <x v="161"/>
    <x v="161"/>
    <x v="0"/>
    <x v="0"/>
    <x v="0"/>
    <x v="159"/>
    <d v="2026-01-06T00:00:00"/>
    <d v="2016-11-04T00:00:00"/>
    <x v="161"/>
    <s v="Sydney"/>
    <x v="2"/>
    <x v="1"/>
  </r>
  <r>
    <x v="162"/>
    <x v="162"/>
    <x v="0"/>
    <x v="0"/>
    <x v="3"/>
    <x v="160"/>
    <d v="2025-04-08T00:00:00"/>
    <d v="2024-01-04T00:00:00"/>
    <x v="162"/>
    <s v="Bangalore"/>
    <x v="0"/>
    <x v="1"/>
  </r>
  <r>
    <x v="163"/>
    <x v="163"/>
    <x v="0"/>
    <x v="1"/>
    <x v="0"/>
    <x v="161"/>
    <d v="2025-05-02T00:00:00"/>
    <d v="2019-03-15T00:00:00"/>
    <x v="163"/>
    <s v="Bangalore"/>
    <x v="1"/>
    <x v="0"/>
  </r>
  <r>
    <x v="164"/>
    <x v="164"/>
    <x v="5"/>
    <x v="5"/>
    <x v="2"/>
    <x v="162"/>
    <d v="2025-02-21T00:00:00"/>
    <d v="2022-09-03T00:00:00"/>
    <x v="164"/>
    <s v="Toronto"/>
    <x v="3"/>
    <x v="0"/>
  </r>
  <r>
    <x v="165"/>
    <x v="165"/>
    <x v="4"/>
    <x v="1"/>
    <x v="0"/>
    <x v="163"/>
    <d v="2026-02-08T00:00:00"/>
    <d v="2019-04-22T00:00:00"/>
    <x v="165"/>
    <s v="Toronto"/>
    <x v="0"/>
    <x v="0"/>
  </r>
  <r>
    <x v="166"/>
    <x v="166"/>
    <x v="3"/>
    <x v="2"/>
    <x v="1"/>
    <x v="164"/>
    <d v="2025-04-03T00:00:00"/>
    <d v="2019-09-08T00:00:00"/>
    <x v="166"/>
    <s v="Bangalore"/>
    <x v="3"/>
    <x v="0"/>
  </r>
  <r>
    <x v="167"/>
    <x v="167"/>
    <x v="0"/>
    <x v="2"/>
    <x v="0"/>
    <x v="165"/>
    <d v="2025-07-26T00:00:00"/>
    <d v="2023-10-23T00:00:00"/>
    <x v="167"/>
    <s v="Singapore"/>
    <x v="1"/>
    <x v="0"/>
  </r>
  <r>
    <x v="168"/>
    <x v="168"/>
    <x v="4"/>
    <x v="4"/>
    <x v="3"/>
    <x v="166"/>
    <d v="2025-09-16T00:00:00"/>
    <d v="2023-09-22T00:00:00"/>
    <x v="168"/>
    <s v="Toronto"/>
    <x v="4"/>
    <x v="1"/>
  </r>
  <r>
    <x v="169"/>
    <x v="169"/>
    <x v="2"/>
    <x v="5"/>
    <x v="3"/>
    <x v="167"/>
    <d v="2025-04-17T00:00:00"/>
    <d v="2024-06-20T00:00:00"/>
    <x v="169"/>
    <s v="Sydney"/>
    <x v="4"/>
    <x v="0"/>
  </r>
  <r>
    <x v="170"/>
    <x v="170"/>
    <x v="2"/>
    <x v="3"/>
    <x v="3"/>
    <x v="168"/>
    <d v="2025-02-27T00:00:00"/>
    <d v="2023-10-13T00:00:00"/>
    <x v="170"/>
    <s v="Berlin"/>
    <x v="0"/>
    <x v="1"/>
  </r>
  <r>
    <x v="171"/>
    <x v="171"/>
    <x v="5"/>
    <x v="0"/>
    <x v="0"/>
    <x v="169"/>
    <d v="2026-01-09T00:00:00"/>
    <d v="2023-01-22T00:00:00"/>
    <x v="171"/>
    <s v="Sydney"/>
    <x v="0"/>
    <x v="1"/>
  </r>
  <r>
    <x v="172"/>
    <x v="172"/>
    <x v="2"/>
    <x v="1"/>
    <x v="1"/>
    <x v="170"/>
    <d v="2025-03-11T00:00:00"/>
    <d v="2018-09-07T00:00:00"/>
    <x v="172"/>
    <s v="Bangalore"/>
    <x v="4"/>
    <x v="1"/>
  </r>
  <r>
    <x v="173"/>
    <x v="173"/>
    <x v="0"/>
    <x v="3"/>
    <x v="2"/>
    <x v="171"/>
    <d v="2025-04-14T00:00:00"/>
    <d v="2015-08-27T00:00:00"/>
    <x v="173"/>
    <s v="Sydney"/>
    <x v="1"/>
    <x v="0"/>
  </r>
  <r>
    <x v="174"/>
    <x v="174"/>
    <x v="0"/>
    <x v="0"/>
    <x v="3"/>
    <x v="172"/>
    <d v="2025-11-10T00:00:00"/>
    <d v="2020-01-13T00:00:00"/>
    <x v="174"/>
    <s v="Sydney"/>
    <x v="2"/>
    <x v="0"/>
  </r>
  <r>
    <x v="175"/>
    <x v="175"/>
    <x v="4"/>
    <x v="5"/>
    <x v="3"/>
    <x v="173"/>
    <d v="2025-04-10T00:00:00"/>
    <d v="2016-08-24T00:00:00"/>
    <x v="175"/>
    <s v="New York"/>
    <x v="0"/>
    <x v="1"/>
  </r>
  <r>
    <x v="176"/>
    <x v="176"/>
    <x v="4"/>
    <x v="2"/>
    <x v="2"/>
    <x v="174"/>
    <d v="2026-01-11T00:00:00"/>
    <d v="2021-03-16T00:00:00"/>
    <x v="176"/>
    <s v="Bangalore"/>
    <x v="3"/>
    <x v="1"/>
  </r>
  <r>
    <x v="177"/>
    <x v="177"/>
    <x v="2"/>
    <x v="0"/>
    <x v="1"/>
    <x v="175"/>
    <d v="2025-02-18T00:00:00"/>
    <d v="2024-06-25T00:00:00"/>
    <x v="177"/>
    <s v="Singapore"/>
    <x v="4"/>
    <x v="0"/>
  </r>
  <r>
    <x v="178"/>
    <x v="178"/>
    <x v="6"/>
    <x v="5"/>
    <x v="3"/>
    <x v="176"/>
    <d v="2025-03-06T00:00:00"/>
    <d v="2016-10-22T00:00:00"/>
    <x v="178"/>
    <s v="Bangalore"/>
    <x v="3"/>
    <x v="0"/>
  </r>
  <r>
    <x v="179"/>
    <x v="179"/>
    <x v="2"/>
    <x v="1"/>
    <x v="3"/>
    <x v="177"/>
    <d v="2025-03-14T00:00:00"/>
    <d v="2023-07-27T00:00:00"/>
    <x v="179"/>
    <s v="Toronto"/>
    <x v="3"/>
    <x v="0"/>
  </r>
  <r>
    <x v="180"/>
    <x v="180"/>
    <x v="2"/>
    <x v="5"/>
    <x v="3"/>
    <x v="178"/>
    <d v="2025-08-26T00:00:00"/>
    <d v="2016-10-01T00:00:00"/>
    <x v="180"/>
    <s v="Berlin"/>
    <x v="0"/>
    <x v="1"/>
  </r>
  <r>
    <x v="181"/>
    <x v="181"/>
    <x v="0"/>
    <x v="2"/>
    <x v="2"/>
    <x v="179"/>
    <d v="2025-05-12T00:00:00"/>
    <d v="2016-12-21T00:00:00"/>
    <x v="181"/>
    <s v="Toronto"/>
    <x v="3"/>
    <x v="1"/>
  </r>
  <r>
    <x v="182"/>
    <x v="182"/>
    <x v="6"/>
    <x v="3"/>
    <x v="3"/>
    <x v="180"/>
    <d v="2025-05-03T00:00:00"/>
    <d v="2016-03-12T00:00:00"/>
    <x v="182"/>
    <s v="Bangalore"/>
    <x v="1"/>
    <x v="1"/>
  </r>
  <r>
    <x v="183"/>
    <x v="183"/>
    <x v="6"/>
    <x v="0"/>
    <x v="1"/>
    <x v="181"/>
    <d v="2025-09-26T00:00:00"/>
    <d v="2015-12-06T00:00:00"/>
    <x v="183"/>
    <s v="Berlin"/>
    <x v="2"/>
    <x v="1"/>
  </r>
  <r>
    <x v="184"/>
    <x v="184"/>
    <x v="5"/>
    <x v="0"/>
    <x v="1"/>
    <x v="182"/>
    <d v="2026-01-30T00:00:00"/>
    <d v="2016-02-22T00:00:00"/>
    <x v="184"/>
    <s v="Toronto"/>
    <x v="2"/>
    <x v="0"/>
  </r>
  <r>
    <x v="185"/>
    <x v="185"/>
    <x v="5"/>
    <x v="4"/>
    <x v="3"/>
    <x v="183"/>
    <d v="2025-07-16T00:00:00"/>
    <d v="2018-04-30T00:00:00"/>
    <x v="185"/>
    <s v="Berlin"/>
    <x v="2"/>
    <x v="1"/>
  </r>
  <r>
    <x v="186"/>
    <x v="186"/>
    <x v="5"/>
    <x v="0"/>
    <x v="3"/>
    <x v="184"/>
    <d v="2025-08-23T00:00:00"/>
    <d v="2020-07-23T00:00:00"/>
    <x v="186"/>
    <s v="London"/>
    <x v="4"/>
    <x v="0"/>
  </r>
  <r>
    <x v="187"/>
    <x v="187"/>
    <x v="4"/>
    <x v="4"/>
    <x v="0"/>
    <x v="185"/>
    <d v="2026-01-09T00:00:00"/>
    <d v="2019-11-22T00:00:00"/>
    <x v="187"/>
    <s v="Toronto"/>
    <x v="3"/>
    <x v="0"/>
  </r>
  <r>
    <x v="188"/>
    <x v="188"/>
    <x v="4"/>
    <x v="3"/>
    <x v="1"/>
    <x v="186"/>
    <d v="2026-01-05T00:00:00"/>
    <d v="2019-01-25T00:00:00"/>
    <x v="188"/>
    <s v="Berlin"/>
    <x v="0"/>
    <x v="1"/>
  </r>
  <r>
    <x v="189"/>
    <x v="189"/>
    <x v="3"/>
    <x v="2"/>
    <x v="1"/>
    <x v="187"/>
    <d v="2026-01-30T00:00:00"/>
    <d v="2017-05-28T00:00:00"/>
    <x v="189"/>
    <s v="Singapore"/>
    <x v="3"/>
    <x v="0"/>
  </r>
  <r>
    <x v="190"/>
    <x v="190"/>
    <x v="6"/>
    <x v="5"/>
    <x v="2"/>
    <x v="188"/>
    <d v="2025-09-30T00:00:00"/>
    <d v="2017-01-02T00:00:00"/>
    <x v="190"/>
    <s v="Singapore"/>
    <x v="0"/>
    <x v="1"/>
  </r>
  <r>
    <x v="191"/>
    <x v="191"/>
    <x v="0"/>
    <x v="2"/>
    <x v="1"/>
    <x v="189"/>
    <d v="2025-10-04T00:00:00"/>
    <d v="2017-01-30T00:00:00"/>
    <x v="191"/>
    <s v="Sydney"/>
    <x v="2"/>
    <x v="1"/>
  </r>
  <r>
    <x v="192"/>
    <x v="192"/>
    <x v="4"/>
    <x v="2"/>
    <x v="2"/>
    <x v="190"/>
    <d v="2025-06-06T00:00:00"/>
    <d v="2019-12-12T00:00:00"/>
    <x v="192"/>
    <s v="Singapore"/>
    <x v="4"/>
    <x v="1"/>
  </r>
  <r>
    <x v="193"/>
    <x v="193"/>
    <x v="5"/>
    <x v="2"/>
    <x v="0"/>
    <x v="191"/>
    <d v="2025-12-17T00:00:00"/>
    <d v="2021-09-16T00:00:00"/>
    <x v="193"/>
    <s v="Bangalore"/>
    <x v="4"/>
    <x v="1"/>
  </r>
  <r>
    <x v="194"/>
    <x v="194"/>
    <x v="0"/>
    <x v="3"/>
    <x v="0"/>
    <x v="192"/>
    <d v="2025-09-17T00:00:00"/>
    <d v="2017-02-07T00:00:00"/>
    <x v="194"/>
    <s v="New York"/>
    <x v="0"/>
    <x v="0"/>
  </r>
  <r>
    <x v="195"/>
    <x v="195"/>
    <x v="2"/>
    <x v="2"/>
    <x v="1"/>
    <x v="193"/>
    <d v="2025-12-02T00:00:00"/>
    <d v="2021-10-16T00:00:00"/>
    <x v="195"/>
    <s v="London"/>
    <x v="1"/>
    <x v="0"/>
  </r>
  <r>
    <x v="196"/>
    <x v="196"/>
    <x v="5"/>
    <x v="3"/>
    <x v="1"/>
    <x v="194"/>
    <d v="2025-07-21T00:00:00"/>
    <d v="2015-09-27T00:00:00"/>
    <x v="196"/>
    <s v="Sydney"/>
    <x v="3"/>
    <x v="1"/>
  </r>
  <r>
    <x v="197"/>
    <x v="197"/>
    <x v="4"/>
    <x v="3"/>
    <x v="0"/>
    <x v="195"/>
    <d v="2025-05-02T00:00:00"/>
    <d v="2017-01-01T00:00:00"/>
    <x v="197"/>
    <s v="Bangalore"/>
    <x v="4"/>
    <x v="1"/>
  </r>
  <r>
    <x v="198"/>
    <x v="198"/>
    <x v="3"/>
    <x v="5"/>
    <x v="0"/>
    <x v="196"/>
    <d v="2025-09-20T00:00:00"/>
    <d v="2017-12-20T00:00:00"/>
    <x v="198"/>
    <s v="Bangalore"/>
    <x v="0"/>
    <x v="1"/>
  </r>
  <r>
    <x v="199"/>
    <x v="199"/>
    <x v="2"/>
    <x v="5"/>
    <x v="2"/>
    <x v="197"/>
    <d v="2025-06-05T00:00:00"/>
    <d v="2019-06-05T00:00:00"/>
    <x v="199"/>
    <s v="Singapore"/>
    <x v="1"/>
    <x v="1"/>
  </r>
  <r>
    <x v="200"/>
    <x v="200"/>
    <x v="1"/>
    <x v="1"/>
    <x v="1"/>
    <x v="198"/>
    <d v="2026-02-06T00:00:00"/>
    <d v="2022-05-30T00:00:00"/>
    <x v="200"/>
    <s v="London"/>
    <x v="2"/>
    <x v="0"/>
  </r>
  <r>
    <x v="201"/>
    <x v="201"/>
    <x v="1"/>
    <x v="1"/>
    <x v="2"/>
    <x v="199"/>
    <d v="2026-01-24T00:00:00"/>
    <d v="2021-08-17T00:00:00"/>
    <x v="201"/>
    <s v="London"/>
    <x v="1"/>
    <x v="1"/>
  </r>
  <r>
    <x v="202"/>
    <x v="202"/>
    <x v="6"/>
    <x v="4"/>
    <x v="3"/>
    <x v="200"/>
    <d v="2025-10-18T00:00:00"/>
    <d v="2017-12-27T00:00:00"/>
    <x v="202"/>
    <s v="Bangalore"/>
    <x v="2"/>
    <x v="1"/>
  </r>
  <r>
    <x v="203"/>
    <x v="203"/>
    <x v="2"/>
    <x v="0"/>
    <x v="1"/>
    <x v="201"/>
    <d v="2026-01-04T00:00:00"/>
    <d v="2019-05-24T00:00:00"/>
    <x v="203"/>
    <s v="New York"/>
    <x v="4"/>
    <x v="1"/>
  </r>
  <r>
    <x v="204"/>
    <x v="204"/>
    <x v="0"/>
    <x v="1"/>
    <x v="1"/>
    <x v="202"/>
    <d v="2025-07-15T00:00:00"/>
    <d v="2021-03-07T00:00:00"/>
    <x v="204"/>
    <s v="Toronto"/>
    <x v="3"/>
    <x v="0"/>
  </r>
  <r>
    <x v="205"/>
    <x v="205"/>
    <x v="3"/>
    <x v="3"/>
    <x v="0"/>
    <x v="203"/>
    <d v="2025-09-15T00:00:00"/>
    <d v="2020-06-17T00:00:00"/>
    <x v="205"/>
    <s v="Sydney"/>
    <x v="2"/>
    <x v="0"/>
  </r>
  <r>
    <x v="206"/>
    <x v="206"/>
    <x v="5"/>
    <x v="5"/>
    <x v="1"/>
    <x v="192"/>
    <d v="2025-07-01T00:00:00"/>
    <d v="2017-12-28T00:00:00"/>
    <x v="206"/>
    <s v="Sydney"/>
    <x v="3"/>
    <x v="0"/>
  </r>
  <r>
    <x v="207"/>
    <x v="207"/>
    <x v="6"/>
    <x v="2"/>
    <x v="1"/>
    <x v="204"/>
    <d v="2026-01-11T00:00:00"/>
    <d v="2018-03-12T00:00:00"/>
    <x v="207"/>
    <s v="Toronto"/>
    <x v="4"/>
    <x v="0"/>
  </r>
  <r>
    <x v="208"/>
    <x v="208"/>
    <x v="4"/>
    <x v="2"/>
    <x v="2"/>
    <x v="205"/>
    <d v="2025-06-28T00:00:00"/>
    <d v="2017-05-06T00:00:00"/>
    <x v="208"/>
    <s v="Bangalore"/>
    <x v="3"/>
    <x v="0"/>
  </r>
  <r>
    <x v="209"/>
    <x v="209"/>
    <x v="5"/>
    <x v="4"/>
    <x v="1"/>
    <x v="206"/>
    <d v="2026-01-03T00:00:00"/>
    <d v="2023-07-31T00:00:00"/>
    <x v="209"/>
    <s v="London"/>
    <x v="0"/>
    <x v="0"/>
  </r>
  <r>
    <x v="210"/>
    <x v="210"/>
    <x v="0"/>
    <x v="1"/>
    <x v="2"/>
    <x v="207"/>
    <d v="2025-08-10T00:00:00"/>
    <d v="2016-10-07T00:00:00"/>
    <x v="210"/>
    <s v="Bangalore"/>
    <x v="0"/>
    <x v="1"/>
  </r>
  <r>
    <x v="211"/>
    <x v="211"/>
    <x v="4"/>
    <x v="0"/>
    <x v="1"/>
    <x v="208"/>
    <d v="2025-03-04T00:00:00"/>
    <d v="2020-06-13T00:00:00"/>
    <x v="211"/>
    <s v="Singapore"/>
    <x v="3"/>
    <x v="0"/>
  </r>
  <r>
    <x v="212"/>
    <x v="212"/>
    <x v="3"/>
    <x v="4"/>
    <x v="0"/>
    <x v="209"/>
    <d v="2025-04-07T00:00:00"/>
    <d v="2020-05-18T00:00:00"/>
    <x v="212"/>
    <s v="London"/>
    <x v="2"/>
    <x v="1"/>
  </r>
  <r>
    <x v="213"/>
    <x v="213"/>
    <x v="3"/>
    <x v="0"/>
    <x v="3"/>
    <x v="210"/>
    <d v="2025-09-23T00:00:00"/>
    <d v="2015-09-02T00:00:00"/>
    <x v="213"/>
    <s v="Berlin"/>
    <x v="0"/>
    <x v="1"/>
  </r>
  <r>
    <x v="214"/>
    <x v="214"/>
    <x v="3"/>
    <x v="2"/>
    <x v="3"/>
    <x v="211"/>
    <d v="2025-07-16T00:00:00"/>
    <d v="2020-02-06T00:00:00"/>
    <x v="214"/>
    <s v="Berlin"/>
    <x v="0"/>
    <x v="0"/>
  </r>
  <r>
    <x v="215"/>
    <x v="215"/>
    <x v="6"/>
    <x v="2"/>
    <x v="1"/>
    <x v="212"/>
    <d v="2025-03-25T00:00:00"/>
    <d v="2023-04-30T00:00:00"/>
    <x v="215"/>
    <s v="Sydney"/>
    <x v="4"/>
    <x v="0"/>
  </r>
  <r>
    <x v="216"/>
    <x v="216"/>
    <x v="2"/>
    <x v="0"/>
    <x v="3"/>
    <x v="213"/>
    <d v="2025-02-27T00:00:00"/>
    <d v="2024-05-15T00:00:00"/>
    <x v="216"/>
    <s v="Bangalore"/>
    <x v="4"/>
    <x v="1"/>
  </r>
  <r>
    <x v="217"/>
    <x v="217"/>
    <x v="3"/>
    <x v="4"/>
    <x v="0"/>
    <x v="214"/>
    <d v="2025-07-14T00:00:00"/>
    <d v="2023-07-24T00:00:00"/>
    <x v="217"/>
    <s v="London"/>
    <x v="3"/>
    <x v="0"/>
  </r>
  <r>
    <x v="218"/>
    <x v="218"/>
    <x v="0"/>
    <x v="3"/>
    <x v="2"/>
    <x v="215"/>
    <d v="2025-05-21T00:00:00"/>
    <d v="2023-06-28T00:00:00"/>
    <x v="218"/>
    <s v="New York"/>
    <x v="2"/>
    <x v="1"/>
  </r>
  <r>
    <x v="219"/>
    <x v="219"/>
    <x v="3"/>
    <x v="1"/>
    <x v="0"/>
    <x v="216"/>
    <d v="2026-01-09T00:00:00"/>
    <d v="2024-03-26T00:00:00"/>
    <x v="219"/>
    <s v="Sydney"/>
    <x v="1"/>
    <x v="0"/>
  </r>
  <r>
    <x v="220"/>
    <x v="220"/>
    <x v="4"/>
    <x v="3"/>
    <x v="1"/>
    <x v="217"/>
    <d v="2025-08-13T00:00:00"/>
    <d v="2022-08-18T00:00:00"/>
    <x v="220"/>
    <s v="Toronto"/>
    <x v="0"/>
    <x v="1"/>
  </r>
  <r>
    <x v="221"/>
    <x v="221"/>
    <x v="1"/>
    <x v="3"/>
    <x v="2"/>
    <x v="218"/>
    <d v="2025-06-09T00:00:00"/>
    <d v="2020-04-20T00:00:00"/>
    <x v="221"/>
    <s v="Singapore"/>
    <x v="3"/>
    <x v="0"/>
  </r>
  <r>
    <x v="222"/>
    <x v="222"/>
    <x v="0"/>
    <x v="0"/>
    <x v="1"/>
    <x v="219"/>
    <d v="2026-01-24T00:00:00"/>
    <d v="2015-10-20T00:00:00"/>
    <x v="222"/>
    <s v="New York"/>
    <x v="3"/>
    <x v="0"/>
  </r>
  <r>
    <x v="223"/>
    <x v="223"/>
    <x v="1"/>
    <x v="3"/>
    <x v="3"/>
    <x v="220"/>
    <d v="2025-03-31T00:00:00"/>
    <d v="2019-12-30T00:00:00"/>
    <x v="223"/>
    <s v="Bangalore"/>
    <x v="1"/>
    <x v="1"/>
  </r>
  <r>
    <x v="224"/>
    <x v="224"/>
    <x v="1"/>
    <x v="5"/>
    <x v="2"/>
    <x v="221"/>
    <d v="2025-07-11T00:00:00"/>
    <d v="2024-04-29T00:00:00"/>
    <x v="224"/>
    <s v="London"/>
    <x v="2"/>
    <x v="1"/>
  </r>
  <r>
    <x v="225"/>
    <x v="225"/>
    <x v="0"/>
    <x v="0"/>
    <x v="3"/>
    <x v="222"/>
    <d v="2025-09-21T00:00:00"/>
    <d v="2017-03-06T00:00:00"/>
    <x v="225"/>
    <s v="Toronto"/>
    <x v="3"/>
    <x v="0"/>
  </r>
  <r>
    <x v="226"/>
    <x v="226"/>
    <x v="5"/>
    <x v="0"/>
    <x v="2"/>
    <x v="223"/>
    <d v="2025-11-17T00:00:00"/>
    <d v="2021-05-11T00:00:00"/>
    <x v="226"/>
    <s v="London"/>
    <x v="4"/>
    <x v="0"/>
  </r>
  <r>
    <x v="227"/>
    <x v="227"/>
    <x v="0"/>
    <x v="0"/>
    <x v="1"/>
    <x v="224"/>
    <d v="2025-03-21T00:00:00"/>
    <d v="2019-12-06T00:00:00"/>
    <x v="227"/>
    <s v="Berlin"/>
    <x v="3"/>
    <x v="0"/>
  </r>
  <r>
    <x v="228"/>
    <x v="228"/>
    <x v="1"/>
    <x v="0"/>
    <x v="3"/>
    <x v="225"/>
    <d v="2025-06-08T00:00:00"/>
    <d v="2017-01-01T00:00:00"/>
    <x v="228"/>
    <s v="Berlin"/>
    <x v="1"/>
    <x v="1"/>
  </r>
  <r>
    <x v="229"/>
    <x v="229"/>
    <x v="2"/>
    <x v="3"/>
    <x v="1"/>
    <x v="226"/>
    <d v="2025-08-30T00:00:00"/>
    <d v="2020-09-18T00:00:00"/>
    <x v="229"/>
    <s v="Berlin"/>
    <x v="1"/>
    <x v="0"/>
  </r>
  <r>
    <x v="230"/>
    <x v="230"/>
    <x v="6"/>
    <x v="4"/>
    <x v="1"/>
    <x v="227"/>
    <d v="2025-08-08T00:00:00"/>
    <d v="2021-03-31T00:00:00"/>
    <x v="230"/>
    <s v="London"/>
    <x v="1"/>
    <x v="0"/>
  </r>
  <r>
    <x v="231"/>
    <x v="231"/>
    <x v="2"/>
    <x v="2"/>
    <x v="3"/>
    <x v="228"/>
    <d v="2025-12-16T00:00:00"/>
    <d v="2023-11-25T00:00:00"/>
    <x v="231"/>
    <s v="Berlin"/>
    <x v="2"/>
    <x v="0"/>
  </r>
  <r>
    <x v="232"/>
    <x v="232"/>
    <x v="6"/>
    <x v="0"/>
    <x v="0"/>
    <x v="229"/>
    <d v="2025-07-21T00:00:00"/>
    <d v="2019-09-10T00:00:00"/>
    <x v="232"/>
    <s v="Toronto"/>
    <x v="1"/>
    <x v="1"/>
  </r>
  <r>
    <x v="233"/>
    <x v="233"/>
    <x v="6"/>
    <x v="0"/>
    <x v="3"/>
    <x v="230"/>
    <d v="2026-01-10T00:00:00"/>
    <d v="2018-06-06T00:00:00"/>
    <x v="233"/>
    <s v="Sydney"/>
    <x v="4"/>
    <x v="1"/>
  </r>
  <r>
    <x v="234"/>
    <x v="234"/>
    <x v="0"/>
    <x v="5"/>
    <x v="0"/>
    <x v="231"/>
    <d v="2025-03-10T00:00:00"/>
    <d v="2015-12-26T00:00:00"/>
    <x v="234"/>
    <s v="Toronto"/>
    <x v="0"/>
    <x v="0"/>
  </r>
  <r>
    <x v="235"/>
    <x v="235"/>
    <x v="5"/>
    <x v="4"/>
    <x v="0"/>
    <x v="232"/>
    <d v="2025-04-17T00:00:00"/>
    <d v="2016-06-30T00:00:00"/>
    <x v="235"/>
    <s v="Berlin"/>
    <x v="2"/>
    <x v="0"/>
  </r>
  <r>
    <x v="236"/>
    <x v="236"/>
    <x v="2"/>
    <x v="4"/>
    <x v="2"/>
    <x v="233"/>
    <d v="2025-08-19T00:00:00"/>
    <d v="2023-01-23T00:00:00"/>
    <x v="236"/>
    <s v="Toronto"/>
    <x v="2"/>
    <x v="0"/>
  </r>
  <r>
    <x v="237"/>
    <x v="237"/>
    <x v="3"/>
    <x v="2"/>
    <x v="1"/>
    <x v="234"/>
    <d v="2025-06-29T00:00:00"/>
    <d v="2019-04-09T00:00:00"/>
    <x v="237"/>
    <s v="Singapore"/>
    <x v="0"/>
    <x v="1"/>
  </r>
  <r>
    <x v="238"/>
    <x v="238"/>
    <x v="3"/>
    <x v="4"/>
    <x v="2"/>
    <x v="235"/>
    <d v="2026-02-07T00:00:00"/>
    <d v="2020-04-22T00:00:00"/>
    <x v="238"/>
    <s v="Toronto"/>
    <x v="1"/>
    <x v="1"/>
  </r>
  <r>
    <x v="239"/>
    <x v="239"/>
    <x v="2"/>
    <x v="4"/>
    <x v="0"/>
    <x v="236"/>
    <d v="2025-06-24T00:00:00"/>
    <d v="2023-02-12T00:00:00"/>
    <x v="239"/>
    <s v="Sydney"/>
    <x v="1"/>
    <x v="0"/>
  </r>
  <r>
    <x v="240"/>
    <x v="240"/>
    <x v="3"/>
    <x v="3"/>
    <x v="2"/>
    <x v="237"/>
    <d v="2025-08-10T00:00:00"/>
    <d v="2021-04-16T00:00:00"/>
    <x v="240"/>
    <s v="New York"/>
    <x v="2"/>
    <x v="1"/>
  </r>
  <r>
    <x v="241"/>
    <x v="241"/>
    <x v="3"/>
    <x v="3"/>
    <x v="0"/>
    <x v="238"/>
    <d v="2025-08-16T00:00:00"/>
    <d v="2020-05-23T00:00:00"/>
    <x v="241"/>
    <s v="London"/>
    <x v="3"/>
    <x v="1"/>
  </r>
  <r>
    <x v="242"/>
    <x v="242"/>
    <x v="3"/>
    <x v="5"/>
    <x v="1"/>
    <x v="239"/>
    <d v="2026-01-13T00:00:00"/>
    <d v="2016-04-22T00:00:00"/>
    <x v="242"/>
    <s v="London"/>
    <x v="4"/>
    <x v="0"/>
  </r>
  <r>
    <x v="243"/>
    <x v="243"/>
    <x v="0"/>
    <x v="4"/>
    <x v="0"/>
    <x v="240"/>
    <d v="2026-01-15T00:00:00"/>
    <d v="2019-04-24T00:00:00"/>
    <x v="243"/>
    <s v="Berlin"/>
    <x v="3"/>
    <x v="1"/>
  </r>
  <r>
    <x v="244"/>
    <x v="244"/>
    <x v="2"/>
    <x v="0"/>
    <x v="0"/>
    <x v="165"/>
    <d v="2025-03-18T00:00:00"/>
    <d v="2021-03-18T00:00:00"/>
    <x v="244"/>
    <s v="Berlin"/>
    <x v="2"/>
    <x v="0"/>
  </r>
  <r>
    <x v="245"/>
    <x v="245"/>
    <x v="2"/>
    <x v="5"/>
    <x v="3"/>
    <x v="241"/>
    <d v="2025-04-13T00:00:00"/>
    <d v="2018-09-16T00:00:00"/>
    <x v="245"/>
    <s v="New York"/>
    <x v="0"/>
    <x v="1"/>
  </r>
  <r>
    <x v="246"/>
    <x v="246"/>
    <x v="2"/>
    <x v="0"/>
    <x v="2"/>
    <x v="242"/>
    <d v="2025-05-12T00:00:00"/>
    <d v="2015-10-05T00:00:00"/>
    <x v="246"/>
    <s v="Sydney"/>
    <x v="2"/>
    <x v="1"/>
  </r>
  <r>
    <x v="247"/>
    <x v="247"/>
    <x v="3"/>
    <x v="3"/>
    <x v="1"/>
    <x v="26"/>
    <d v="2025-06-02T00:00:00"/>
    <d v="2018-01-16T00:00:00"/>
    <x v="247"/>
    <s v="New York"/>
    <x v="2"/>
    <x v="1"/>
  </r>
  <r>
    <x v="248"/>
    <x v="248"/>
    <x v="6"/>
    <x v="5"/>
    <x v="3"/>
    <x v="120"/>
    <d v="2025-10-22T00:00:00"/>
    <d v="2016-09-01T00:00:00"/>
    <x v="248"/>
    <s v="London"/>
    <x v="0"/>
    <x v="1"/>
  </r>
  <r>
    <x v="249"/>
    <x v="249"/>
    <x v="0"/>
    <x v="5"/>
    <x v="2"/>
    <x v="81"/>
    <d v="2025-06-22T00:00:00"/>
    <d v="2020-02-24T00:00:00"/>
    <x v="249"/>
    <s v="Toronto"/>
    <x v="1"/>
    <x v="1"/>
  </r>
  <r>
    <x v="250"/>
    <x v="250"/>
    <x v="0"/>
    <x v="1"/>
    <x v="2"/>
    <x v="177"/>
    <d v="2025-10-07T00:00:00"/>
    <d v="2024-04-02T00:00:00"/>
    <x v="250"/>
    <s v="Singapore"/>
    <x v="1"/>
    <x v="0"/>
  </r>
  <r>
    <x v="251"/>
    <x v="251"/>
    <x v="5"/>
    <x v="2"/>
    <x v="2"/>
    <x v="243"/>
    <d v="2025-06-14T00:00:00"/>
    <d v="2021-03-07T00:00:00"/>
    <x v="251"/>
    <s v="London"/>
    <x v="3"/>
    <x v="0"/>
  </r>
  <r>
    <x v="252"/>
    <x v="252"/>
    <x v="0"/>
    <x v="5"/>
    <x v="0"/>
    <x v="244"/>
    <d v="2025-07-25T00:00:00"/>
    <d v="2019-08-23T00:00:00"/>
    <x v="252"/>
    <s v="Berlin"/>
    <x v="1"/>
    <x v="1"/>
  </r>
  <r>
    <x v="253"/>
    <x v="253"/>
    <x v="0"/>
    <x v="0"/>
    <x v="3"/>
    <x v="245"/>
    <d v="2025-10-31T00:00:00"/>
    <d v="2019-05-11T00:00:00"/>
    <x v="253"/>
    <s v="Toronto"/>
    <x v="2"/>
    <x v="1"/>
  </r>
  <r>
    <x v="254"/>
    <x v="254"/>
    <x v="6"/>
    <x v="1"/>
    <x v="3"/>
    <x v="246"/>
    <d v="2025-08-24T00:00:00"/>
    <d v="2022-04-09T00:00:00"/>
    <x v="254"/>
    <s v="London"/>
    <x v="1"/>
    <x v="0"/>
  </r>
  <r>
    <x v="255"/>
    <x v="255"/>
    <x v="2"/>
    <x v="3"/>
    <x v="3"/>
    <x v="247"/>
    <d v="2025-09-07T00:00:00"/>
    <d v="2020-05-23T00:00:00"/>
    <x v="255"/>
    <s v="London"/>
    <x v="1"/>
    <x v="1"/>
  </r>
  <r>
    <x v="256"/>
    <x v="256"/>
    <x v="2"/>
    <x v="1"/>
    <x v="1"/>
    <x v="248"/>
    <d v="2025-12-27T00:00:00"/>
    <d v="2018-07-27T00:00:00"/>
    <x v="256"/>
    <s v="New York"/>
    <x v="4"/>
    <x v="1"/>
  </r>
  <r>
    <x v="257"/>
    <x v="257"/>
    <x v="2"/>
    <x v="3"/>
    <x v="2"/>
    <x v="249"/>
    <d v="2025-03-03T00:00:00"/>
    <d v="2023-06-16T00:00:00"/>
    <x v="257"/>
    <s v="London"/>
    <x v="3"/>
    <x v="0"/>
  </r>
  <r>
    <x v="258"/>
    <x v="258"/>
    <x v="4"/>
    <x v="4"/>
    <x v="2"/>
    <x v="16"/>
    <d v="2025-11-05T00:00:00"/>
    <d v="2017-01-07T00:00:00"/>
    <x v="258"/>
    <s v="Berlin"/>
    <x v="3"/>
    <x v="0"/>
  </r>
  <r>
    <x v="259"/>
    <x v="259"/>
    <x v="3"/>
    <x v="3"/>
    <x v="1"/>
    <x v="250"/>
    <d v="2025-05-25T00:00:00"/>
    <d v="2018-11-01T00:00:00"/>
    <x v="259"/>
    <s v="New York"/>
    <x v="3"/>
    <x v="0"/>
  </r>
  <r>
    <x v="260"/>
    <x v="260"/>
    <x v="6"/>
    <x v="0"/>
    <x v="3"/>
    <x v="251"/>
    <d v="2025-07-11T00:00:00"/>
    <d v="2023-05-28T00:00:00"/>
    <x v="260"/>
    <s v="Sydney"/>
    <x v="0"/>
    <x v="0"/>
  </r>
  <r>
    <x v="261"/>
    <x v="217"/>
    <x v="6"/>
    <x v="2"/>
    <x v="1"/>
    <x v="252"/>
    <d v="2025-10-30T00:00:00"/>
    <d v="2021-12-21T00:00:00"/>
    <x v="261"/>
    <s v="Singapore"/>
    <x v="4"/>
    <x v="1"/>
  </r>
  <r>
    <x v="262"/>
    <x v="261"/>
    <x v="0"/>
    <x v="3"/>
    <x v="1"/>
    <x v="253"/>
    <d v="2026-01-19T00:00:00"/>
    <d v="2023-05-28T00:00:00"/>
    <x v="262"/>
    <s v="Berlin"/>
    <x v="3"/>
    <x v="0"/>
  </r>
  <r>
    <x v="263"/>
    <x v="262"/>
    <x v="0"/>
    <x v="2"/>
    <x v="2"/>
    <x v="254"/>
    <d v="2025-02-19T00:00:00"/>
    <d v="2022-08-24T00:00:00"/>
    <x v="263"/>
    <s v="Singapore"/>
    <x v="3"/>
    <x v="0"/>
  </r>
  <r>
    <x v="264"/>
    <x v="263"/>
    <x v="2"/>
    <x v="5"/>
    <x v="1"/>
    <x v="255"/>
    <d v="2025-04-10T00:00:00"/>
    <d v="2016-12-08T00:00:00"/>
    <x v="264"/>
    <s v="Bangalore"/>
    <x v="1"/>
    <x v="0"/>
  </r>
  <r>
    <x v="265"/>
    <x v="264"/>
    <x v="6"/>
    <x v="0"/>
    <x v="1"/>
    <x v="256"/>
    <d v="2025-12-06T00:00:00"/>
    <d v="2017-02-12T00:00:00"/>
    <x v="265"/>
    <s v="Sydney"/>
    <x v="4"/>
    <x v="1"/>
  </r>
  <r>
    <x v="266"/>
    <x v="265"/>
    <x v="6"/>
    <x v="2"/>
    <x v="2"/>
    <x v="257"/>
    <d v="2025-06-23T00:00:00"/>
    <d v="2023-06-28T00:00:00"/>
    <x v="266"/>
    <s v="Bangalore"/>
    <x v="2"/>
    <x v="0"/>
  </r>
  <r>
    <x v="267"/>
    <x v="266"/>
    <x v="4"/>
    <x v="5"/>
    <x v="2"/>
    <x v="258"/>
    <d v="2025-09-06T00:00:00"/>
    <d v="2022-06-24T00:00:00"/>
    <x v="267"/>
    <s v="Singapore"/>
    <x v="4"/>
    <x v="1"/>
  </r>
  <r>
    <x v="268"/>
    <x v="267"/>
    <x v="3"/>
    <x v="1"/>
    <x v="3"/>
    <x v="259"/>
    <d v="2026-01-09T00:00:00"/>
    <d v="2022-05-20T00:00:00"/>
    <x v="268"/>
    <s v="New York"/>
    <x v="0"/>
    <x v="0"/>
  </r>
  <r>
    <x v="269"/>
    <x v="268"/>
    <x v="5"/>
    <x v="0"/>
    <x v="2"/>
    <x v="260"/>
    <d v="2025-06-18T00:00:00"/>
    <d v="2021-05-19T00:00:00"/>
    <x v="269"/>
    <s v="Sydney"/>
    <x v="2"/>
    <x v="0"/>
  </r>
  <r>
    <x v="270"/>
    <x v="269"/>
    <x v="0"/>
    <x v="3"/>
    <x v="1"/>
    <x v="261"/>
    <d v="2025-09-15T00:00:00"/>
    <d v="2016-09-04T00:00:00"/>
    <x v="270"/>
    <s v="Singapore"/>
    <x v="3"/>
    <x v="1"/>
  </r>
  <r>
    <x v="271"/>
    <x v="270"/>
    <x v="0"/>
    <x v="5"/>
    <x v="1"/>
    <x v="262"/>
    <d v="2025-07-17T00:00:00"/>
    <d v="2021-07-22T00:00:00"/>
    <x v="271"/>
    <s v="Sydney"/>
    <x v="3"/>
    <x v="0"/>
  </r>
  <r>
    <x v="272"/>
    <x v="271"/>
    <x v="0"/>
    <x v="0"/>
    <x v="0"/>
    <x v="263"/>
    <d v="2025-05-01T00:00:00"/>
    <d v="2017-09-04T00:00:00"/>
    <x v="272"/>
    <s v="New York"/>
    <x v="0"/>
    <x v="0"/>
  </r>
  <r>
    <x v="273"/>
    <x v="272"/>
    <x v="4"/>
    <x v="2"/>
    <x v="1"/>
    <x v="264"/>
    <d v="2026-01-18T00:00:00"/>
    <d v="2018-02-24T00:00:00"/>
    <x v="273"/>
    <s v="Sydney"/>
    <x v="0"/>
    <x v="1"/>
  </r>
  <r>
    <x v="274"/>
    <x v="273"/>
    <x v="4"/>
    <x v="5"/>
    <x v="2"/>
    <x v="265"/>
    <d v="2026-01-05T00:00:00"/>
    <d v="2015-12-29T00:00:00"/>
    <x v="274"/>
    <s v="London"/>
    <x v="0"/>
    <x v="0"/>
  </r>
  <r>
    <x v="275"/>
    <x v="274"/>
    <x v="2"/>
    <x v="5"/>
    <x v="3"/>
    <x v="266"/>
    <d v="2025-04-17T00:00:00"/>
    <d v="2016-04-16T00:00:00"/>
    <x v="275"/>
    <s v="London"/>
    <x v="0"/>
    <x v="0"/>
  </r>
  <r>
    <x v="276"/>
    <x v="275"/>
    <x v="6"/>
    <x v="2"/>
    <x v="0"/>
    <x v="267"/>
    <d v="2025-03-31T00:00:00"/>
    <d v="2024-07-21T00:00:00"/>
    <x v="276"/>
    <s v="Singapore"/>
    <x v="3"/>
    <x v="0"/>
  </r>
  <r>
    <x v="277"/>
    <x v="276"/>
    <x v="3"/>
    <x v="0"/>
    <x v="1"/>
    <x v="268"/>
    <d v="2025-05-06T00:00:00"/>
    <d v="2017-05-21T00:00:00"/>
    <x v="277"/>
    <s v="New York"/>
    <x v="0"/>
    <x v="1"/>
  </r>
  <r>
    <x v="278"/>
    <x v="277"/>
    <x v="3"/>
    <x v="5"/>
    <x v="1"/>
    <x v="269"/>
    <d v="2025-08-13T00:00:00"/>
    <d v="2023-12-28T00:00:00"/>
    <x v="278"/>
    <s v="Sydney"/>
    <x v="2"/>
    <x v="0"/>
  </r>
  <r>
    <x v="279"/>
    <x v="278"/>
    <x v="1"/>
    <x v="0"/>
    <x v="3"/>
    <x v="270"/>
    <d v="2025-03-27T00:00:00"/>
    <d v="2024-01-20T00:00:00"/>
    <x v="279"/>
    <s v="London"/>
    <x v="0"/>
    <x v="0"/>
  </r>
  <r>
    <x v="280"/>
    <x v="279"/>
    <x v="5"/>
    <x v="1"/>
    <x v="0"/>
    <x v="271"/>
    <d v="2025-10-20T00:00:00"/>
    <d v="2016-10-28T00:00:00"/>
    <x v="280"/>
    <s v="Sydney"/>
    <x v="1"/>
    <x v="1"/>
  </r>
  <r>
    <x v="281"/>
    <x v="280"/>
    <x v="0"/>
    <x v="3"/>
    <x v="3"/>
    <x v="272"/>
    <d v="2025-04-25T00:00:00"/>
    <d v="2019-02-15T00:00:00"/>
    <x v="281"/>
    <s v="Bangalore"/>
    <x v="1"/>
    <x v="0"/>
  </r>
  <r>
    <x v="282"/>
    <x v="281"/>
    <x v="5"/>
    <x v="1"/>
    <x v="0"/>
    <x v="273"/>
    <d v="2025-10-21T00:00:00"/>
    <d v="2016-09-08T00:00:00"/>
    <x v="282"/>
    <s v="Bangalore"/>
    <x v="3"/>
    <x v="1"/>
  </r>
  <r>
    <x v="283"/>
    <x v="282"/>
    <x v="0"/>
    <x v="0"/>
    <x v="1"/>
    <x v="274"/>
    <d v="2025-07-04T00:00:00"/>
    <d v="2020-03-11T00:00:00"/>
    <x v="283"/>
    <s v="Toronto"/>
    <x v="2"/>
    <x v="1"/>
  </r>
  <r>
    <x v="284"/>
    <x v="283"/>
    <x v="3"/>
    <x v="1"/>
    <x v="1"/>
    <x v="275"/>
    <d v="2026-01-27T00:00:00"/>
    <d v="2020-10-24T00:00:00"/>
    <x v="284"/>
    <s v="Singapore"/>
    <x v="3"/>
    <x v="1"/>
  </r>
  <r>
    <x v="285"/>
    <x v="284"/>
    <x v="6"/>
    <x v="2"/>
    <x v="2"/>
    <x v="276"/>
    <d v="2025-06-08T00:00:00"/>
    <d v="2020-05-23T00:00:00"/>
    <x v="285"/>
    <s v="Singapore"/>
    <x v="1"/>
    <x v="0"/>
  </r>
  <r>
    <x v="286"/>
    <x v="285"/>
    <x v="5"/>
    <x v="3"/>
    <x v="0"/>
    <x v="277"/>
    <d v="2025-09-12T00:00:00"/>
    <d v="2017-05-26T00:00:00"/>
    <x v="286"/>
    <s v="Singapore"/>
    <x v="2"/>
    <x v="0"/>
  </r>
  <r>
    <x v="287"/>
    <x v="286"/>
    <x v="4"/>
    <x v="1"/>
    <x v="0"/>
    <x v="278"/>
    <d v="2025-03-27T00:00:00"/>
    <d v="2016-07-03T00:00:00"/>
    <x v="287"/>
    <s v="Bangalore"/>
    <x v="2"/>
    <x v="0"/>
  </r>
  <r>
    <x v="288"/>
    <x v="287"/>
    <x v="2"/>
    <x v="1"/>
    <x v="1"/>
    <x v="279"/>
    <d v="2026-01-02T00:00:00"/>
    <d v="2015-12-29T00:00:00"/>
    <x v="288"/>
    <s v="Sydney"/>
    <x v="2"/>
    <x v="0"/>
  </r>
  <r>
    <x v="289"/>
    <x v="288"/>
    <x v="1"/>
    <x v="5"/>
    <x v="2"/>
    <x v="280"/>
    <d v="2025-04-05T00:00:00"/>
    <d v="2019-12-17T00:00:00"/>
    <x v="289"/>
    <s v="Berlin"/>
    <x v="1"/>
    <x v="0"/>
  </r>
  <r>
    <x v="290"/>
    <x v="289"/>
    <x v="5"/>
    <x v="4"/>
    <x v="1"/>
    <x v="281"/>
    <d v="2025-11-23T00:00:00"/>
    <d v="2018-03-15T00:00:00"/>
    <x v="290"/>
    <s v="London"/>
    <x v="2"/>
    <x v="0"/>
  </r>
  <r>
    <x v="291"/>
    <x v="290"/>
    <x v="2"/>
    <x v="4"/>
    <x v="1"/>
    <x v="282"/>
    <d v="2025-10-16T00:00:00"/>
    <d v="2022-05-18T00:00:00"/>
    <x v="291"/>
    <s v="Singapore"/>
    <x v="1"/>
    <x v="0"/>
  </r>
  <r>
    <x v="292"/>
    <x v="291"/>
    <x v="4"/>
    <x v="3"/>
    <x v="0"/>
    <x v="283"/>
    <d v="2025-08-11T00:00:00"/>
    <d v="2024-03-26T00:00:00"/>
    <x v="292"/>
    <s v="Toronto"/>
    <x v="1"/>
    <x v="0"/>
  </r>
  <r>
    <x v="293"/>
    <x v="292"/>
    <x v="6"/>
    <x v="1"/>
    <x v="1"/>
    <x v="284"/>
    <d v="2025-04-28T00:00:00"/>
    <d v="2018-03-15T00:00:00"/>
    <x v="293"/>
    <s v="Toronto"/>
    <x v="2"/>
    <x v="1"/>
  </r>
  <r>
    <x v="294"/>
    <x v="293"/>
    <x v="0"/>
    <x v="1"/>
    <x v="1"/>
    <x v="285"/>
    <d v="2025-04-23T00:00:00"/>
    <d v="2017-02-24T00:00:00"/>
    <x v="294"/>
    <s v="Berlin"/>
    <x v="4"/>
    <x v="1"/>
  </r>
  <r>
    <x v="295"/>
    <x v="294"/>
    <x v="3"/>
    <x v="0"/>
    <x v="0"/>
    <x v="286"/>
    <d v="2025-06-25T00:00:00"/>
    <d v="2018-09-28T00:00:00"/>
    <x v="295"/>
    <s v="Berlin"/>
    <x v="4"/>
    <x v="1"/>
  </r>
  <r>
    <x v="296"/>
    <x v="295"/>
    <x v="5"/>
    <x v="4"/>
    <x v="0"/>
    <x v="287"/>
    <d v="2025-04-24T00:00:00"/>
    <d v="2021-07-14T00:00:00"/>
    <x v="296"/>
    <s v="New York"/>
    <x v="0"/>
    <x v="0"/>
  </r>
  <r>
    <x v="297"/>
    <x v="296"/>
    <x v="0"/>
    <x v="2"/>
    <x v="0"/>
    <x v="288"/>
    <d v="2025-07-18T00:00:00"/>
    <d v="2018-09-16T00:00:00"/>
    <x v="297"/>
    <s v="Berlin"/>
    <x v="1"/>
    <x v="1"/>
  </r>
  <r>
    <x v="298"/>
    <x v="297"/>
    <x v="4"/>
    <x v="3"/>
    <x v="1"/>
    <x v="289"/>
    <d v="2025-02-21T00:00:00"/>
    <d v="2023-10-25T00:00:00"/>
    <x v="298"/>
    <s v="Singapore"/>
    <x v="4"/>
    <x v="0"/>
  </r>
  <r>
    <x v="299"/>
    <x v="298"/>
    <x v="3"/>
    <x v="1"/>
    <x v="0"/>
    <x v="290"/>
    <d v="2025-10-03T00:00:00"/>
    <d v="2023-02-15T00:00:00"/>
    <x v="299"/>
    <s v="Singapore"/>
    <x v="1"/>
    <x v="0"/>
  </r>
  <r>
    <x v="300"/>
    <x v="299"/>
    <x v="6"/>
    <x v="5"/>
    <x v="0"/>
    <x v="291"/>
    <d v="2025-10-08T00:00:00"/>
    <d v="2022-06-01T00:00:00"/>
    <x v="300"/>
    <s v="Sydney"/>
    <x v="1"/>
    <x v="1"/>
  </r>
  <r>
    <x v="301"/>
    <x v="300"/>
    <x v="2"/>
    <x v="0"/>
    <x v="3"/>
    <x v="292"/>
    <d v="2025-03-21T00:00:00"/>
    <d v="2021-02-25T00:00:00"/>
    <x v="301"/>
    <s v="Berlin"/>
    <x v="0"/>
    <x v="0"/>
  </r>
  <r>
    <x v="302"/>
    <x v="301"/>
    <x v="1"/>
    <x v="2"/>
    <x v="2"/>
    <x v="293"/>
    <d v="2025-04-03T00:00:00"/>
    <d v="2018-10-10T00:00:00"/>
    <x v="302"/>
    <s v="Berlin"/>
    <x v="4"/>
    <x v="0"/>
  </r>
  <r>
    <x v="303"/>
    <x v="302"/>
    <x v="0"/>
    <x v="0"/>
    <x v="3"/>
    <x v="294"/>
    <d v="2025-08-09T00:00:00"/>
    <d v="2019-09-28T00:00:00"/>
    <x v="303"/>
    <s v="London"/>
    <x v="4"/>
    <x v="0"/>
  </r>
  <r>
    <x v="304"/>
    <x v="303"/>
    <x v="4"/>
    <x v="0"/>
    <x v="3"/>
    <x v="295"/>
    <d v="2025-11-27T00:00:00"/>
    <d v="2016-05-22T00:00:00"/>
    <x v="304"/>
    <s v="Toronto"/>
    <x v="1"/>
    <x v="1"/>
  </r>
  <r>
    <x v="305"/>
    <x v="304"/>
    <x v="5"/>
    <x v="0"/>
    <x v="1"/>
    <x v="296"/>
    <d v="2025-05-14T00:00:00"/>
    <d v="2021-01-26T00:00:00"/>
    <x v="305"/>
    <s v="Bangalore"/>
    <x v="3"/>
    <x v="0"/>
  </r>
  <r>
    <x v="306"/>
    <x v="305"/>
    <x v="1"/>
    <x v="4"/>
    <x v="1"/>
    <x v="297"/>
    <d v="2025-11-25T00:00:00"/>
    <d v="2019-03-23T00:00:00"/>
    <x v="306"/>
    <s v="Singapore"/>
    <x v="1"/>
    <x v="1"/>
  </r>
  <r>
    <x v="307"/>
    <x v="306"/>
    <x v="0"/>
    <x v="5"/>
    <x v="0"/>
    <x v="12"/>
    <d v="2025-05-14T00:00:00"/>
    <d v="2023-02-17T00:00:00"/>
    <x v="307"/>
    <s v="Sydney"/>
    <x v="3"/>
    <x v="0"/>
  </r>
  <r>
    <x v="308"/>
    <x v="307"/>
    <x v="5"/>
    <x v="2"/>
    <x v="2"/>
    <x v="298"/>
    <d v="2025-07-05T00:00:00"/>
    <d v="2022-10-29T00:00:00"/>
    <x v="308"/>
    <s v="New York"/>
    <x v="2"/>
    <x v="0"/>
  </r>
  <r>
    <x v="309"/>
    <x v="308"/>
    <x v="4"/>
    <x v="0"/>
    <x v="1"/>
    <x v="299"/>
    <d v="2026-02-04T00:00:00"/>
    <d v="2021-02-25T00:00:00"/>
    <x v="309"/>
    <s v="London"/>
    <x v="3"/>
    <x v="1"/>
  </r>
  <r>
    <x v="310"/>
    <x v="309"/>
    <x v="4"/>
    <x v="0"/>
    <x v="3"/>
    <x v="300"/>
    <d v="2025-09-20T00:00:00"/>
    <d v="2020-04-10T00:00:00"/>
    <x v="310"/>
    <s v="Toronto"/>
    <x v="3"/>
    <x v="1"/>
  </r>
  <r>
    <x v="311"/>
    <x v="310"/>
    <x v="5"/>
    <x v="2"/>
    <x v="2"/>
    <x v="301"/>
    <d v="2025-04-06T00:00:00"/>
    <d v="2024-06-05T00:00:00"/>
    <x v="311"/>
    <s v="New York"/>
    <x v="0"/>
    <x v="0"/>
  </r>
  <r>
    <x v="312"/>
    <x v="311"/>
    <x v="2"/>
    <x v="0"/>
    <x v="1"/>
    <x v="302"/>
    <d v="2026-02-14T00:00:00"/>
    <d v="2019-04-16T00:00:00"/>
    <x v="312"/>
    <s v="Bangalore"/>
    <x v="1"/>
    <x v="1"/>
  </r>
  <r>
    <x v="313"/>
    <x v="312"/>
    <x v="5"/>
    <x v="2"/>
    <x v="1"/>
    <x v="303"/>
    <d v="2025-07-12T00:00:00"/>
    <d v="2023-12-12T00:00:00"/>
    <x v="313"/>
    <s v="Toronto"/>
    <x v="2"/>
    <x v="1"/>
  </r>
  <r>
    <x v="314"/>
    <x v="313"/>
    <x v="5"/>
    <x v="3"/>
    <x v="1"/>
    <x v="304"/>
    <d v="2025-10-03T00:00:00"/>
    <d v="2016-01-03T00:00:00"/>
    <x v="314"/>
    <s v="New York"/>
    <x v="3"/>
    <x v="0"/>
  </r>
  <r>
    <x v="315"/>
    <x v="314"/>
    <x v="6"/>
    <x v="5"/>
    <x v="2"/>
    <x v="305"/>
    <d v="2025-11-03T00:00:00"/>
    <d v="2020-07-25T00:00:00"/>
    <x v="315"/>
    <s v="Berlin"/>
    <x v="4"/>
    <x v="1"/>
  </r>
  <r>
    <x v="316"/>
    <x v="315"/>
    <x v="5"/>
    <x v="3"/>
    <x v="3"/>
    <x v="306"/>
    <d v="2025-09-12T00:00:00"/>
    <d v="2022-12-13T00:00:00"/>
    <x v="316"/>
    <s v="New York"/>
    <x v="0"/>
    <x v="1"/>
  </r>
  <r>
    <x v="317"/>
    <x v="316"/>
    <x v="6"/>
    <x v="4"/>
    <x v="3"/>
    <x v="307"/>
    <d v="2025-04-11T00:00:00"/>
    <d v="2018-05-21T00:00:00"/>
    <x v="317"/>
    <s v="London"/>
    <x v="3"/>
    <x v="0"/>
  </r>
  <r>
    <x v="318"/>
    <x v="317"/>
    <x v="0"/>
    <x v="3"/>
    <x v="2"/>
    <x v="308"/>
    <d v="2025-10-08T00:00:00"/>
    <d v="2020-07-13T00:00:00"/>
    <x v="318"/>
    <s v="Singapore"/>
    <x v="3"/>
    <x v="0"/>
  </r>
  <r>
    <x v="319"/>
    <x v="318"/>
    <x v="6"/>
    <x v="5"/>
    <x v="0"/>
    <x v="309"/>
    <d v="2026-02-12T00:00:00"/>
    <d v="2023-07-15T00:00:00"/>
    <x v="319"/>
    <s v="New York"/>
    <x v="3"/>
    <x v="0"/>
  </r>
  <r>
    <x v="320"/>
    <x v="319"/>
    <x v="3"/>
    <x v="0"/>
    <x v="2"/>
    <x v="310"/>
    <d v="2025-05-04T00:00:00"/>
    <d v="2019-10-17T00:00:00"/>
    <x v="320"/>
    <s v="New York"/>
    <x v="4"/>
    <x v="1"/>
  </r>
  <r>
    <x v="321"/>
    <x v="320"/>
    <x v="0"/>
    <x v="3"/>
    <x v="2"/>
    <x v="311"/>
    <d v="2025-10-27T00:00:00"/>
    <d v="2018-11-18T00:00:00"/>
    <x v="321"/>
    <s v="Berlin"/>
    <x v="4"/>
    <x v="1"/>
  </r>
  <r>
    <x v="322"/>
    <x v="321"/>
    <x v="0"/>
    <x v="5"/>
    <x v="2"/>
    <x v="312"/>
    <d v="2025-08-24T00:00:00"/>
    <d v="2019-08-16T00:00:00"/>
    <x v="322"/>
    <s v="London"/>
    <x v="2"/>
    <x v="0"/>
  </r>
  <r>
    <x v="323"/>
    <x v="322"/>
    <x v="6"/>
    <x v="2"/>
    <x v="0"/>
    <x v="313"/>
    <d v="2025-03-16T00:00:00"/>
    <d v="2019-02-02T00:00:00"/>
    <x v="323"/>
    <s v="Berlin"/>
    <x v="2"/>
    <x v="0"/>
  </r>
  <r>
    <x v="324"/>
    <x v="323"/>
    <x v="6"/>
    <x v="0"/>
    <x v="0"/>
    <x v="314"/>
    <d v="2025-05-22T00:00:00"/>
    <d v="2022-10-13T00:00:00"/>
    <x v="324"/>
    <s v="London"/>
    <x v="3"/>
    <x v="0"/>
  </r>
  <r>
    <x v="325"/>
    <x v="324"/>
    <x v="6"/>
    <x v="2"/>
    <x v="0"/>
    <x v="315"/>
    <d v="2025-11-24T00:00:00"/>
    <d v="2017-09-10T00:00:00"/>
    <x v="325"/>
    <s v="Bangalore"/>
    <x v="1"/>
    <x v="1"/>
  </r>
  <r>
    <x v="326"/>
    <x v="325"/>
    <x v="3"/>
    <x v="1"/>
    <x v="1"/>
    <x v="316"/>
    <d v="2025-03-07T00:00:00"/>
    <d v="2015-09-13T00:00:00"/>
    <x v="326"/>
    <s v="Bangalore"/>
    <x v="4"/>
    <x v="0"/>
  </r>
  <r>
    <x v="327"/>
    <x v="326"/>
    <x v="4"/>
    <x v="3"/>
    <x v="3"/>
    <x v="317"/>
    <d v="2025-11-02T00:00:00"/>
    <d v="2022-08-03T00:00:00"/>
    <x v="327"/>
    <s v="New York"/>
    <x v="3"/>
    <x v="0"/>
  </r>
  <r>
    <x v="328"/>
    <x v="327"/>
    <x v="2"/>
    <x v="1"/>
    <x v="0"/>
    <x v="318"/>
    <d v="2026-02-04T00:00:00"/>
    <d v="2018-11-22T00:00:00"/>
    <x v="328"/>
    <s v="London"/>
    <x v="0"/>
    <x v="1"/>
  </r>
  <r>
    <x v="329"/>
    <x v="328"/>
    <x v="2"/>
    <x v="5"/>
    <x v="1"/>
    <x v="319"/>
    <d v="2025-12-18T00:00:00"/>
    <d v="2018-09-28T00:00:00"/>
    <x v="329"/>
    <s v="London"/>
    <x v="4"/>
    <x v="0"/>
  </r>
  <r>
    <x v="330"/>
    <x v="329"/>
    <x v="1"/>
    <x v="0"/>
    <x v="0"/>
    <x v="320"/>
    <d v="2025-11-30T00:00:00"/>
    <d v="2022-10-06T00:00:00"/>
    <x v="330"/>
    <s v="Bangalore"/>
    <x v="2"/>
    <x v="1"/>
  </r>
  <r>
    <x v="331"/>
    <x v="330"/>
    <x v="2"/>
    <x v="0"/>
    <x v="0"/>
    <x v="321"/>
    <d v="2025-11-21T00:00:00"/>
    <d v="2024-01-11T00:00:00"/>
    <x v="331"/>
    <s v="Bangalore"/>
    <x v="4"/>
    <x v="0"/>
  </r>
  <r>
    <x v="332"/>
    <x v="331"/>
    <x v="4"/>
    <x v="2"/>
    <x v="3"/>
    <x v="322"/>
    <d v="2025-06-19T00:00:00"/>
    <d v="2017-09-17T00:00:00"/>
    <x v="332"/>
    <s v="Singapore"/>
    <x v="0"/>
    <x v="1"/>
  </r>
  <r>
    <x v="333"/>
    <x v="332"/>
    <x v="3"/>
    <x v="2"/>
    <x v="2"/>
    <x v="323"/>
    <d v="2025-09-07T00:00:00"/>
    <d v="2018-10-27T00:00:00"/>
    <x v="333"/>
    <s v="New York"/>
    <x v="1"/>
    <x v="0"/>
  </r>
  <r>
    <x v="334"/>
    <x v="333"/>
    <x v="1"/>
    <x v="1"/>
    <x v="1"/>
    <x v="324"/>
    <d v="2025-07-18T00:00:00"/>
    <d v="2018-11-03T00:00:00"/>
    <x v="334"/>
    <s v="Singapore"/>
    <x v="2"/>
    <x v="1"/>
  </r>
  <r>
    <x v="335"/>
    <x v="334"/>
    <x v="5"/>
    <x v="3"/>
    <x v="1"/>
    <x v="325"/>
    <d v="2026-01-09T00:00:00"/>
    <d v="2019-03-01T00:00:00"/>
    <x v="229"/>
    <s v="Bangalore"/>
    <x v="2"/>
    <x v="1"/>
  </r>
  <r>
    <x v="336"/>
    <x v="335"/>
    <x v="6"/>
    <x v="1"/>
    <x v="2"/>
    <x v="326"/>
    <d v="2025-05-12T00:00:00"/>
    <d v="2016-10-17T00:00:00"/>
    <x v="335"/>
    <s v="Singapore"/>
    <x v="3"/>
    <x v="1"/>
  </r>
  <r>
    <x v="337"/>
    <x v="336"/>
    <x v="6"/>
    <x v="3"/>
    <x v="3"/>
    <x v="327"/>
    <d v="2025-05-15T00:00:00"/>
    <d v="2018-04-01T00:00:00"/>
    <x v="336"/>
    <s v="Bangalore"/>
    <x v="2"/>
    <x v="1"/>
  </r>
  <r>
    <x v="338"/>
    <x v="337"/>
    <x v="1"/>
    <x v="2"/>
    <x v="1"/>
    <x v="328"/>
    <d v="2025-12-01T00:00:00"/>
    <d v="2017-10-19T00:00:00"/>
    <x v="337"/>
    <s v="Toronto"/>
    <x v="1"/>
    <x v="1"/>
  </r>
  <r>
    <x v="339"/>
    <x v="338"/>
    <x v="6"/>
    <x v="0"/>
    <x v="3"/>
    <x v="329"/>
    <d v="2025-10-19T00:00:00"/>
    <d v="2022-08-10T00:00:00"/>
    <x v="338"/>
    <s v="Singapore"/>
    <x v="3"/>
    <x v="0"/>
  </r>
  <r>
    <x v="340"/>
    <x v="339"/>
    <x v="0"/>
    <x v="5"/>
    <x v="0"/>
    <x v="330"/>
    <d v="2025-12-09T00:00:00"/>
    <d v="2018-10-23T00:00:00"/>
    <x v="339"/>
    <s v="Singapore"/>
    <x v="0"/>
    <x v="1"/>
  </r>
  <r>
    <x v="341"/>
    <x v="340"/>
    <x v="2"/>
    <x v="2"/>
    <x v="3"/>
    <x v="36"/>
    <d v="2025-11-04T00:00:00"/>
    <d v="2019-03-26T00:00:00"/>
    <x v="340"/>
    <s v="Berlin"/>
    <x v="1"/>
    <x v="0"/>
  </r>
  <r>
    <x v="342"/>
    <x v="341"/>
    <x v="1"/>
    <x v="5"/>
    <x v="2"/>
    <x v="331"/>
    <d v="2025-02-17T00:00:00"/>
    <d v="2023-07-17T00:00:00"/>
    <x v="341"/>
    <s v="Berlin"/>
    <x v="1"/>
    <x v="0"/>
  </r>
  <r>
    <x v="343"/>
    <x v="342"/>
    <x v="1"/>
    <x v="0"/>
    <x v="3"/>
    <x v="332"/>
    <d v="2025-03-08T00:00:00"/>
    <d v="2020-11-04T00:00:00"/>
    <x v="342"/>
    <s v="Sydney"/>
    <x v="3"/>
    <x v="1"/>
  </r>
  <r>
    <x v="344"/>
    <x v="343"/>
    <x v="5"/>
    <x v="0"/>
    <x v="2"/>
    <x v="333"/>
    <d v="2025-11-24T00:00:00"/>
    <d v="2019-01-12T00:00:00"/>
    <x v="343"/>
    <s v="Bangalore"/>
    <x v="4"/>
    <x v="1"/>
  </r>
  <r>
    <x v="345"/>
    <x v="344"/>
    <x v="5"/>
    <x v="1"/>
    <x v="3"/>
    <x v="334"/>
    <d v="2025-05-01T00:00:00"/>
    <d v="2019-04-15T00:00:00"/>
    <x v="344"/>
    <s v="Sydney"/>
    <x v="3"/>
    <x v="0"/>
  </r>
  <r>
    <x v="346"/>
    <x v="345"/>
    <x v="0"/>
    <x v="3"/>
    <x v="0"/>
    <x v="335"/>
    <d v="2025-09-29T00:00:00"/>
    <d v="2017-07-16T00:00:00"/>
    <x v="345"/>
    <s v="London"/>
    <x v="4"/>
    <x v="1"/>
  </r>
  <r>
    <x v="347"/>
    <x v="346"/>
    <x v="6"/>
    <x v="4"/>
    <x v="3"/>
    <x v="336"/>
    <d v="2025-09-13T00:00:00"/>
    <d v="2023-10-25T00:00:00"/>
    <x v="346"/>
    <s v="Toronto"/>
    <x v="1"/>
    <x v="1"/>
  </r>
  <r>
    <x v="348"/>
    <x v="347"/>
    <x v="1"/>
    <x v="3"/>
    <x v="3"/>
    <x v="337"/>
    <d v="2025-08-13T00:00:00"/>
    <d v="2021-02-08T00:00:00"/>
    <x v="347"/>
    <s v="Sydney"/>
    <x v="4"/>
    <x v="1"/>
  </r>
  <r>
    <x v="349"/>
    <x v="348"/>
    <x v="2"/>
    <x v="1"/>
    <x v="1"/>
    <x v="338"/>
    <d v="2025-07-25T00:00:00"/>
    <d v="2023-02-20T00:00:00"/>
    <x v="348"/>
    <s v="New York"/>
    <x v="3"/>
    <x v="0"/>
  </r>
  <r>
    <x v="350"/>
    <x v="349"/>
    <x v="1"/>
    <x v="3"/>
    <x v="2"/>
    <x v="339"/>
    <d v="2025-06-29T00:00:00"/>
    <d v="2017-05-23T00:00:00"/>
    <x v="349"/>
    <s v="London"/>
    <x v="0"/>
    <x v="0"/>
  </r>
  <r>
    <x v="351"/>
    <x v="350"/>
    <x v="3"/>
    <x v="0"/>
    <x v="3"/>
    <x v="340"/>
    <d v="2025-12-29T00:00:00"/>
    <d v="2017-11-11T00:00:00"/>
    <x v="350"/>
    <s v="London"/>
    <x v="4"/>
    <x v="1"/>
  </r>
  <r>
    <x v="352"/>
    <x v="351"/>
    <x v="1"/>
    <x v="4"/>
    <x v="0"/>
    <x v="341"/>
    <d v="2025-10-14T00:00:00"/>
    <d v="2017-03-02T00:00:00"/>
    <x v="351"/>
    <s v="Sydney"/>
    <x v="0"/>
    <x v="1"/>
  </r>
  <r>
    <x v="353"/>
    <x v="352"/>
    <x v="0"/>
    <x v="1"/>
    <x v="2"/>
    <x v="342"/>
    <d v="2025-12-19T00:00:00"/>
    <d v="2016-03-31T00:00:00"/>
    <x v="352"/>
    <s v="Berlin"/>
    <x v="4"/>
    <x v="1"/>
  </r>
  <r>
    <x v="354"/>
    <x v="353"/>
    <x v="3"/>
    <x v="2"/>
    <x v="1"/>
    <x v="343"/>
    <d v="2026-01-07T00:00:00"/>
    <d v="2024-06-22T00:00:00"/>
    <x v="353"/>
    <s v="Toronto"/>
    <x v="4"/>
    <x v="0"/>
  </r>
  <r>
    <x v="355"/>
    <x v="354"/>
    <x v="5"/>
    <x v="1"/>
    <x v="1"/>
    <x v="344"/>
    <d v="2025-10-19T00:00:00"/>
    <d v="2023-07-06T00:00:00"/>
    <x v="354"/>
    <s v="Berlin"/>
    <x v="1"/>
    <x v="1"/>
  </r>
  <r>
    <x v="356"/>
    <x v="355"/>
    <x v="0"/>
    <x v="0"/>
    <x v="3"/>
    <x v="345"/>
    <d v="2026-02-07T00:00:00"/>
    <d v="2018-05-19T00:00:00"/>
    <x v="355"/>
    <s v="Sydney"/>
    <x v="3"/>
    <x v="0"/>
  </r>
  <r>
    <x v="357"/>
    <x v="356"/>
    <x v="4"/>
    <x v="1"/>
    <x v="3"/>
    <x v="346"/>
    <d v="2025-12-05T00:00:00"/>
    <d v="2017-03-21T00:00:00"/>
    <x v="356"/>
    <s v="Toronto"/>
    <x v="3"/>
    <x v="0"/>
  </r>
  <r>
    <x v="358"/>
    <x v="357"/>
    <x v="2"/>
    <x v="1"/>
    <x v="2"/>
    <x v="347"/>
    <d v="2025-07-25T00:00:00"/>
    <d v="2023-01-03T00:00:00"/>
    <x v="357"/>
    <s v="Bangalore"/>
    <x v="0"/>
    <x v="1"/>
  </r>
  <r>
    <x v="359"/>
    <x v="358"/>
    <x v="5"/>
    <x v="5"/>
    <x v="3"/>
    <x v="348"/>
    <d v="2026-01-16T00:00:00"/>
    <d v="2018-08-27T00:00:00"/>
    <x v="358"/>
    <s v="London"/>
    <x v="2"/>
    <x v="1"/>
  </r>
  <r>
    <x v="360"/>
    <x v="359"/>
    <x v="0"/>
    <x v="1"/>
    <x v="3"/>
    <x v="349"/>
    <d v="2026-01-23T00:00:00"/>
    <d v="2018-09-30T00:00:00"/>
    <x v="359"/>
    <s v="Toronto"/>
    <x v="2"/>
    <x v="1"/>
  </r>
  <r>
    <x v="361"/>
    <x v="360"/>
    <x v="0"/>
    <x v="5"/>
    <x v="1"/>
    <x v="139"/>
    <d v="2025-04-22T00:00:00"/>
    <d v="2017-10-05T00:00:00"/>
    <x v="360"/>
    <s v="Bangalore"/>
    <x v="1"/>
    <x v="0"/>
  </r>
  <r>
    <x v="362"/>
    <x v="361"/>
    <x v="2"/>
    <x v="2"/>
    <x v="1"/>
    <x v="350"/>
    <d v="2025-09-30T00:00:00"/>
    <d v="2019-04-05T00:00:00"/>
    <x v="361"/>
    <s v="Singapore"/>
    <x v="1"/>
    <x v="1"/>
  </r>
  <r>
    <x v="363"/>
    <x v="362"/>
    <x v="6"/>
    <x v="0"/>
    <x v="0"/>
    <x v="351"/>
    <d v="2025-05-18T00:00:00"/>
    <d v="2019-12-02T00:00:00"/>
    <x v="362"/>
    <s v="Berlin"/>
    <x v="4"/>
    <x v="1"/>
  </r>
  <r>
    <x v="364"/>
    <x v="363"/>
    <x v="4"/>
    <x v="3"/>
    <x v="3"/>
    <x v="352"/>
    <d v="2026-01-31T00:00:00"/>
    <d v="2020-09-23T00:00:00"/>
    <x v="363"/>
    <s v="London"/>
    <x v="0"/>
    <x v="1"/>
  </r>
  <r>
    <x v="365"/>
    <x v="364"/>
    <x v="2"/>
    <x v="2"/>
    <x v="0"/>
    <x v="248"/>
    <d v="2025-07-12T00:00:00"/>
    <d v="2021-09-24T00:00:00"/>
    <x v="364"/>
    <s v="Berlin"/>
    <x v="2"/>
    <x v="1"/>
  </r>
  <r>
    <x v="366"/>
    <x v="365"/>
    <x v="5"/>
    <x v="2"/>
    <x v="1"/>
    <x v="353"/>
    <d v="2025-03-05T00:00:00"/>
    <d v="2019-01-14T00:00:00"/>
    <x v="365"/>
    <s v="Bangalore"/>
    <x v="0"/>
    <x v="0"/>
  </r>
  <r>
    <x v="367"/>
    <x v="366"/>
    <x v="4"/>
    <x v="5"/>
    <x v="1"/>
    <x v="354"/>
    <d v="2026-01-25T00:00:00"/>
    <d v="2024-08-10T00:00:00"/>
    <x v="366"/>
    <s v="Sydney"/>
    <x v="3"/>
    <x v="0"/>
  </r>
  <r>
    <x v="368"/>
    <x v="367"/>
    <x v="6"/>
    <x v="0"/>
    <x v="3"/>
    <x v="355"/>
    <d v="2025-03-11T00:00:00"/>
    <d v="2023-10-01T00:00:00"/>
    <x v="367"/>
    <s v="Bangalore"/>
    <x v="2"/>
    <x v="0"/>
  </r>
  <r>
    <x v="369"/>
    <x v="368"/>
    <x v="6"/>
    <x v="3"/>
    <x v="3"/>
    <x v="356"/>
    <d v="2026-01-09T00:00:00"/>
    <d v="2020-12-18T00:00:00"/>
    <x v="368"/>
    <s v="Singapore"/>
    <x v="2"/>
    <x v="0"/>
  </r>
  <r>
    <x v="370"/>
    <x v="369"/>
    <x v="0"/>
    <x v="3"/>
    <x v="3"/>
    <x v="357"/>
    <d v="2025-10-04T00:00:00"/>
    <d v="2016-12-18T00:00:00"/>
    <x v="369"/>
    <s v="Toronto"/>
    <x v="0"/>
    <x v="0"/>
  </r>
  <r>
    <x v="371"/>
    <x v="370"/>
    <x v="5"/>
    <x v="3"/>
    <x v="3"/>
    <x v="358"/>
    <d v="2025-10-23T00:00:00"/>
    <d v="2019-06-27T00:00:00"/>
    <x v="370"/>
    <s v="Singapore"/>
    <x v="3"/>
    <x v="1"/>
  </r>
  <r>
    <x v="372"/>
    <x v="371"/>
    <x v="6"/>
    <x v="4"/>
    <x v="0"/>
    <x v="359"/>
    <d v="2025-05-26T00:00:00"/>
    <d v="2023-05-15T00:00:00"/>
    <x v="371"/>
    <s v="New York"/>
    <x v="3"/>
    <x v="1"/>
  </r>
  <r>
    <x v="373"/>
    <x v="372"/>
    <x v="2"/>
    <x v="4"/>
    <x v="0"/>
    <x v="360"/>
    <d v="2025-04-22T00:00:00"/>
    <d v="2017-10-24T00:00:00"/>
    <x v="372"/>
    <s v="Toronto"/>
    <x v="2"/>
    <x v="0"/>
  </r>
  <r>
    <x v="374"/>
    <x v="373"/>
    <x v="3"/>
    <x v="1"/>
    <x v="3"/>
    <x v="361"/>
    <d v="2025-10-04T00:00:00"/>
    <d v="2020-05-04T00:00:00"/>
    <x v="373"/>
    <s v="Singapore"/>
    <x v="1"/>
    <x v="0"/>
  </r>
  <r>
    <x v="375"/>
    <x v="374"/>
    <x v="6"/>
    <x v="0"/>
    <x v="2"/>
    <x v="362"/>
    <d v="2025-08-25T00:00:00"/>
    <d v="2021-02-15T00:00:00"/>
    <x v="374"/>
    <s v="London"/>
    <x v="1"/>
    <x v="0"/>
  </r>
  <r>
    <x v="376"/>
    <x v="375"/>
    <x v="5"/>
    <x v="0"/>
    <x v="1"/>
    <x v="363"/>
    <d v="2026-01-13T00:00:00"/>
    <d v="2023-09-06T00:00:00"/>
    <x v="375"/>
    <s v="Berlin"/>
    <x v="3"/>
    <x v="0"/>
  </r>
  <r>
    <x v="377"/>
    <x v="376"/>
    <x v="0"/>
    <x v="1"/>
    <x v="0"/>
    <x v="364"/>
    <d v="2025-03-19T00:00:00"/>
    <d v="2022-02-05T00:00:00"/>
    <x v="376"/>
    <s v="Sydney"/>
    <x v="3"/>
    <x v="0"/>
  </r>
  <r>
    <x v="378"/>
    <x v="377"/>
    <x v="0"/>
    <x v="2"/>
    <x v="3"/>
    <x v="365"/>
    <d v="2026-01-25T00:00:00"/>
    <d v="2023-12-14T00:00:00"/>
    <x v="377"/>
    <s v="Singapore"/>
    <x v="0"/>
    <x v="1"/>
  </r>
  <r>
    <x v="379"/>
    <x v="378"/>
    <x v="5"/>
    <x v="0"/>
    <x v="0"/>
    <x v="366"/>
    <d v="2026-02-03T00:00:00"/>
    <d v="2020-05-25T00:00:00"/>
    <x v="378"/>
    <s v="Sydney"/>
    <x v="2"/>
    <x v="1"/>
  </r>
  <r>
    <x v="380"/>
    <x v="379"/>
    <x v="5"/>
    <x v="3"/>
    <x v="2"/>
    <x v="299"/>
    <d v="2025-09-05T00:00:00"/>
    <d v="2017-12-03T00:00:00"/>
    <x v="379"/>
    <s v="London"/>
    <x v="1"/>
    <x v="0"/>
  </r>
  <r>
    <x v="381"/>
    <x v="295"/>
    <x v="1"/>
    <x v="3"/>
    <x v="2"/>
    <x v="367"/>
    <d v="2025-04-13T00:00:00"/>
    <d v="2022-05-25T00:00:00"/>
    <x v="380"/>
    <s v="New York"/>
    <x v="2"/>
    <x v="0"/>
  </r>
  <r>
    <x v="382"/>
    <x v="380"/>
    <x v="3"/>
    <x v="3"/>
    <x v="2"/>
    <x v="368"/>
    <d v="2025-06-14T00:00:00"/>
    <d v="2018-12-05T00:00:00"/>
    <x v="381"/>
    <s v="New York"/>
    <x v="1"/>
    <x v="1"/>
  </r>
  <r>
    <x v="383"/>
    <x v="381"/>
    <x v="0"/>
    <x v="5"/>
    <x v="3"/>
    <x v="369"/>
    <d v="2025-03-10T00:00:00"/>
    <d v="2022-10-09T00:00:00"/>
    <x v="382"/>
    <s v="Sydney"/>
    <x v="2"/>
    <x v="0"/>
  </r>
  <r>
    <x v="384"/>
    <x v="382"/>
    <x v="5"/>
    <x v="2"/>
    <x v="3"/>
    <x v="370"/>
    <d v="2025-05-18T00:00:00"/>
    <d v="2017-09-08T00:00:00"/>
    <x v="383"/>
    <s v="Sydney"/>
    <x v="2"/>
    <x v="0"/>
  </r>
  <r>
    <x v="385"/>
    <x v="383"/>
    <x v="5"/>
    <x v="1"/>
    <x v="2"/>
    <x v="371"/>
    <d v="2026-02-10T00:00:00"/>
    <d v="2019-04-01T00:00:00"/>
    <x v="384"/>
    <s v="Toronto"/>
    <x v="1"/>
    <x v="1"/>
  </r>
  <r>
    <x v="386"/>
    <x v="384"/>
    <x v="4"/>
    <x v="2"/>
    <x v="2"/>
    <x v="372"/>
    <d v="2025-12-21T00:00:00"/>
    <d v="2016-08-16T00:00:00"/>
    <x v="385"/>
    <s v="Sydney"/>
    <x v="3"/>
    <x v="0"/>
  </r>
  <r>
    <x v="387"/>
    <x v="385"/>
    <x v="2"/>
    <x v="2"/>
    <x v="2"/>
    <x v="373"/>
    <d v="2025-04-22T00:00:00"/>
    <d v="2019-08-01T00:00:00"/>
    <x v="386"/>
    <s v="Bangalore"/>
    <x v="3"/>
    <x v="0"/>
  </r>
  <r>
    <x v="388"/>
    <x v="386"/>
    <x v="5"/>
    <x v="1"/>
    <x v="2"/>
    <x v="374"/>
    <d v="2026-02-07T00:00:00"/>
    <d v="2021-01-06T00:00:00"/>
    <x v="387"/>
    <s v="London"/>
    <x v="2"/>
    <x v="1"/>
  </r>
  <r>
    <x v="389"/>
    <x v="387"/>
    <x v="2"/>
    <x v="5"/>
    <x v="2"/>
    <x v="375"/>
    <d v="2025-10-22T00:00:00"/>
    <d v="2019-04-22T00:00:00"/>
    <x v="388"/>
    <s v="New York"/>
    <x v="4"/>
    <x v="1"/>
  </r>
  <r>
    <x v="390"/>
    <x v="388"/>
    <x v="3"/>
    <x v="5"/>
    <x v="1"/>
    <x v="376"/>
    <d v="2025-09-21T00:00:00"/>
    <d v="2024-05-20T00:00:00"/>
    <x v="389"/>
    <s v="Singapore"/>
    <x v="1"/>
    <x v="0"/>
  </r>
  <r>
    <x v="391"/>
    <x v="389"/>
    <x v="1"/>
    <x v="2"/>
    <x v="2"/>
    <x v="377"/>
    <d v="2026-01-23T00:00:00"/>
    <d v="2022-12-22T00:00:00"/>
    <x v="390"/>
    <s v="Bangalore"/>
    <x v="0"/>
    <x v="1"/>
  </r>
  <r>
    <x v="392"/>
    <x v="390"/>
    <x v="1"/>
    <x v="1"/>
    <x v="0"/>
    <x v="378"/>
    <d v="2026-02-07T00:00:00"/>
    <d v="2017-10-08T00:00:00"/>
    <x v="391"/>
    <s v="Toronto"/>
    <x v="2"/>
    <x v="1"/>
  </r>
  <r>
    <x v="393"/>
    <x v="391"/>
    <x v="5"/>
    <x v="0"/>
    <x v="0"/>
    <x v="379"/>
    <d v="2026-02-08T00:00:00"/>
    <d v="2019-03-24T00:00:00"/>
    <x v="392"/>
    <s v="Sydney"/>
    <x v="0"/>
    <x v="1"/>
  </r>
  <r>
    <x v="394"/>
    <x v="392"/>
    <x v="6"/>
    <x v="0"/>
    <x v="3"/>
    <x v="380"/>
    <d v="2025-12-09T00:00:00"/>
    <d v="2016-03-06T00:00:00"/>
    <x v="393"/>
    <s v="New York"/>
    <x v="3"/>
    <x v="0"/>
  </r>
  <r>
    <x v="395"/>
    <x v="393"/>
    <x v="6"/>
    <x v="4"/>
    <x v="3"/>
    <x v="381"/>
    <d v="2025-03-07T00:00:00"/>
    <d v="2020-01-19T00:00:00"/>
    <x v="394"/>
    <s v="Berlin"/>
    <x v="1"/>
    <x v="1"/>
  </r>
  <r>
    <x v="396"/>
    <x v="394"/>
    <x v="2"/>
    <x v="3"/>
    <x v="0"/>
    <x v="382"/>
    <d v="2025-12-19T00:00:00"/>
    <d v="2023-01-23T00:00:00"/>
    <x v="395"/>
    <s v="Bangalore"/>
    <x v="1"/>
    <x v="1"/>
  </r>
  <r>
    <x v="397"/>
    <x v="395"/>
    <x v="3"/>
    <x v="3"/>
    <x v="2"/>
    <x v="383"/>
    <d v="2025-06-29T00:00:00"/>
    <d v="2022-06-30T00:00:00"/>
    <x v="396"/>
    <s v="Singapore"/>
    <x v="2"/>
    <x v="0"/>
  </r>
  <r>
    <x v="398"/>
    <x v="396"/>
    <x v="0"/>
    <x v="1"/>
    <x v="1"/>
    <x v="384"/>
    <d v="2025-10-09T00:00:00"/>
    <d v="2017-12-06T00:00:00"/>
    <x v="376"/>
    <s v="Berlin"/>
    <x v="4"/>
    <x v="1"/>
  </r>
  <r>
    <x v="399"/>
    <x v="397"/>
    <x v="3"/>
    <x v="0"/>
    <x v="1"/>
    <x v="385"/>
    <d v="2025-03-21T00:00:00"/>
    <d v="2019-03-26T00:00:00"/>
    <x v="397"/>
    <s v="Bangalore"/>
    <x v="3"/>
    <x v="1"/>
  </r>
  <r>
    <x v="400"/>
    <x v="398"/>
    <x v="6"/>
    <x v="1"/>
    <x v="1"/>
    <x v="386"/>
    <d v="2025-11-19T00:00:00"/>
    <d v="2018-06-28T00:00:00"/>
    <x v="398"/>
    <s v="Bangalore"/>
    <x v="4"/>
    <x v="0"/>
  </r>
  <r>
    <x v="401"/>
    <x v="399"/>
    <x v="4"/>
    <x v="2"/>
    <x v="0"/>
    <x v="387"/>
    <d v="2025-11-04T00:00:00"/>
    <d v="2023-06-14T00:00:00"/>
    <x v="399"/>
    <s v="Toronto"/>
    <x v="3"/>
    <x v="0"/>
  </r>
  <r>
    <x v="402"/>
    <x v="400"/>
    <x v="2"/>
    <x v="4"/>
    <x v="1"/>
    <x v="388"/>
    <d v="2025-11-10T00:00:00"/>
    <d v="2024-08-14T00:00:00"/>
    <x v="400"/>
    <s v="Singapore"/>
    <x v="2"/>
    <x v="0"/>
  </r>
  <r>
    <x v="403"/>
    <x v="401"/>
    <x v="1"/>
    <x v="2"/>
    <x v="1"/>
    <x v="389"/>
    <d v="2025-04-19T00:00:00"/>
    <d v="2020-10-19T00:00:00"/>
    <x v="401"/>
    <s v="London"/>
    <x v="0"/>
    <x v="0"/>
  </r>
  <r>
    <x v="404"/>
    <x v="402"/>
    <x v="3"/>
    <x v="2"/>
    <x v="3"/>
    <x v="390"/>
    <d v="2026-01-15T00:00:00"/>
    <d v="2022-01-14T00:00:00"/>
    <x v="402"/>
    <s v="Sydney"/>
    <x v="1"/>
    <x v="1"/>
  </r>
  <r>
    <x v="405"/>
    <x v="403"/>
    <x v="0"/>
    <x v="5"/>
    <x v="2"/>
    <x v="391"/>
    <d v="2025-12-17T00:00:00"/>
    <d v="2024-06-07T00:00:00"/>
    <x v="403"/>
    <s v="Berlin"/>
    <x v="4"/>
    <x v="0"/>
  </r>
  <r>
    <x v="406"/>
    <x v="404"/>
    <x v="0"/>
    <x v="0"/>
    <x v="2"/>
    <x v="42"/>
    <d v="2026-01-13T00:00:00"/>
    <d v="2023-12-02T00:00:00"/>
    <x v="404"/>
    <s v="Toronto"/>
    <x v="0"/>
    <x v="1"/>
  </r>
  <r>
    <x v="407"/>
    <x v="405"/>
    <x v="5"/>
    <x v="4"/>
    <x v="3"/>
    <x v="392"/>
    <d v="2025-02-22T00:00:00"/>
    <d v="2021-09-18T00:00:00"/>
    <x v="405"/>
    <s v="Sydney"/>
    <x v="4"/>
    <x v="0"/>
  </r>
  <r>
    <x v="408"/>
    <x v="406"/>
    <x v="2"/>
    <x v="1"/>
    <x v="0"/>
    <x v="370"/>
    <d v="2025-10-11T00:00:00"/>
    <d v="2017-10-09T00:00:00"/>
    <x v="406"/>
    <s v="Berlin"/>
    <x v="1"/>
    <x v="0"/>
  </r>
  <r>
    <x v="409"/>
    <x v="407"/>
    <x v="5"/>
    <x v="2"/>
    <x v="2"/>
    <x v="393"/>
    <d v="2025-11-11T00:00:00"/>
    <d v="2017-06-29T00:00:00"/>
    <x v="407"/>
    <s v="New York"/>
    <x v="3"/>
    <x v="0"/>
  </r>
  <r>
    <x v="410"/>
    <x v="408"/>
    <x v="6"/>
    <x v="2"/>
    <x v="1"/>
    <x v="394"/>
    <d v="2025-07-07T00:00:00"/>
    <d v="2020-11-25T00:00:00"/>
    <x v="408"/>
    <s v="London"/>
    <x v="0"/>
    <x v="0"/>
  </r>
  <r>
    <x v="411"/>
    <x v="409"/>
    <x v="1"/>
    <x v="1"/>
    <x v="3"/>
    <x v="395"/>
    <d v="2025-03-26T00:00:00"/>
    <d v="2020-12-21T00:00:00"/>
    <x v="409"/>
    <s v="Bangalore"/>
    <x v="4"/>
    <x v="1"/>
  </r>
  <r>
    <x v="412"/>
    <x v="410"/>
    <x v="5"/>
    <x v="5"/>
    <x v="0"/>
    <x v="396"/>
    <d v="2025-12-15T00:00:00"/>
    <d v="2022-03-11T00:00:00"/>
    <x v="410"/>
    <s v="Sydney"/>
    <x v="2"/>
    <x v="1"/>
  </r>
  <r>
    <x v="413"/>
    <x v="411"/>
    <x v="2"/>
    <x v="2"/>
    <x v="1"/>
    <x v="397"/>
    <d v="2025-07-19T00:00:00"/>
    <d v="2019-02-13T00:00:00"/>
    <x v="411"/>
    <s v="Singapore"/>
    <x v="0"/>
    <x v="1"/>
  </r>
  <r>
    <x v="414"/>
    <x v="412"/>
    <x v="6"/>
    <x v="5"/>
    <x v="2"/>
    <x v="398"/>
    <d v="2025-07-09T00:00:00"/>
    <d v="2020-03-20T00:00:00"/>
    <x v="412"/>
    <s v="Singapore"/>
    <x v="0"/>
    <x v="1"/>
  </r>
  <r>
    <x v="415"/>
    <x v="413"/>
    <x v="1"/>
    <x v="0"/>
    <x v="1"/>
    <x v="399"/>
    <d v="2025-09-02T00:00:00"/>
    <d v="2021-07-30T00:00:00"/>
    <x v="413"/>
    <s v="Bangalore"/>
    <x v="0"/>
    <x v="1"/>
  </r>
  <r>
    <x v="416"/>
    <x v="414"/>
    <x v="4"/>
    <x v="3"/>
    <x v="1"/>
    <x v="400"/>
    <d v="2025-12-22T00:00:00"/>
    <d v="2020-09-15T00:00:00"/>
    <x v="414"/>
    <s v="Sydney"/>
    <x v="4"/>
    <x v="1"/>
  </r>
  <r>
    <x v="417"/>
    <x v="415"/>
    <x v="3"/>
    <x v="1"/>
    <x v="2"/>
    <x v="401"/>
    <d v="2025-08-02T00:00:00"/>
    <d v="2024-04-14T00:00:00"/>
    <x v="415"/>
    <s v="Toronto"/>
    <x v="2"/>
    <x v="1"/>
  </r>
  <r>
    <x v="418"/>
    <x v="416"/>
    <x v="5"/>
    <x v="3"/>
    <x v="0"/>
    <x v="402"/>
    <d v="2025-10-28T00:00:00"/>
    <d v="2018-01-19T00:00:00"/>
    <x v="416"/>
    <s v="Singapore"/>
    <x v="1"/>
    <x v="0"/>
  </r>
  <r>
    <x v="419"/>
    <x v="417"/>
    <x v="0"/>
    <x v="4"/>
    <x v="3"/>
    <x v="403"/>
    <d v="2025-09-01T00:00:00"/>
    <d v="2021-01-23T00:00:00"/>
    <x v="417"/>
    <s v="Toronto"/>
    <x v="1"/>
    <x v="0"/>
  </r>
  <r>
    <x v="420"/>
    <x v="418"/>
    <x v="5"/>
    <x v="1"/>
    <x v="3"/>
    <x v="404"/>
    <d v="2025-12-17T00:00:00"/>
    <d v="2015-12-30T00:00:00"/>
    <x v="418"/>
    <s v="Berlin"/>
    <x v="4"/>
    <x v="1"/>
  </r>
  <r>
    <x v="421"/>
    <x v="419"/>
    <x v="0"/>
    <x v="5"/>
    <x v="1"/>
    <x v="405"/>
    <d v="2025-11-02T00:00:00"/>
    <d v="2019-07-15T00:00:00"/>
    <x v="419"/>
    <s v="London"/>
    <x v="1"/>
    <x v="1"/>
  </r>
  <r>
    <x v="422"/>
    <x v="420"/>
    <x v="5"/>
    <x v="2"/>
    <x v="2"/>
    <x v="218"/>
    <d v="2025-04-21T00:00:00"/>
    <d v="2018-09-24T00:00:00"/>
    <x v="420"/>
    <s v="Singapore"/>
    <x v="2"/>
    <x v="1"/>
  </r>
  <r>
    <x v="423"/>
    <x v="421"/>
    <x v="2"/>
    <x v="0"/>
    <x v="2"/>
    <x v="406"/>
    <d v="2025-12-05T00:00:00"/>
    <d v="2016-02-28T00:00:00"/>
    <x v="421"/>
    <s v="Toronto"/>
    <x v="3"/>
    <x v="0"/>
  </r>
  <r>
    <x v="424"/>
    <x v="422"/>
    <x v="6"/>
    <x v="3"/>
    <x v="0"/>
    <x v="407"/>
    <d v="2026-01-12T00:00:00"/>
    <d v="2017-06-23T00:00:00"/>
    <x v="422"/>
    <s v="Berlin"/>
    <x v="3"/>
    <x v="0"/>
  </r>
  <r>
    <x v="425"/>
    <x v="423"/>
    <x v="5"/>
    <x v="2"/>
    <x v="0"/>
    <x v="408"/>
    <d v="2025-02-18T00:00:00"/>
    <d v="2017-06-08T00:00:00"/>
    <x v="423"/>
    <s v="Berlin"/>
    <x v="2"/>
    <x v="1"/>
  </r>
  <r>
    <x v="426"/>
    <x v="424"/>
    <x v="3"/>
    <x v="3"/>
    <x v="1"/>
    <x v="345"/>
    <d v="2025-10-11T00:00:00"/>
    <d v="2017-09-17T00:00:00"/>
    <x v="424"/>
    <s v="Singapore"/>
    <x v="4"/>
    <x v="0"/>
  </r>
  <r>
    <x v="427"/>
    <x v="425"/>
    <x v="0"/>
    <x v="1"/>
    <x v="3"/>
    <x v="409"/>
    <d v="2025-08-06T00:00:00"/>
    <d v="2018-12-02T00:00:00"/>
    <x v="425"/>
    <s v="Singapore"/>
    <x v="2"/>
    <x v="0"/>
  </r>
  <r>
    <x v="428"/>
    <x v="426"/>
    <x v="5"/>
    <x v="4"/>
    <x v="3"/>
    <x v="410"/>
    <d v="2025-04-27T00:00:00"/>
    <d v="2018-11-08T00:00:00"/>
    <x v="426"/>
    <s v="Berlin"/>
    <x v="1"/>
    <x v="1"/>
  </r>
  <r>
    <x v="429"/>
    <x v="427"/>
    <x v="3"/>
    <x v="3"/>
    <x v="0"/>
    <x v="411"/>
    <d v="2025-03-17T00:00:00"/>
    <d v="2018-07-20T00:00:00"/>
    <x v="427"/>
    <s v="Toronto"/>
    <x v="1"/>
    <x v="1"/>
  </r>
  <r>
    <x v="430"/>
    <x v="428"/>
    <x v="6"/>
    <x v="5"/>
    <x v="1"/>
    <x v="412"/>
    <d v="2025-03-25T00:00:00"/>
    <d v="2022-11-10T00:00:00"/>
    <x v="428"/>
    <s v="Singapore"/>
    <x v="1"/>
    <x v="1"/>
  </r>
  <r>
    <x v="431"/>
    <x v="429"/>
    <x v="4"/>
    <x v="3"/>
    <x v="0"/>
    <x v="243"/>
    <d v="2025-12-26T00:00:00"/>
    <d v="2023-09-18T00:00:00"/>
    <x v="429"/>
    <s v="London"/>
    <x v="2"/>
    <x v="0"/>
  </r>
  <r>
    <x v="432"/>
    <x v="430"/>
    <x v="4"/>
    <x v="0"/>
    <x v="0"/>
    <x v="413"/>
    <d v="2026-01-02T00:00:00"/>
    <d v="2019-06-20T00:00:00"/>
    <x v="430"/>
    <s v="Berlin"/>
    <x v="0"/>
    <x v="0"/>
  </r>
  <r>
    <x v="433"/>
    <x v="431"/>
    <x v="1"/>
    <x v="2"/>
    <x v="3"/>
    <x v="414"/>
    <d v="2025-06-13T00:00:00"/>
    <d v="2016-01-11T00:00:00"/>
    <x v="431"/>
    <s v="Sydney"/>
    <x v="4"/>
    <x v="0"/>
  </r>
  <r>
    <x v="434"/>
    <x v="432"/>
    <x v="6"/>
    <x v="1"/>
    <x v="0"/>
    <x v="415"/>
    <d v="2025-08-26T00:00:00"/>
    <d v="2020-03-07T00:00:00"/>
    <x v="432"/>
    <s v="Berlin"/>
    <x v="2"/>
    <x v="0"/>
  </r>
  <r>
    <x v="435"/>
    <x v="433"/>
    <x v="5"/>
    <x v="3"/>
    <x v="2"/>
    <x v="236"/>
    <d v="2026-01-09T00:00:00"/>
    <d v="2023-01-13T00:00:00"/>
    <x v="433"/>
    <s v="New York"/>
    <x v="3"/>
    <x v="0"/>
  </r>
  <r>
    <x v="436"/>
    <x v="434"/>
    <x v="2"/>
    <x v="1"/>
    <x v="3"/>
    <x v="416"/>
    <d v="2025-09-14T00:00:00"/>
    <d v="2021-09-26T00:00:00"/>
    <x v="434"/>
    <s v="Berlin"/>
    <x v="3"/>
    <x v="0"/>
  </r>
  <r>
    <x v="437"/>
    <x v="435"/>
    <x v="1"/>
    <x v="4"/>
    <x v="1"/>
    <x v="417"/>
    <d v="2025-09-19T00:00:00"/>
    <d v="2021-08-22T00:00:00"/>
    <x v="435"/>
    <s v="Berlin"/>
    <x v="4"/>
    <x v="0"/>
  </r>
  <r>
    <x v="438"/>
    <x v="436"/>
    <x v="3"/>
    <x v="4"/>
    <x v="1"/>
    <x v="418"/>
    <d v="2025-04-22T00:00:00"/>
    <d v="2021-12-05T00:00:00"/>
    <x v="436"/>
    <s v="New York"/>
    <x v="3"/>
    <x v="1"/>
  </r>
  <r>
    <x v="439"/>
    <x v="437"/>
    <x v="2"/>
    <x v="0"/>
    <x v="2"/>
    <x v="419"/>
    <d v="2025-12-17T00:00:00"/>
    <d v="2021-09-09T00:00:00"/>
    <x v="437"/>
    <s v="Singapore"/>
    <x v="0"/>
    <x v="1"/>
  </r>
  <r>
    <x v="440"/>
    <x v="438"/>
    <x v="5"/>
    <x v="5"/>
    <x v="0"/>
    <x v="420"/>
    <d v="2025-11-22T00:00:00"/>
    <d v="2023-12-23T00:00:00"/>
    <x v="438"/>
    <s v="London"/>
    <x v="2"/>
    <x v="0"/>
  </r>
  <r>
    <x v="441"/>
    <x v="439"/>
    <x v="6"/>
    <x v="3"/>
    <x v="1"/>
    <x v="421"/>
    <d v="2025-12-13T00:00:00"/>
    <d v="2017-05-30T00:00:00"/>
    <x v="439"/>
    <s v="Toronto"/>
    <x v="0"/>
    <x v="1"/>
  </r>
  <r>
    <x v="442"/>
    <x v="440"/>
    <x v="0"/>
    <x v="2"/>
    <x v="0"/>
    <x v="422"/>
    <d v="2025-03-31T00:00:00"/>
    <d v="2019-12-21T00:00:00"/>
    <x v="440"/>
    <s v="Bangalore"/>
    <x v="4"/>
    <x v="0"/>
  </r>
  <r>
    <x v="443"/>
    <x v="441"/>
    <x v="2"/>
    <x v="3"/>
    <x v="2"/>
    <x v="423"/>
    <d v="2025-12-26T00:00:00"/>
    <d v="2018-09-12T00:00:00"/>
    <x v="441"/>
    <s v="Toronto"/>
    <x v="4"/>
    <x v="1"/>
  </r>
  <r>
    <x v="444"/>
    <x v="442"/>
    <x v="5"/>
    <x v="5"/>
    <x v="1"/>
    <x v="185"/>
    <d v="2025-03-01T00:00:00"/>
    <d v="2020-08-07T00:00:00"/>
    <x v="442"/>
    <s v="London"/>
    <x v="0"/>
    <x v="1"/>
  </r>
  <r>
    <x v="445"/>
    <x v="443"/>
    <x v="5"/>
    <x v="0"/>
    <x v="2"/>
    <x v="424"/>
    <d v="2025-12-03T00:00:00"/>
    <d v="2021-08-18T00:00:00"/>
    <x v="443"/>
    <s v="Sydney"/>
    <x v="0"/>
    <x v="0"/>
  </r>
  <r>
    <x v="446"/>
    <x v="444"/>
    <x v="5"/>
    <x v="3"/>
    <x v="0"/>
    <x v="425"/>
    <d v="2025-06-16T00:00:00"/>
    <d v="2019-07-13T00:00:00"/>
    <x v="444"/>
    <s v="Sydney"/>
    <x v="2"/>
    <x v="0"/>
  </r>
  <r>
    <x v="447"/>
    <x v="445"/>
    <x v="1"/>
    <x v="0"/>
    <x v="3"/>
    <x v="426"/>
    <d v="2025-10-24T00:00:00"/>
    <d v="2022-02-23T00:00:00"/>
    <x v="445"/>
    <s v="Singapore"/>
    <x v="2"/>
    <x v="0"/>
  </r>
  <r>
    <x v="448"/>
    <x v="446"/>
    <x v="4"/>
    <x v="1"/>
    <x v="2"/>
    <x v="427"/>
    <d v="2025-09-16T00:00:00"/>
    <d v="2018-10-18T00:00:00"/>
    <x v="446"/>
    <s v="Singapore"/>
    <x v="4"/>
    <x v="1"/>
  </r>
  <r>
    <x v="449"/>
    <x v="447"/>
    <x v="3"/>
    <x v="4"/>
    <x v="2"/>
    <x v="428"/>
    <d v="2025-06-07T00:00:00"/>
    <d v="2021-11-07T00:00:00"/>
    <x v="447"/>
    <s v="Berlin"/>
    <x v="2"/>
    <x v="0"/>
  </r>
  <r>
    <x v="450"/>
    <x v="448"/>
    <x v="5"/>
    <x v="0"/>
    <x v="2"/>
    <x v="429"/>
    <d v="2025-06-23T00:00:00"/>
    <d v="2016-04-01T00:00:00"/>
    <x v="448"/>
    <s v="Sydney"/>
    <x v="1"/>
    <x v="1"/>
  </r>
  <r>
    <x v="451"/>
    <x v="449"/>
    <x v="5"/>
    <x v="5"/>
    <x v="1"/>
    <x v="430"/>
    <d v="2026-02-04T00:00:00"/>
    <d v="2023-05-23T00:00:00"/>
    <x v="449"/>
    <s v="Sydney"/>
    <x v="4"/>
    <x v="1"/>
  </r>
  <r>
    <x v="452"/>
    <x v="450"/>
    <x v="6"/>
    <x v="5"/>
    <x v="2"/>
    <x v="431"/>
    <d v="2025-05-29T00:00:00"/>
    <d v="2016-10-02T00:00:00"/>
    <x v="450"/>
    <s v="New York"/>
    <x v="4"/>
    <x v="1"/>
  </r>
  <r>
    <x v="453"/>
    <x v="451"/>
    <x v="0"/>
    <x v="0"/>
    <x v="2"/>
    <x v="432"/>
    <d v="2025-07-09T00:00:00"/>
    <d v="2015-12-24T00:00:00"/>
    <x v="451"/>
    <s v="New York"/>
    <x v="4"/>
    <x v="0"/>
  </r>
  <r>
    <x v="454"/>
    <x v="452"/>
    <x v="4"/>
    <x v="1"/>
    <x v="0"/>
    <x v="433"/>
    <d v="2025-03-22T00:00:00"/>
    <d v="2023-07-04T00:00:00"/>
    <x v="452"/>
    <s v="New York"/>
    <x v="0"/>
    <x v="0"/>
  </r>
  <r>
    <x v="455"/>
    <x v="453"/>
    <x v="2"/>
    <x v="4"/>
    <x v="3"/>
    <x v="434"/>
    <d v="2025-05-03T00:00:00"/>
    <d v="2017-07-25T00:00:00"/>
    <x v="453"/>
    <s v="London"/>
    <x v="3"/>
    <x v="1"/>
  </r>
  <r>
    <x v="456"/>
    <x v="454"/>
    <x v="4"/>
    <x v="3"/>
    <x v="3"/>
    <x v="435"/>
    <d v="2025-03-12T00:00:00"/>
    <d v="2021-01-17T00:00:00"/>
    <x v="454"/>
    <s v="Bangalore"/>
    <x v="3"/>
    <x v="1"/>
  </r>
  <r>
    <x v="457"/>
    <x v="455"/>
    <x v="3"/>
    <x v="4"/>
    <x v="1"/>
    <x v="436"/>
    <d v="2025-10-28T00:00:00"/>
    <d v="2019-10-24T00:00:00"/>
    <x v="455"/>
    <s v="Sydney"/>
    <x v="1"/>
    <x v="0"/>
  </r>
  <r>
    <x v="458"/>
    <x v="456"/>
    <x v="4"/>
    <x v="3"/>
    <x v="1"/>
    <x v="437"/>
    <d v="2025-12-20T00:00:00"/>
    <d v="2016-10-28T00:00:00"/>
    <x v="456"/>
    <s v="Toronto"/>
    <x v="1"/>
    <x v="0"/>
  </r>
  <r>
    <x v="459"/>
    <x v="457"/>
    <x v="1"/>
    <x v="2"/>
    <x v="0"/>
    <x v="438"/>
    <d v="2025-12-04T00:00:00"/>
    <d v="2019-02-03T00:00:00"/>
    <x v="457"/>
    <s v="Sydney"/>
    <x v="3"/>
    <x v="1"/>
  </r>
  <r>
    <x v="460"/>
    <x v="458"/>
    <x v="3"/>
    <x v="3"/>
    <x v="2"/>
    <x v="439"/>
    <d v="2025-03-06T00:00:00"/>
    <d v="2024-06-22T00:00:00"/>
    <x v="458"/>
    <s v="Toronto"/>
    <x v="4"/>
    <x v="0"/>
  </r>
  <r>
    <x v="461"/>
    <x v="459"/>
    <x v="0"/>
    <x v="2"/>
    <x v="0"/>
    <x v="440"/>
    <d v="2025-05-19T00:00:00"/>
    <d v="2020-10-12T00:00:00"/>
    <x v="459"/>
    <s v="New York"/>
    <x v="1"/>
    <x v="1"/>
  </r>
  <r>
    <x v="462"/>
    <x v="460"/>
    <x v="2"/>
    <x v="3"/>
    <x v="0"/>
    <x v="441"/>
    <d v="2025-10-26T00:00:00"/>
    <d v="2016-05-14T00:00:00"/>
    <x v="460"/>
    <s v="Berlin"/>
    <x v="2"/>
    <x v="0"/>
  </r>
  <r>
    <x v="463"/>
    <x v="461"/>
    <x v="3"/>
    <x v="0"/>
    <x v="2"/>
    <x v="442"/>
    <d v="2025-04-06T00:00:00"/>
    <d v="2022-03-12T00:00:00"/>
    <x v="461"/>
    <s v="Sydney"/>
    <x v="3"/>
    <x v="0"/>
  </r>
  <r>
    <x v="464"/>
    <x v="462"/>
    <x v="4"/>
    <x v="3"/>
    <x v="1"/>
    <x v="443"/>
    <d v="2025-07-29T00:00:00"/>
    <d v="2019-03-08T00:00:00"/>
    <x v="462"/>
    <s v="Toronto"/>
    <x v="2"/>
    <x v="0"/>
  </r>
  <r>
    <x v="465"/>
    <x v="463"/>
    <x v="0"/>
    <x v="4"/>
    <x v="1"/>
    <x v="444"/>
    <d v="2025-10-01T00:00:00"/>
    <d v="2017-08-02T00:00:00"/>
    <x v="463"/>
    <s v="Sydney"/>
    <x v="4"/>
    <x v="1"/>
  </r>
  <r>
    <x v="466"/>
    <x v="464"/>
    <x v="0"/>
    <x v="5"/>
    <x v="1"/>
    <x v="445"/>
    <d v="2026-01-30T00:00:00"/>
    <d v="2021-12-30T00:00:00"/>
    <x v="464"/>
    <s v="Sydney"/>
    <x v="1"/>
    <x v="0"/>
  </r>
  <r>
    <x v="467"/>
    <x v="465"/>
    <x v="3"/>
    <x v="1"/>
    <x v="0"/>
    <x v="446"/>
    <d v="2026-02-05T00:00:00"/>
    <d v="2022-09-19T00:00:00"/>
    <x v="465"/>
    <s v="London"/>
    <x v="0"/>
    <x v="1"/>
  </r>
  <r>
    <x v="468"/>
    <x v="466"/>
    <x v="2"/>
    <x v="2"/>
    <x v="3"/>
    <x v="447"/>
    <d v="2025-03-23T00:00:00"/>
    <d v="2024-04-19T00:00:00"/>
    <x v="466"/>
    <s v="New York"/>
    <x v="3"/>
    <x v="0"/>
  </r>
  <r>
    <x v="469"/>
    <x v="467"/>
    <x v="4"/>
    <x v="1"/>
    <x v="1"/>
    <x v="403"/>
    <d v="2025-06-19T00:00:00"/>
    <d v="2023-07-03T00:00:00"/>
    <x v="467"/>
    <s v="Sydney"/>
    <x v="1"/>
    <x v="0"/>
  </r>
  <r>
    <x v="470"/>
    <x v="468"/>
    <x v="0"/>
    <x v="5"/>
    <x v="2"/>
    <x v="448"/>
    <d v="2025-11-18T00:00:00"/>
    <d v="2023-12-19T00:00:00"/>
    <x v="468"/>
    <s v="Bangalore"/>
    <x v="4"/>
    <x v="0"/>
  </r>
  <r>
    <x v="471"/>
    <x v="469"/>
    <x v="4"/>
    <x v="5"/>
    <x v="3"/>
    <x v="449"/>
    <d v="2025-11-29T00:00:00"/>
    <d v="2016-09-08T00:00:00"/>
    <x v="469"/>
    <s v="Sydney"/>
    <x v="0"/>
    <x v="1"/>
  </r>
  <r>
    <x v="472"/>
    <x v="470"/>
    <x v="3"/>
    <x v="4"/>
    <x v="3"/>
    <x v="173"/>
    <d v="2025-06-24T00:00:00"/>
    <d v="2024-05-26T00:00:00"/>
    <x v="470"/>
    <s v="London"/>
    <x v="0"/>
    <x v="1"/>
  </r>
  <r>
    <x v="473"/>
    <x v="471"/>
    <x v="6"/>
    <x v="5"/>
    <x v="1"/>
    <x v="450"/>
    <d v="2025-09-08T00:00:00"/>
    <d v="2019-02-27T00:00:00"/>
    <x v="471"/>
    <s v="Singapore"/>
    <x v="2"/>
    <x v="1"/>
  </r>
  <r>
    <x v="474"/>
    <x v="472"/>
    <x v="5"/>
    <x v="1"/>
    <x v="3"/>
    <x v="251"/>
    <d v="2025-11-30T00:00:00"/>
    <d v="2019-09-21T00:00:00"/>
    <x v="472"/>
    <s v="London"/>
    <x v="3"/>
    <x v="1"/>
  </r>
  <r>
    <x v="475"/>
    <x v="473"/>
    <x v="4"/>
    <x v="0"/>
    <x v="3"/>
    <x v="451"/>
    <d v="2025-07-22T00:00:00"/>
    <d v="2023-02-20T00:00:00"/>
    <x v="473"/>
    <s v="Bangalore"/>
    <x v="0"/>
    <x v="0"/>
  </r>
  <r>
    <x v="476"/>
    <x v="474"/>
    <x v="6"/>
    <x v="5"/>
    <x v="0"/>
    <x v="452"/>
    <d v="2025-02-25T00:00:00"/>
    <d v="2023-07-29T00:00:00"/>
    <x v="474"/>
    <s v="Berlin"/>
    <x v="1"/>
    <x v="0"/>
  </r>
  <r>
    <x v="477"/>
    <x v="475"/>
    <x v="3"/>
    <x v="0"/>
    <x v="3"/>
    <x v="453"/>
    <d v="2026-02-11T00:00:00"/>
    <d v="2024-04-19T00:00:00"/>
    <x v="475"/>
    <s v="Bangalore"/>
    <x v="4"/>
    <x v="1"/>
  </r>
  <r>
    <x v="478"/>
    <x v="476"/>
    <x v="6"/>
    <x v="1"/>
    <x v="2"/>
    <x v="454"/>
    <d v="2025-11-13T00:00:00"/>
    <d v="2023-07-20T00:00:00"/>
    <x v="476"/>
    <s v="New York"/>
    <x v="0"/>
    <x v="1"/>
  </r>
  <r>
    <x v="479"/>
    <x v="477"/>
    <x v="1"/>
    <x v="2"/>
    <x v="1"/>
    <x v="455"/>
    <d v="2025-10-23T00:00:00"/>
    <d v="2021-06-23T00:00:00"/>
    <x v="477"/>
    <s v="Berlin"/>
    <x v="4"/>
    <x v="1"/>
  </r>
  <r>
    <x v="480"/>
    <x v="478"/>
    <x v="5"/>
    <x v="2"/>
    <x v="1"/>
    <x v="456"/>
    <d v="2025-09-15T00:00:00"/>
    <d v="2018-03-14T00:00:00"/>
    <x v="478"/>
    <s v="Toronto"/>
    <x v="0"/>
    <x v="1"/>
  </r>
  <r>
    <x v="481"/>
    <x v="479"/>
    <x v="2"/>
    <x v="4"/>
    <x v="2"/>
    <x v="457"/>
    <d v="2025-11-13T00:00:00"/>
    <d v="2017-02-14T00:00:00"/>
    <x v="479"/>
    <s v="New York"/>
    <x v="3"/>
    <x v="0"/>
  </r>
  <r>
    <x v="482"/>
    <x v="480"/>
    <x v="2"/>
    <x v="1"/>
    <x v="0"/>
    <x v="458"/>
    <d v="2025-08-08T00:00:00"/>
    <d v="2022-07-01T00:00:00"/>
    <x v="480"/>
    <s v="New York"/>
    <x v="1"/>
    <x v="0"/>
  </r>
  <r>
    <x v="483"/>
    <x v="481"/>
    <x v="0"/>
    <x v="2"/>
    <x v="1"/>
    <x v="459"/>
    <d v="2025-10-24T00:00:00"/>
    <d v="2020-10-19T00:00:00"/>
    <x v="481"/>
    <s v="Sydney"/>
    <x v="2"/>
    <x v="1"/>
  </r>
  <r>
    <x v="484"/>
    <x v="482"/>
    <x v="2"/>
    <x v="1"/>
    <x v="0"/>
    <x v="460"/>
    <d v="2025-04-27T00:00:00"/>
    <d v="2024-04-19T00:00:00"/>
    <x v="482"/>
    <s v="Singapore"/>
    <x v="3"/>
    <x v="0"/>
  </r>
  <r>
    <x v="485"/>
    <x v="483"/>
    <x v="1"/>
    <x v="3"/>
    <x v="1"/>
    <x v="461"/>
    <d v="2025-10-25T00:00:00"/>
    <d v="2022-03-21T00:00:00"/>
    <x v="483"/>
    <s v="Toronto"/>
    <x v="2"/>
    <x v="1"/>
  </r>
  <r>
    <x v="486"/>
    <x v="484"/>
    <x v="1"/>
    <x v="4"/>
    <x v="2"/>
    <x v="462"/>
    <d v="2025-07-20T00:00:00"/>
    <d v="2023-06-18T00:00:00"/>
    <x v="484"/>
    <s v="Bangalore"/>
    <x v="2"/>
    <x v="1"/>
  </r>
  <r>
    <x v="487"/>
    <x v="485"/>
    <x v="6"/>
    <x v="4"/>
    <x v="0"/>
    <x v="463"/>
    <d v="2025-04-04T00:00:00"/>
    <d v="2021-03-29T00:00:00"/>
    <x v="485"/>
    <s v="Bangalore"/>
    <x v="2"/>
    <x v="0"/>
  </r>
  <r>
    <x v="488"/>
    <x v="486"/>
    <x v="6"/>
    <x v="3"/>
    <x v="1"/>
    <x v="464"/>
    <d v="2025-11-26T00:00:00"/>
    <d v="2024-01-08T00:00:00"/>
    <x v="486"/>
    <s v="New York"/>
    <x v="0"/>
    <x v="0"/>
  </r>
  <r>
    <x v="489"/>
    <x v="487"/>
    <x v="5"/>
    <x v="0"/>
    <x v="1"/>
    <x v="465"/>
    <d v="2025-12-22T00:00:00"/>
    <d v="2024-05-09T00:00:00"/>
    <x v="487"/>
    <s v="Berlin"/>
    <x v="0"/>
    <x v="0"/>
  </r>
  <r>
    <x v="490"/>
    <x v="488"/>
    <x v="3"/>
    <x v="0"/>
    <x v="1"/>
    <x v="466"/>
    <d v="2025-05-16T00:00:00"/>
    <d v="2018-05-09T00:00:00"/>
    <x v="488"/>
    <s v="Bangalore"/>
    <x v="2"/>
    <x v="1"/>
  </r>
  <r>
    <x v="491"/>
    <x v="489"/>
    <x v="3"/>
    <x v="5"/>
    <x v="3"/>
    <x v="467"/>
    <d v="2025-05-11T00:00:00"/>
    <d v="2022-02-17T00:00:00"/>
    <x v="489"/>
    <s v="Singapore"/>
    <x v="4"/>
    <x v="1"/>
  </r>
  <r>
    <x v="492"/>
    <x v="490"/>
    <x v="0"/>
    <x v="1"/>
    <x v="2"/>
    <x v="468"/>
    <d v="2026-01-15T00:00:00"/>
    <d v="2022-02-16T00:00:00"/>
    <x v="490"/>
    <s v="Toronto"/>
    <x v="0"/>
    <x v="0"/>
  </r>
  <r>
    <x v="493"/>
    <x v="491"/>
    <x v="0"/>
    <x v="0"/>
    <x v="2"/>
    <x v="469"/>
    <d v="2025-09-11T00:00:00"/>
    <d v="2023-08-17T00:00:00"/>
    <x v="491"/>
    <s v="Singapore"/>
    <x v="1"/>
    <x v="1"/>
  </r>
  <r>
    <x v="494"/>
    <x v="492"/>
    <x v="3"/>
    <x v="0"/>
    <x v="2"/>
    <x v="470"/>
    <d v="2025-04-18T00:00:00"/>
    <d v="2020-05-01T00:00:00"/>
    <x v="492"/>
    <s v="Toronto"/>
    <x v="1"/>
    <x v="0"/>
  </r>
  <r>
    <x v="495"/>
    <x v="493"/>
    <x v="2"/>
    <x v="5"/>
    <x v="2"/>
    <x v="471"/>
    <d v="2026-02-08T00:00:00"/>
    <d v="2020-12-09T00:00:00"/>
    <x v="493"/>
    <s v="New York"/>
    <x v="0"/>
    <x v="0"/>
  </r>
  <r>
    <x v="496"/>
    <x v="494"/>
    <x v="0"/>
    <x v="3"/>
    <x v="1"/>
    <x v="472"/>
    <d v="2026-01-07T00:00:00"/>
    <d v="2019-09-19T00:00:00"/>
    <x v="494"/>
    <s v="Bangalore"/>
    <x v="3"/>
    <x v="1"/>
  </r>
  <r>
    <x v="497"/>
    <x v="495"/>
    <x v="3"/>
    <x v="1"/>
    <x v="2"/>
    <x v="473"/>
    <d v="2025-09-28T00:00:00"/>
    <d v="2019-08-19T00:00:00"/>
    <x v="495"/>
    <s v="New York"/>
    <x v="3"/>
    <x v="1"/>
  </r>
  <r>
    <x v="498"/>
    <x v="496"/>
    <x v="2"/>
    <x v="0"/>
    <x v="2"/>
    <x v="474"/>
    <d v="2025-06-19T00:00:00"/>
    <d v="2022-11-17T00:00:00"/>
    <x v="496"/>
    <s v="Bangalore"/>
    <x v="3"/>
    <x v="1"/>
  </r>
  <r>
    <x v="499"/>
    <x v="497"/>
    <x v="3"/>
    <x v="3"/>
    <x v="1"/>
    <x v="475"/>
    <d v="2025-12-27T00:00:00"/>
    <d v="2019-08-09T00:00:00"/>
    <x v="497"/>
    <s v="Singapore"/>
    <x v="4"/>
    <x v="0"/>
  </r>
  <r>
    <x v="500"/>
    <x v="498"/>
    <x v="1"/>
    <x v="1"/>
    <x v="3"/>
    <x v="476"/>
    <d v="2025-02-24T00:00:00"/>
    <d v="2022-05-11T00:00:00"/>
    <x v="498"/>
    <s v="Berlin"/>
    <x v="1"/>
    <x v="0"/>
  </r>
  <r>
    <x v="501"/>
    <x v="499"/>
    <x v="5"/>
    <x v="0"/>
    <x v="0"/>
    <x v="477"/>
    <d v="2025-08-01T00:00:00"/>
    <d v="2015-10-29T00:00:00"/>
    <x v="499"/>
    <s v="New York"/>
    <x v="0"/>
    <x v="1"/>
  </r>
  <r>
    <x v="502"/>
    <x v="500"/>
    <x v="0"/>
    <x v="4"/>
    <x v="2"/>
    <x v="478"/>
    <d v="2025-07-29T00:00:00"/>
    <d v="2024-03-10T00:00:00"/>
    <x v="500"/>
    <s v="Singapore"/>
    <x v="0"/>
    <x v="0"/>
  </r>
  <r>
    <x v="503"/>
    <x v="501"/>
    <x v="1"/>
    <x v="4"/>
    <x v="3"/>
    <x v="479"/>
    <d v="2025-03-08T00:00:00"/>
    <d v="2020-06-27T00:00:00"/>
    <x v="501"/>
    <s v="Sydney"/>
    <x v="0"/>
    <x v="0"/>
  </r>
  <r>
    <x v="504"/>
    <x v="242"/>
    <x v="1"/>
    <x v="2"/>
    <x v="2"/>
    <x v="480"/>
    <d v="2025-06-13T00:00:00"/>
    <d v="2018-01-29T00:00:00"/>
    <x v="502"/>
    <s v="Berlin"/>
    <x v="4"/>
    <x v="1"/>
  </r>
  <r>
    <x v="505"/>
    <x v="502"/>
    <x v="1"/>
    <x v="4"/>
    <x v="2"/>
    <x v="481"/>
    <d v="2026-01-12T00:00:00"/>
    <d v="2017-06-14T00:00:00"/>
    <x v="503"/>
    <s v="London"/>
    <x v="4"/>
    <x v="1"/>
  </r>
  <r>
    <x v="506"/>
    <x v="503"/>
    <x v="5"/>
    <x v="5"/>
    <x v="3"/>
    <x v="482"/>
    <d v="2026-01-03T00:00:00"/>
    <d v="2023-11-24T00:00:00"/>
    <x v="504"/>
    <s v="Bangalore"/>
    <x v="4"/>
    <x v="1"/>
  </r>
  <r>
    <x v="507"/>
    <x v="504"/>
    <x v="5"/>
    <x v="4"/>
    <x v="2"/>
    <x v="483"/>
    <d v="2025-02-24T00:00:00"/>
    <d v="2018-03-11T00:00:00"/>
    <x v="505"/>
    <s v="New York"/>
    <x v="0"/>
    <x v="0"/>
  </r>
  <r>
    <x v="508"/>
    <x v="505"/>
    <x v="5"/>
    <x v="4"/>
    <x v="0"/>
    <x v="431"/>
    <d v="2026-01-30T00:00:00"/>
    <d v="2017-05-04T00:00:00"/>
    <x v="506"/>
    <s v="Bangalore"/>
    <x v="0"/>
    <x v="0"/>
  </r>
  <r>
    <x v="509"/>
    <x v="506"/>
    <x v="0"/>
    <x v="5"/>
    <x v="3"/>
    <x v="484"/>
    <d v="2026-02-06T00:00:00"/>
    <d v="2022-08-04T00:00:00"/>
    <x v="507"/>
    <s v="Berlin"/>
    <x v="0"/>
    <x v="1"/>
  </r>
  <r>
    <x v="510"/>
    <x v="507"/>
    <x v="3"/>
    <x v="1"/>
    <x v="1"/>
    <x v="485"/>
    <d v="2025-08-13T00:00:00"/>
    <d v="2021-08-12T00:00:00"/>
    <x v="508"/>
    <s v="New York"/>
    <x v="3"/>
    <x v="0"/>
  </r>
  <r>
    <x v="511"/>
    <x v="508"/>
    <x v="0"/>
    <x v="1"/>
    <x v="1"/>
    <x v="486"/>
    <d v="2025-12-28T00:00:00"/>
    <d v="2022-09-05T00:00:00"/>
    <x v="509"/>
    <s v="Berlin"/>
    <x v="0"/>
    <x v="0"/>
  </r>
  <r>
    <x v="512"/>
    <x v="509"/>
    <x v="4"/>
    <x v="3"/>
    <x v="1"/>
    <x v="487"/>
    <d v="2025-08-08T00:00:00"/>
    <d v="2022-11-21T00:00:00"/>
    <x v="510"/>
    <s v="Bangalore"/>
    <x v="2"/>
    <x v="0"/>
  </r>
  <r>
    <x v="513"/>
    <x v="510"/>
    <x v="5"/>
    <x v="1"/>
    <x v="2"/>
    <x v="488"/>
    <d v="2025-12-28T00:00:00"/>
    <d v="2020-09-11T00:00:00"/>
    <x v="511"/>
    <s v="Berlin"/>
    <x v="1"/>
    <x v="0"/>
  </r>
  <r>
    <x v="514"/>
    <x v="511"/>
    <x v="0"/>
    <x v="0"/>
    <x v="3"/>
    <x v="489"/>
    <d v="2025-12-06T00:00:00"/>
    <d v="2020-02-23T00:00:00"/>
    <x v="512"/>
    <s v="New York"/>
    <x v="2"/>
    <x v="0"/>
  </r>
  <r>
    <x v="515"/>
    <x v="512"/>
    <x v="2"/>
    <x v="4"/>
    <x v="0"/>
    <x v="490"/>
    <d v="2025-09-16T00:00:00"/>
    <d v="2016-10-09T00:00:00"/>
    <x v="513"/>
    <s v="London"/>
    <x v="2"/>
    <x v="0"/>
  </r>
  <r>
    <x v="516"/>
    <x v="513"/>
    <x v="5"/>
    <x v="5"/>
    <x v="2"/>
    <x v="491"/>
    <d v="2025-11-23T00:00:00"/>
    <d v="2021-07-09T00:00:00"/>
    <x v="514"/>
    <s v="London"/>
    <x v="0"/>
    <x v="1"/>
  </r>
  <r>
    <x v="517"/>
    <x v="514"/>
    <x v="0"/>
    <x v="2"/>
    <x v="3"/>
    <x v="492"/>
    <d v="2025-07-03T00:00:00"/>
    <d v="2024-01-06T00:00:00"/>
    <x v="515"/>
    <s v="Berlin"/>
    <x v="3"/>
    <x v="0"/>
  </r>
  <r>
    <x v="518"/>
    <x v="515"/>
    <x v="3"/>
    <x v="1"/>
    <x v="0"/>
    <x v="493"/>
    <d v="2025-10-01T00:00:00"/>
    <d v="2021-06-15T00:00:00"/>
    <x v="516"/>
    <s v="Sydney"/>
    <x v="0"/>
    <x v="0"/>
  </r>
  <r>
    <x v="519"/>
    <x v="516"/>
    <x v="0"/>
    <x v="0"/>
    <x v="0"/>
    <x v="494"/>
    <d v="2025-05-19T00:00:00"/>
    <d v="2020-11-29T00:00:00"/>
    <x v="517"/>
    <s v="Singapore"/>
    <x v="1"/>
    <x v="1"/>
  </r>
  <r>
    <x v="520"/>
    <x v="517"/>
    <x v="5"/>
    <x v="1"/>
    <x v="1"/>
    <x v="495"/>
    <d v="2025-02-17T00:00:00"/>
    <d v="2018-04-13T00:00:00"/>
    <x v="518"/>
    <s v="Singapore"/>
    <x v="4"/>
    <x v="1"/>
  </r>
  <r>
    <x v="521"/>
    <x v="518"/>
    <x v="4"/>
    <x v="3"/>
    <x v="0"/>
    <x v="496"/>
    <d v="2025-02-21T00:00:00"/>
    <d v="2024-08-12T00:00:00"/>
    <x v="519"/>
    <s v="Berlin"/>
    <x v="1"/>
    <x v="1"/>
  </r>
  <r>
    <x v="522"/>
    <x v="519"/>
    <x v="4"/>
    <x v="4"/>
    <x v="1"/>
    <x v="387"/>
    <d v="2025-09-14T00:00:00"/>
    <d v="2021-06-26T00:00:00"/>
    <x v="520"/>
    <s v="New York"/>
    <x v="1"/>
    <x v="1"/>
  </r>
  <r>
    <x v="523"/>
    <x v="520"/>
    <x v="2"/>
    <x v="5"/>
    <x v="3"/>
    <x v="324"/>
    <d v="2025-09-09T00:00:00"/>
    <d v="2015-09-17T00:00:00"/>
    <x v="521"/>
    <s v="Sydney"/>
    <x v="1"/>
    <x v="0"/>
  </r>
  <r>
    <x v="524"/>
    <x v="521"/>
    <x v="4"/>
    <x v="0"/>
    <x v="1"/>
    <x v="497"/>
    <d v="2025-10-23T00:00:00"/>
    <d v="2021-03-09T00:00:00"/>
    <x v="522"/>
    <s v="London"/>
    <x v="4"/>
    <x v="1"/>
  </r>
  <r>
    <x v="525"/>
    <x v="522"/>
    <x v="4"/>
    <x v="5"/>
    <x v="1"/>
    <x v="498"/>
    <d v="2026-01-05T00:00:00"/>
    <d v="2016-07-07T00:00:00"/>
    <x v="523"/>
    <s v="Singapore"/>
    <x v="2"/>
    <x v="0"/>
  </r>
  <r>
    <x v="526"/>
    <x v="523"/>
    <x v="2"/>
    <x v="2"/>
    <x v="0"/>
    <x v="499"/>
    <d v="2025-09-10T00:00:00"/>
    <d v="2018-01-12T00:00:00"/>
    <x v="524"/>
    <s v="Berlin"/>
    <x v="0"/>
    <x v="1"/>
  </r>
  <r>
    <x v="527"/>
    <x v="524"/>
    <x v="3"/>
    <x v="3"/>
    <x v="2"/>
    <x v="500"/>
    <d v="2025-04-20T00:00:00"/>
    <d v="2019-10-05T00:00:00"/>
    <x v="525"/>
    <s v="Berlin"/>
    <x v="3"/>
    <x v="0"/>
  </r>
  <r>
    <x v="528"/>
    <x v="525"/>
    <x v="3"/>
    <x v="2"/>
    <x v="2"/>
    <x v="12"/>
    <d v="2025-05-05T00:00:00"/>
    <d v="2019-01-16T00:00:00"/>
    <x v="526"/>
    <s v="London"/>
    <x v="3"/>
    <x v="1"/>
  </r>
  <r>
    <x v="529"/>
    <x v="526"/>
    <x v="5"/>
    <x v="5"/>
    <x v="2"/>
    <x v="501"/>
    <d v="2025-06-16T00:00:00"/>
    <d v="2018-04-12T00:00:00"/>
    <x v="527"/>
    <s v="Toronto"/>
    <x v="2"/>
    <x v="1"/>
  </r>
  <r>
    <x v="530"/>
    <x v="527"/>
    <x v="1"/>
    <x v="0"/>
    <x v="0"/>
    <x v="502"/>
    <d v="2026-02-08T00:00:00"/>
    <d v="2017-08-29T00:00:00"/>
    <x v="528"/>
    <s v="Berlin"/>
    <x v="3"/>
    <x v="1"/>
  </r>
  <r>
    <x v="531"/>
    <x v="528"/>
    <x v="0"/>
    <x v="1"/>
    <x v="3"/>
    <x v="248"/>
    <d v="2025-05-01T00:00:00"/>
    <d v="2019-09-10T00:00:00"/>
    <x v="529"/>
    <s v="Bangalore"/>
    <x v="1"/>
    <x v="0"/>
  </r>
  <r>
    <x v="532"/>
    <x v="529"/>
    <x v="2"/>
    <x v="0"/>
    <x v="2"/>
    <x v="503"/>
    <d v="2025-08-08T00:00:00"/>
    <d v="2022-07-26T00:00:00"/>
    <x v="530"/>
    <s v="London"/>
    <x v="0"/>
    <x v="0"/>
  </r>
  <r>
    <x v="533"/>
    <x v="530"/>
    <x v="0"/>
    <x v="1"/>
    <x v="0"/>
    <x v="504"/>
    <d v="2025-04-28T00:00:00"/>
    <d v="2019-12-31T00:00:00"/>
    <x v="531"/>
    <s v="Berlin"/>
    <x v="1"/>
    <x v="0"/>
  </r>
  <r>
    <x v="534"/>
    <x v="531"/>
    <x v="5"/>
    <x v="4"/>
    <x v="2"/>
    <x v="505"/>
    <d v="2025-08-08T00:00:00"/>
    <d v="2020-09-22T00:00:00"/>
    <x v="532"/>
    <s v="Singapore"/>
    <x v="0"/>
    <x v="0"/>
  </r>
  <r>
    <x v="535"/>
    <x v="532"/>
    <x v="0"/>
    <x v="0"/>
    <x v="0"/>
    <x v="506"/>
    <d v="2025-08-11T00:00:00"/>
    <d v="2022-02-21T00:00:00"/>
    <x v="533"/>
    <s v="Berlin"/>
    <x v="1"/>
    <x v="1"/>
  </r>
  <r>
    <x v="536"/>
    <x v="533"/>
    <x v="4"/>
    <x v="5"/>
    <x v="3"/>
    <x v="507"/>
    <d v="2025-05-26T00:00:00"/>
    <d v="2016-02-19T00:00:00"/>
    <x v="534"/>
    <s v="Berlin"/>
    <x v="4"/>
    <x v="1"/>
  </r>
  <r>
    <x v="537"/>
    <x v="534"/>
    <x v="3"/>
    <x v="5"/>
    <x v="0"/>
    <x v="8"/>
    <d v="2025-05-06T00:00:00"/>
    <d v="2024-06-13T00:00:00"/>
    <x v="535"/>
    <s v="Singapore"/>
    <x v="2"/>
    <x v="0"/>
  </r>
  <r>
    <x v="538"/>
    <x v="535"/>
    <x v="6"/>
    <x v="3"/>
    <x v="2"/>
    <x v="508"/>
    <d v="2025-05-12T00:00:00"/>
    <d v="2023-01-18T00:00:00"/>
    <x v="536"/>
    <s v="New York"/>
    <x v="2"/>
    <x v="0"/>
  </r>
  <r>
    <x v="539"/>
    <x v="536"/>
    <x v="3"/>
    <x v="2"/>
    <x v="3"/>
    <x v="509"/>
    <d v="2025-11-07T00:00:00"/>
    <d v="2017-12-24T00:00:00"/>
    <x v="537"/>
    <s v="New York"/>
    <x v="3"/>
    <x v="0"/>
  </r>
  <r>
    <x v="540"/>
    <x v="537"/>
    <x v="6"/>
    <x v="5"/>
    <x v="3"/>
    <x v="510"/>
    <d v="2025-08-07T00:00:00"/>
    <d v="2019-01-28T00:00:00"/>
    <x v="538"/>
    <s v="London"/>
    <x v="4"/>
    <x v="0"/>
  </r>
  <r>
    <x v="541"/>
    <x v="538"/>
    <x v="3"/>
    <x v="2"/>
    <x v="1"/>
    <x v="511"/>
    <d v="2025-08-06T00:00:00"/>
    <d v="2024-05-31T00:00:00"/>
    <x v="539"/>
    <s v="Bangalore"/>
    <x v="3"/>
    <x v="1"/>
  </r>
  <r>
    <x v="542"/>
    <x v="539"/>
    <x v="3"/>
    <x v="2"/>
    <x v="3"/>
    <x v="512"/>
    <d v="2025-05-12T00:00:00"/>
    <d v="2022-05-11T00:00:00"/>
    <x v="540"/>
    <s v="Toronto"/>
    <x v="2"/>
    <x v="0"/>
  </r>
  <r>
    <x v="543"/>
    <x v="540"/>
    <x v="0"/>
    <x v="4"/>
    <x v="0"/>
    <x v="513"/>
    <d v="2025-07-19T00:00:00"/>
    <d v="2018-05-15T00:00:00"/>
    <x v="541"/>
    <s v="Bangalore"/>
    <x v="4"/>
    <x v="1"/>
  </r>
  <r>
    <x v="544"/>
    <x v="541"/>
    <x v="1"/>
    <x v="5"/>
    <x v="3"/>
    <x v="514"/>
    <d v="2025-10-17T00:00:00"/>
    <d v="2018-02-23T00:00:00"/>
    <x v="542"/>
    <s v="Toronto"/>
    <x v="3"/>
    <x v="0"/>
  </r>
  <r>
    <x v="545"/>
    <x v="542"/>
    <x v="6"/>
    <x v="4"/>
    <x v="1"/>
    <x v="515"/>
    <d v="2025-08-12T00:00:00"/>
    <d v="2022-10-30T00:00:00"/>
    <x v="543"/>
    <s v="Berlin"/>
    <x v="0"/>
    <x v="0"/>
  </r>
  <r>
    <x v="546"/>
    <x v="543"/>
    <x v="0"/>
    <x v="0"/>
    <x v="2"/>
    <x v="516"/>
    <d v="2026-02-10T00:00:00"/>
    <d v="2023-11-19T00:00:00"/>
    <x v="544"/>
    <s v="Bangalore"/>
    <x v="2"/>
    <x v="0"/>
  </r>
  <r>
    <x v="547"/>
    <x v="544"/>
    <x v="5"/>
    <x v="1"/>
    <x v="2"/>
    <x v="517"/>
    <d v="2025-05-01T00:00:00"/>
    <d v="2016-09-01T00:00:00"/>
    <x v="545"/>
    <s v="Berlin"/>
    <x v="3"/>
    <x v="1"/>
  </r>
  <r>
    <x v="548"/>
    <x v="545"/>
    <x v="5"/>
    <x v="3"/>
    <x v="3"/>
    <x v="518"/>
    <d v="2025-02-19T00:00:00"/>
    <d v="2016-03-14T00:00:00"/>
    <x v="546"/>
    <s v="New York"/>
    <x v="4"/>
    <x v="1"/>
  </r>
  <r>
    <x v="549"/>
    <x v="546"/>
    <x v="2"/>
    <x v="3"/>
    <x v="3"/>
    <x v="519"/>
    <d v="2025-09-18T00:00:00"/>
    <d v="2016-07-28T00:00:00"/>
    <x v="547"/>
    <s v="Bangalore"/>
    <x v="2"/>
    <x v="1"/>
  </r>
  <r>
    <x v="550"/>
    <x v="547"/>
    <x v="3"/>
    <x v="2"/>
    <x v="1"/>
    <x v="520"/>
    <d v="2025-06-08T00:00:00"/>
    <d v="2024-01-17T00:00:00"/>
    <x v="548"/>
    <s v="New York"/>
    <x v="3"/>
    <x v="1"/>
  </r>
  <r>
    <x v="551"/>
    <x v="548"/>
    <x v="1"/>
    <x v="5"/>
    <x v="1"/>
    <x v="521"/>
    <d v="2025-10-10T00:00:00"/>
    <d v="2020-11-08T00:00:00"/>
    <x v="549"/>
    <s v="New York"/>
    <x v="3"/>
    <x v="1"/>
  </r>
  <r>
    <x v="552"/>
    <x v="549"/>
    <x v="5"/>
    <x v="5"/>
    <x v="3"/>
    <x v="522"/>
    <d v="2025-10-28T00:00:00"/>
    <d v="2016-09-10T00:00:00"/>
    <x v="550"/>
    <s v="Singapore"/>
    <x v="1"/>
    <x v="1"/>
  </r>
  <r>
    <x v="553"/>
    <x v="550"/>
    <x v="5"/>
    <x v="3"/>
    <x v="0"/>
    <x v="523"/>
    <d v="2025-04-14T00:00:00"/>
    <d v="2020-06-30T00:00:00"/>
    <x v="551"/>
    <s v="Sydney"/>
    <x v="3"/>
    <x v="1"/>
  </r>
  <r>
    <x v="554"/>
    <x v="551"/>
    <x v="0"/>
    <x v="0"/>
    <x v="0"/>
    <x v="524"/>
    <d v="2025-09-09T00:00:00"/>
    <d v="2020-08-27T00:00:00"/>
    <x v="552"/>
    <s v="New York"/>
    <x v="3"/>
    <x v="1"/>
  </r>
  <r>
    <x v="555"/>
    <x v="552"/>
    <x v="5"/>
    <x v="0"/>
    <x v="1"/>
    <x v="525"/>
    <d v="2025-11-29T00:00:00"/>
    <d v="2020-11-27T00:00:00"/>
    <x v="553"/>
    <s v="Toronto"/>
    <x v="0"/>
    <x v="1"/>
  </r>
  <r>
    <x v="556"/>
    <x v="553"/>
    <x v="1"/>
    <x v="2"/>
    <x v="2"/>
    <x v="526"/>
    <d v="2025-04-09T00:00:00"/>
    <d v="2023-08-10T00:00:00"/>
    <x v="554"/>
    <s v="Singapore"/>
    <x v="4"/>
    <x v="0"/>
  </r>
  <r>
    <x v="557"/>
    <x v="554"/>
    <x v="0"/>
    <x v="2"/>
    <x v="2"/>
    <x v="527"/>
    <d v="2025-10-16T00:00:00"/>
    <d v="2021-06-07T00:00:00"/>
    <x v="555"/>
    <s v="Sydney"/>
    <x v="3"/>
    <x v="1"/>
  </r>
  <r>
    <x v="558"/>
    <x v="555"/>
    <x v="0"/>
    <x v="3"/>
    <x v="2"/>
    <x v="528"/>
    <d v="2025-09-26T00:00:00"/>
    <d v="2022-09-26T00:00:00"/>
    <x v="556"/>
    <s v="Sydney"/>
    <x v="2"/>
    <x v="1"/>
  </r>
  <r>
    <x v="559"/>
    <x v="556"/>
    <x v="3"/>
    <x v="3"/>
    <x v="3"/>
    <x v="529"/>
    <d v="2025-11-16T00:00:00"/>
    <d v="2023-08-20T00:00:00"/>
    <x v="557"/>
    <s v="Bangalore"/>
    <x v="0"/>
    <x v="0"/>
  </r>
  <r>
    <x v="560"/>
    <x v="557"/>
    <x v="1"/>
    <x v="1"/>
    <x v="3"/>
    <x v="530"/>
    <d v="2026-01-12T00:00:00"/>
    <d v="2019-06-17T00:00:00"/>
    <x v="558"/>
    <s v="Singapore"/>
    <x v="1"/>
    <x v="1"/>
  </r>
  <r>
    <x v="561"/>
    <x v="558"/>
    <x v="4"/>
    <x v="5"/>
    <x v="3"/>
    <x v="531"/>
    <d v="2025-07-20T00:00:00"/>
    <d v="2021-10-04T00:00:00"/>
    <x v="559"/>
    <s v="Toronto"/>
    <x v="2"/>
    <x v="1"/>
  </r>
  <r>
    <x v="562"/>
    <x v="559"/>
    <x v="1"/>
    <x v="2"/>
    <x v="0"/>
    <x v="532"/>
    <d v="2025-10-03T00:00:00"/>
    <d v="2016-11-14T00:00:00"/>
    <x v="560"/>
    <s v="Singapore"/>
    <x v="0"/>
    <x v="1"/>
  </r>
  <r>
    <x v="563"/>
    <x v="560"/>
    <x v="0"/>
    <x v="0"/>
    <x v="0"/>
    <x v="533"/>
    <d v="2025-09-28T00:00:00"/>
    <d v="2023-01-09T00:00:00"/>
    <x v="561"/>
    <s v="New York"/>
    <x v="1"/>
    <x v="1"/>
  </r>
  <r>
    <x v="564"/>
    <x v="561"/>
    <x v="5"/>
    <x v="3"/>
    <x v="3"/>
    <x v="534"/>
    <d v="2025-10-30T00:00:00"/>
    <d v="2015-11-25T00:00:00"/>
    <x v="562"/>
    <s v="Toronto"/>
    <x v="4"/>
    <x v="0"/>
  </r>
  <r>
    <x v="565"/>
    <x v="562"/>
    <x v="6"/>
    <x v="3"/>
    <x v="3"/>
    <x v="535"/>
    <d v="2025-03-10T00:00:00"/>
    <d v="2020-06-09T00:00:00"/>
    <x v="563"/>
    <s v="New York"/>
    <x v="0"/>
    <x v="0"/>
  </r>
  <r>
    <x v="566"/>
    <x v="563"/>
    <x v="6"/>
    <x v="0"/>
    <x v="0"/>
    <x v="536"/>
    <d v="2025-06-09T00:00:00"/>
    <d v="2017-12-08T00:00:00"/>
    <x v="564"/>
    <s v="Singapore"/>
    <x v="2"/>
    <x v="1"/>
  </r>
  <r>
    <x v="567"/>
    <x v="564"/>
    <x v="0"/>
    <x v="3"/>
    <x v="3"/>
    <x v="537"/>
    <d v="2026-01-04T00:00:00"/>
    <d v="2021-06-04T00:00:00"/>
    <x v="565"/>
    <s v="Sydney"/>
    <x v="3"/>
    <x v="0"/>
  </r>
  <r>
    <x v="568"/>
    <x v="565"/>
    <x v="6"/>
    <x v="1"/>
    <x v="2"/>
    <x v="538"/>
    <d v="2025-09-05T00:00:00"/>
    <d v="2022-02-10T00:00:00"/>
    <x v="566"/>
    <s v="Toronto"/>
    <x v="0"/>
    <x v="0"/>
  </r>
  <r>
    <x v="569"/>
    <x v="566"/>
    <x v="4"/>
    <x v="5"/>
    <x v="2"/>
    <x v="539"/>
    <d v="2025-06-25T00:00:00"/>
    <d v="2016-10-19T00:00:00"/>
    <x v="567"/>
    <s v="Singapore"/>
    <x v="3"/>
    <x v="0"/>
  </r>
  <r>
    <x v="570"/>
    <x v="567"/>
    <x v="4"/>
    <x v="0"/>
    <x v="0"/>
    <x v="540"/>
    <d v="2026-01-18T00:00:00"/>
    <d v="2018-05-01T00:00:00"/>
    <x v="568"/>
    <s v="Singapore"/>
    <x v="4"/>
    <x v="1"/>
  </r>
  <r>
    <x v="571"/>
    <x v="568"/>
    <x v="5"/>
    <x v="4"/>
    <x v="3"/>
    <x v="541"/>
    <d v="2025-04-26T00:00:00"/>
    <d v="2019-09-09T00:00:00"/>
    <x v="569"/>
    <s v="Bangalore"/>
    <x v="4"/>
    <x v="1"/>
  </r>
  <r>
    <x v="572"/>
    <x v="569"/>
    <x v="3"/>
    <x v="2"/>
    <x v="1"/>
    <x v="542"/>
    <d v="2025-03-11T00:00:00"/>
    <d v="2016-09-30T00:00:00"/>
    <x v="570"/>
    <s v="New York"/>
    <x v="3"/>
    <x v="0"/>
  </r>
  <r>
    <x v="573"/>
    <x v="570"/>
    <x v="2"/>
    <x v="4"/>
    <x v="3"/>
    <x v="543"/>
    <d v="2025-10-18T00:00:00"/>
    <d v="2017-09-26T00:00:00"/>
    <x v="571"/>
    <s v="Singapore"/>
    <x v="0"/>
    <x v="0"/>
  </r>
  <r>
    <x v="574"/>
    <x v="571"/>
    <x v="0"/>
    <x v="0"/>
    <x v="2"/>
    <x v="23"/>
    <d v="2025-11-04T00:00:00"/>
    <d v="2018-08-05T00:00:00"/>
    <x v="572"/>
    <s v="Bangalore"/>
    <x v="2"/>
    <x v="0"/>
  </r>
  <r>
    <x v="575"/>
    <x v="572"/>
    <x v="5"/>
    <x v="0"/>
    <x v="1"/>
    <x v="544"/>
    <d v="2025-03-24T00:00:00"/>
    <d v="2021-08-13T00:00:00"/>
    <x v="573"/>
    <s v="Toronto"/>
    <x v="4"/>
    <x v="0"/>
  </r>
  <r>
    <x v="576"/>
    <x v="16"/>
    <x v="5"/>
    <x v="0"/>
    <x v="0"/>
    <x v="545"/>
    <d v="2025-09-03T00:00:00"/>
    <d v="2018-08-24T00:00:00"/>
    <x v="574"/>
    <s v="Bangalore"/>
    <x v="1"/>
    <x v="1"/>
  </r>
  <r>
    <x v="577"/>
    <x v="573"/>
    <x v="2"/>
    <x v="1"/>
    <x v="2"/>
    <x v="546"/>
    <d v="2025-08-06T00:00:00"/>
    <d v="2016-05-29T00:00:00"/>
    <x v="575"/>
    <s v="Berlin"/>
    <x v="2"/>
    <x v="1"/>
  </r>
  <r>
    <x v="578"/>
    <x v="574"/>
    <x v="3"/>
    <x v="0"/>
    <x v="2"/>
    <x v="547"/>
    <d v="2025-06-21T00:00:00"/>
    <d v="2018-06-26T00:00:00"/>
    <x v="576"/>
    <s v="New York"/>
    <x v="3"/>
    <x v="1"/>
  </r>
  <r>
    <x v="579"/>
    <x v="575"/>
    <x v="1"/>
    <x v="5"/>
    <x v="2"/>
    <x v="548"/>
    <d v="2025-10-15T00:00:00"/>
    <d v="2024-03-01T00:00:00"/>
    <x v="577"/>
    <s v="Toronto"/>
    <x v="2"/>
    <x v="0"/>
  </r>
  <r>
    <x v="580"/>
    <x v="576"/>
    <x v="6"/>
    <x v="0"/>
    <x v="3"/>
    <x v="549"/>
    <d v="2026-01-11T00:00:00"/>
    <d v="2022-09-15T00:00:00"/>
    <x v="578"/>
    <s v="New York"/>
    <x v="2"/>
    <x v="1"/>
  </r>
  <r>
    <x v="581"/>
    <x v="577"/>
    <x v="2"/>
    <x v="2"/>
    <x v="3"/>
    <x v="550"/>
    <d v="2025-07-15T00:00:00"/>
    <d v="2018-12-10T00:00:00"/>
    <x v="579"/>
    <s v="Singapore"/>
    <x v="4"/>
    <x v="1"/>
  </r>
  <r>
    <x v="582"/>
    <x v="578"/>
    <x v="1"/>
    <x v="3"/>
    <x v="0"/>
    <x v="551"/>
    <d v="2025-03-18T00:00:00"/>
    <d v="2016-08-15T00:00:00"/>
    <x v="580"/>
    <s v="Bangalore"/>
    <x v="3"/>
    <x v="1"/>
  </r>
  <r>
    <x v="583"/>
    <x v="579"/>
    <x v="4"/>
    <x v="2"/>
    <x v="3"/>
    <x v="552"/>
    <d v="2025-07-27T00:00:00"/>
    <d v="2022-05-10T00:00:00"/>
    <x v="581"/>
    <s v="Singapore"/>
    <x v="3"/>
    <x v="0"/>
  </r>
  <r>
    <x v="584"/>
    <x v="580"/>
    <x v="3"/>
    <x v="1"/>
    <x v="2"/>
    <x v="553"/>
    <d v="2026-02-14T00:00:00"/>
    <d v="2016-06-18T00:00:00"/>
    <x v="498"/>
    <s v="Singapore"/>
    <x v="1"/>
    <x v="1"/>
  </r>
  <r>
    <x v="585"/>
    <x v="581"/>
    <x v="4"/>
    <x v="4"/>
    <x v="0"/>
    <x v="554"/>
    <d v="2025-04-29T00:00:00"/>
    <d v="2018-06-24T00:00:00"/>
    <x v="582"/>
    <s v="London"/>
    <x v="2"/>
    <x v="1"/>
  </r>
  <r>
    <x v="586"/>
    <x v="582"/>
    <x v="0"/>
    <x v="4"/>
    <x v="0"/>
    <x v="555"/>
    <d v="2025-05-23T00:00:00"/>
    <d v="2022-06-30T00:00:00"/>
    <x v="583"/>
    <s v="London"/>
    <x v="4"/>
    <x v="0"/>
  </r>
  <r>
    <x v="587"/>
    <x v="583"/>
    <x v="5"/>
    <x v="3"/>
    <x v="3"/>
    <x v="230"/>
    <d v="2026-01-07T00:00:00"/>
    <d v="2021-05-04T00:00:00"/>
    <x v="584"/>
    <s v="Sydney"/>
    <x v="2"/>
    <x v="1"/>
  </r>
  <r>
    <x v="588"/>
    <x v="584"/>
    <x v="3"/>
    <x v="3"/>
    <x v="2"/>
    <x v="556"/>
    <d v="2025-10-21T00:00:00"/>
    <d v="2020-06-17T00:00:00"/>
    <x v="585"/>
    <s v="Singapore"/>
    <x v="0"/>
    <x v="1"/>
  </r>
  <r>
    <x v="589"/>
    <x v="585"/>
    <x v="2"/>
    <x v="0"/>
    <x v="3"/>
    <x v="557"/>
    <d v="2025-12-13T00:00:00"/>
    <d v="2019-12-12T00:00:00"/>
    <x v="586"/>
    <s v="Bangalore"/>
    <x v="3"/>
    <x v="0"/>
  </r>
  <r>
    <x v="590"/>
    <x v="586"/>
    <x v="2"/>
    <x v="5"/>
    <x v="3"/>
    <x v="227"/>
    <d v="2026-02-11T00:00:00"/>
    <d v="2018-03-01T00:00:00"/>
    <x v="587"/>
    <s v="Bangalore"/>
    <x v="4"/>
    <x v="1"/>
  </r>
  <r>
    <x v="591"/>
    <x v="587"/>
    <x v="1"/>
    <x v="3"/>
    <x v="3"/>
    <x v="558"/>
    <d v="2025-06-11T00:00:00"/>
    <d v="2018-01-08T00:00:00"/>
    <x v="588"/>
    <s v="Sydney"/>
    <x v="1"/>
    <x v="1"/>
  </r>
  <r>
    <x v="592"/>
    <x v="588"/>
    <x v="4"/>
    <x v="5"/>
    <x v="3"/>
    <x v="559"/>
    <d v="2025-12-09T00:00:00"/>
    <d v="2022-06-15T00:00:00"/>
    <x v="589"/>
    <s v="Sydney"/>
    <x v="2"/>
    <x v="0"/>
  </r>
  <r>
    <x v="593"/>
    <x v="589"/>
    <x v="5"/>
    <x v="2"/>
    <x v="2"/>
    <x v="560"/>
    <d v="2026-01-01T00:00:00"/>
    <d v="2016-01-30T00:00:00"/>
    <x v="590"/>
    <s v="New York"/>
    <x v="2"/>
    <x v="1"/>
  </r>
  <r>
    <x v="594"/>
    <x v="590"/>
    <x v="4"/>
    <x v="2"/>
    <x v="1"/>
    <x v="561"/>
    <d v="2026-02-10T00:00:00"/>
    <d v="2021-06-16T00:00:00"/>
    <x v="591"/>
    <s v="Singapore"/>
    <x v="0"/>
    <x v="0"/>
  </r>
  <r>
    <x v="595"/>
    <x v="591"/>
    <x v="0"/>
    <x v="0"/>
    <x v="1"/>
    <x v="169"/>
    <d v="2025-02-22T00:00:00"/>
    <d v="2016-02-17T00:00:00"/>
    <x v="592"/>
    <s v="Toronto"/>
    <x v="3"/>
    <x v="1"/>
  </r>
  <r>
    <x v="596"/>
    <x v="592"/>
    <x v="1"/>
    <x v="1"/>
    <x v="0"/>
    <x v="562"/>
    <d v="2025-05-03T00:00:00"/>
    <d v="2021-07-18T00:00:00"/>
    <x v="593"/>
    <s v="Berlin"/>
    <x v="2"/>
    <x v="0"/>
  </r>
  <r>
    <x v="597"/>
    <x v="593"/>
    <x v="0"/>
    <x v="5"/>
    <x v="3"/>
    <x v="563"/>
    <d v="2026-01-23T00:00:00"/>
    <d v="2019-02-23T00:00:00"/>
    <x v="594"/>
    <s v="Berlin"/>
    <x v="0"/>
    <x v="0"/>
  </r>
  <r>
    <x v="598"/>
    <x v="594"/>
    <x v="3"/>
    <x v="5"/>
    <x v="2"/>
    <x v="564"/>
    <d v="2025-03-28T00:00:00"/>
    <d v="2015-10-23T00:00:00"/>
    <x v="595"/>
    <s v="Singapore"/>
    <x v="0"/>
    <x v="1"/>
  </r>
  <r>
    <x v="599"/>
    <x v="595"/>
    <x v="4"/>
    <x v="3"/>
    <x v="1"/>
    <x v="565"/>
    <d v="2025-03-14T00:00:00"/>
    <d v="2017-12-16T00:00:00"/>
    <x v="596"/>
    <s v="Singapore"/>
    <x v="3"/>
    <x v="1"/>
  </r>
  <r>
    <x v="600"/>
    <x v="596"/>
    <x v="6"/>
    <x v="2"/>
    <x v="2"/>
    <x v="566"/>
    <d v="2025-04-11T00:00:00"/>
    <d v="2021-12-11T00:00:00"/>
    <x v="597"/>
    <s v="Toronto"/>
    <x v="2"/>
    <x v="1"/>
  </r>
  <r>
    <x v="601"/>
    <x v="597"/>
    <x v="1"/>
    <x v="5"/>
    <x v="1"/>
    <x v="567"/>
    <d v="2025-06-29T00:00:00"/>
    <d v="2020-12-07T00:00:00"/>
    <x v="598"/>
    <s v="Bangalore"/>
    <x v="2"/>
    <x v="1"/>
  </r>
  <r>
    <x v="602"/>
    <x v="598"/>
    <x v="4"/>
    <x v="5"/>
    <x v="1"/>
    <x v="568"/>
    <d v="2025-03-01T00:00:00"/>
    <d v="2018-07-08T00:00:00"/>
    <x v="599"/>
    <s v="London"/>
    <x v="0"/>
    <x v="0"/>
  </r>
  <r>
    <x v="603"/>
    <x v="599"/>
    <x v="5"/>
    <x v="3"/>
    <x v="0"/>
    <x v="569"/>
    <d v="2026-02-10T00:00:00"/>
    <d v="2021-12-13T00:00:00"/>
    <x v="600"/>
    <s v="Toronto"/>
    <x v="0"/>
    <x v="1"/>
  </r>
  <r>
    <x v="604"/>
    <x v="152"/>
    <x v="2"/>
    <x v="2"/>
    <x v="2"/>
    <x v="570"/>
    <d v="2025-03-20T00:00:00"/>
    <d v="2020-04-22T00:00:00"/>
    <x v="601"/>
    <s v="Sydney"/>
    <x v="4"/>
    <x v="1"/>
  </r>
  <r>
    <x v="605"/>
    <x v="600"/>
    <x v="4"/>
    <x v="4"/>
    <x v="0"/>
    <x v="571"/>
    <d v="2025-08-13T00:00:00"/>
    <d v="2022-08-09T00:00:00"/>
    <x v="602"/>
    <s v="Berlin"/>
    <x v="3"/>
    <x v="1"/>
  </r>
  <r>
    <x v="606"/>
    <x v="601"/>
    <x v="1"/>
    <x v="1"/>
    <x v="2"/>
    <x v="572"/>
    <d v="2025-12-15T00:00:00"/>
    <d v="2016-10-30T00:00:00"/>
    <x v="603"/>
    <s v="London"/>
    <x v="0"/>
    <x v="1"/>
  </r>
  <r>
    <x v="607"/>
    <x v="602"/>
    <x v="1"/>
    <x v="4"/>
    <x v="3"/>
    <x v="490"/>
    <d v="2025-05-11T00:00:00"/>
    <d v="2020-08-10T00:00:00"/>
    <x v="604"/>
    <s v="Berlin"/>
    <x v="1"/>
    <x v="1"/>
  </r>
  <r>
    <x v="608"/>
    <x v="603"/>
    <x v="6"/>
    <x v="3"/>
    <x v="1"/>
    <x v="573"/>
    <d v="2025-09-04T00:00:00"/>
    <d v="2015-11-07T00:00:00"/>
    <x v="605"/>
    <s v="New York"/>
    <x v="3"/>
    <x v="1"/>
  </r>
  <r>
    <x v="609"/>
    <x v="604"/>
    <x v="2"/>
    <x v="0"/>
    <x v="2"/>
    <x v="273"/>
    <d v="2025-08-30T00:00:00"/>
    <d v="2017-11-15T00:00:00"/>
    <x v="606"/>
    <s v="Berlin"/>
    <x v="1"/>
    <x v="1"/>
  </r>
  <r>
    <x v="610"/>
    <x v="605"/>
    <x v="4"/>
    <x v="5"/>
    <x v="3"/>
    <x v="574"/>
    <d v="2025-10-07T00:00:00"/>
    <d v="2019-09-04T00:00:00"/>
    <x v="607"/>
    <s v="Bangalore"/>
    <x v="0"/>
    <x v="0"/>
  </r>
  <r>
    <x v="611"/>
    <x v="606"/>
    <x v="3"/>
    <x v="2"/>
    <x v="2"/>
    <x v="575"/>
    <d v="2025-09-13T00:00:00"/>
    <d v="2020-04-24T00:00:00"/>
    <x v="608"/>
    <s v="Singapore"/>
    <x v="0"/>
    <x v="0"/>
  </r>
  <r>
    <x v="612"/>
    <x v="607"/>
    <x v="1"/>
    <x v="3"/>
    <x v="0"/>
    <x v="576"/>
    <d v="2025-09-26T00:00:00"/>
    <d v="2023-04-30T00:00:00"/>
    <x v="609"/>
    <s v="Sydney"/>
    <x v="0"/>
    <x v="0"/>
  </r>
  <r>
    <x v="613"/>
    <x v="608"/>
    <x v="2"/>
    <x v="1"/>
    <x v="1"/>
    <x v="577"/>
    <d v="2025-09-14T00:00:00"/>
    <d v="2021-04-24T00:00:00"/>
    <x v="610"/>
    <s v="New York"/>
    <x v="1"/>
    <x v="0"/>
  </r>
  <r>
    <x v="614"/>
    <x v="609"/>
    <x v="1"/>
    <x v="4"/>
    <x v="2"/>
    <x v="578"/>
    <d v="2025-09-16T00:00:00"/>
    <d v="2017-04-09T00:00:00"/>
    <x v="611"/>
    <s v="Singapore"/>
    <x v="3"/>
    <x v="0"/>
  </r>
  <r>
    <x v="615"/>
    <x v="610"/>
    <x v="4"/>
    <x v="4"/>
    <x v="3"/>
    <x v="579"/>
    <d v="2025-05-22T00:00:00"/>
    <d v="2017-03-28T00:00:00"/>
    <x v="612"/>
    <s v="Sydney"/>
    <x v="3"/>
    <x v="1"/>
  </r>
  <r>
    <x v="616"/>
    <x v="611"/>
    <x v="5"/>
    <x v="1"/>
    <x v="1"/>
    <x v="580"/>
    <d v="2025-03-10T00:00:00"/>
    <d v="2020-02-10T00:00:00"/>
    <x v="613"/>
    <s v="London"/>
    <x v="2"/>
    <x v="1"/>
  </r>
  <r>
    <x v="617"/>
    <x v="612"/>
    <x v="1"/>
    <x v="0"/>
    <x v="2"/>
    <x v="581"/>
    <d v="2025-04-01T00:00:00"/>
    <d v="2020-06-18T00:00:00"/>
    <x v="614"/>
    <s v="Toronto"/>
    <x v="1"/>
    <x v="1"/>
  </r>
  <r>
    <x v="618"/>
    <x v="613"/>
    <x v="1"/>
    <x v="2"/>
    <x v="2"/>
    <x v="81"/>
    <d v="2026-02-10T00:00:00"/>
    <d v="2018-09-11T00:00:00"/>
    <x v="615"/>
    <s v="London"/>
    <x v="1"/>
    <x v="0"/>
  </r>
  <r>
    <x v="619"/>
    <x v="614"/>
    <x v="4"/>
    <x v="3"/>
    <x v="3"/>
    <x v="582"/>
    <d v="2026-02-08T00:00:00"/>
    <d v="2020-07-13T00:00:00"/>
    <x v="616"/>
    <s v="Berlin"/>
    <x v="1"/>
    <x v="0"/>
  </r>
  <r>
    <x v="620"/>
    <x v="615"/>
    <x v="5"/>
    <x v="4"/>
    <x v="3"/>
    <x v="583"/>
    <d v="2025-09-24T00:00:00"/>
    <d v="2023-08-04T00:00:00"/>
    <x v="617"/>
    <s v="Sydney"/>
    <x v="4"/>
    <x v="1"/>
  </r>
  <r>
    <x v="621"/>
    <x v="616"/>
    <x v="4"/>
    <x v="5"/>
    <x v="1"/>
    <x v="584"/>
    <d v="2025-07-11T00:00:00"/>
    <d v="2023-12-28T00:00:00"/>
    <x v="618"/>
    <s v="Berlin"/>
    <x v="1"/>
    <x v="1"/>
  </r>
  <r>
    <x v="622"/>
    <x v="617"/>
    <x v="6"/>
    <x v="3"/>
    <x v="2"/>
    <x v="585"/>
    <d v="2025-12-31T00:00:00"/>
    <d v="2018-06-18T00:00:00"/>
    <x v="619"/>
    <s v="Berlin"/>
    <x v="3"/>
    <x v="1"/>
  </r>
  <r>
    <x v="623"/>
    <x v="618"/>
    <x v="1"/>
    <x v="5"/>
    <x v="3"/>
    <x v="586"/>
    <d v="2025-10-22T00:00:00"/>
    <d v="2022-11-26T00:00:00"/>
    <x v="620"/>
    <s v="Singapore"/>
    <x v="1"/>
    <x v="1"/>
  </r>
  <r>
    <x v="624"/>
    <x v="619"/>
    <x v="0"/>
    <x v="1"/>
    <x v="2"/>
    <x v="587"/>
    <d v="2025-12-10T00:00:00"/>
    <d v="2017-07-07T00:00:00"/>
    <x v="621"/>
    <s v="Toronto"/>
    <x v="1"/>
    <x v="1"/>
  </r>
  <r>
    <x v="625"/>
    <x v="620"/>
    <x v="0"/>
    <x v="2"/>
    <x v="2"/>
    <x v="521"/>
    <d v="2026-01-02T00:00:00"/>
    <d v="2017-11-25T00:00:00"/>
    <x v="622"/>
    <s v="Toronto"/>
    <x v="0"/>
    <x v="1"/>
  </r>
  <r>
    <x v="626"/>
    <x v="621"/>
    <x v="0"/>
    <x v="3"/>
    <x v="0"/>
    <x v="588"/>
    <d v="2025-05-14T00:00:00"/>
    <d v="2018-10-19T00:00:00"/>
    <x v="623"/>
    <s v="Singapore"/>
    <x v="4"/>
    <x v="0"/>
  </r>
  <r>
    <x v="627"/>
    <x v="622"/>
    <x v="0"/>
    <x v="3"/>
    <x v="1"/>
    <x v="589"/>
    <d v="2025-07-26T00:00:00"/>
    <d v="2023-05-04T00:00:00"/>
    <x v="624"/>
    <s v="London"/>
    <x v="4"/>
    <x v="1"/>
  </r>
  <r>
    <x v="628"/>
    <x v="623"/>
    <x v="2"/>
    <x v="1"/>
    <x v="1"/>
    <x v="590"/>
    <d v="2025-12-11T00:00:00"/>
    <d v="2023-02-22T00:00:00"/>
    <x v="625"/>
    <s v="Singapore"/>
    <x v="1"/>
    <x v="0"/>
  </r>
  <r>
    <x v="629"/>
    <x v="624"/>
    <x v="2"/>
    <x v="4"/>
    <x v="0"/>
    <x v="591"/>
    <d v="2025-07-08T00:00:00"/>
    <d v="2024-03-25T00:00:00"/>
    <x v="626"/>
    <s v="Bangalore"/>
    <x v="4"/>
    <x v="1"/>
  </r>
  <r>
    <x v="630"/>
    <x v="625"/>
    <x v="1"/>
    <x v="2"/>
    <x v="1"/>
    <x v="592"/>
    <d v="2025-09-17T00:00:00"/>
    <d v="2024-07-14T00:00:00"/>
    <x v="627"/>
    <s v="Toronto"/>
    <x v="3"/>
    <x v="0"/>
  </r>
  <r>
    <x v="631"/>
    <x v="626"/>
    <x v="1"/>
    <x v="5"/>
    <x v="0"/>
    <x v="593"/>
    <d v="2025-07-07T00:00:00"/>
    <d v="2020-06-07T00:00:00"/>
    <x v="628"/>
    <s v="Bangalore"/>
    <x v="4"/>
    <x v="1"/>
  </r>
  <r>
    <x v="632"/>
    <x v="627"/>
    <x v="3"/>
    <x v="2"/>
    <x v="2"/>
    <x v="594"/>
    <d v="2025-06-22T00:00:00"/>
    <d v="2019-04-26T00:00:00"/>
    <x v="629"/>
    <s v="Toronto"/>
    <x v="1"/>
    <x v="0"/>
  </r>
  <r>
    <x v="633"/>
    <x v="628"/>
    <x v="5"/>
    <x v="2"/>
    <x v="1"/>
    <x v="595"/>
    <d v="2025-11-09T00:00:00"/>
    <d v="2016-11-22T00:00:00"/>
    <x v="630"/>
    <s v="Bangalore"/>
    <x v="3"/>
    <x v="0"/>
  </r>
  <r>
    <x v="634"/>
    <x v="629"/>
    <x v="5"/>
    <x v="2"/>
    <x v="1"/>
    <x v="596"/>
    <d v="2025-05-17T00:00:00"/>
    <d v="2018-08-18T00:00:00"/>
    <x v="631"/>
    <s v="Toronto"/>
    <x v="1"/>
    <x v="1"/>
  </r>
  <r>
    <x v="635"/>
    <x v="630"/>
    <x v="4"/>
    <x v="4"/>
    <x v="3"/>
    <x v="536"/>
    <d v="2025-03-28T00:00:00"/>
    <d v="2019-03-18T00:00:00"/>
    <x v="632"/>
    <s v="London"/>
    <x v="4"/>
    <x v="0"/>
  </r>
  <r>
    <x v="636"/>
    <x v="631"/>
    <x v="3"/>
    <x v="0"/>
    <x v="0"/>
    <x v="597"/>
    <d v="2025-08-02T00:00:00"/>
    <d v="2016-04-18T00:00:00"/>
    <x v="633"/>
    <s v="Bangalore"/>
    <x v="0"/>
    <x v="0"/>
  </r>
  <r>
    <x v="637"/>
    <x v="632"/>
    <x v="2"/>
    <x v="3"/>
    <x v="2"/>
    <x v="598"/>
    <d v="2025-03-12T00:00:00"/>
    <d v="2023-04-01T00:00:00"/>
    <x v="634"/>
    <s v="Singapore"/>
    <x v="2"/>
    <x v="0"/>
  </r>
  <r>
    <x v="638"/>
    <x v="633"/>
    <x v="6"/>
    <x v="3"/>
    <x v="1"/>
    <x v="599"/>
    <d v="2025-10-25T00:00:00"/>
    <d v="2024-01-12T00:00:00"/>
    <x v="635"/>
    <s v="Bangalore"/>
    <x v="0"/>
    <x v="1"/>
  </r>
  <r>
    <x v="639"/>
    <x v="634"/>
    <x v="5"/>
    <x v="0"/>
    <x v="1"/>
    <x v="600"/>
    <d v="2025-11-08T00:00:00"/>
    <d v="2015-12-28T00:00:00"/>
    <x v="636"/>
    <s v="New York"/>
    <x v="2"/>
    <x v="1"/>
  </r>
  <r>
    <x v="640"/>
    <x v="635"/>
    <x v="5"/>
    <x v="4"/>
    <x v="0"/>
    <x v="601"/>
    <d v="2025-10-03T00:00:00"/>
    <d v="2015-12-27T00:00:00"/>
    <x v="637"/>
    <s v="New York"/>
    <x v="0"/>
    <x v="1"/>
  </r>
  <r>
    <x v="641"/>
    <x v="636"/>
    <x v="4"/>
    <x v="5"/>
    <x v="2"/>
    <x v="602"/>
    <d v="2025-11-30T00:00:00"/>
    <d v="2019-02-13T00:00:00"/>
    <x v="638"/>
    <s v="Berlin"/>
    <x v="4"/>
    <x v="0"/>
  </r>
  <r>
    <x v="642"/>
    <x v="637"/>
    <x v="2"/>
    <x v="5"/>
    <x v="3"/>
    <x v="603"/>
    <d v="2025-09-23T00:00:00"/>
    <d v="2019-04-23T00:00:00"/>
    <x v="639"/>
    <s v="Toronto"/>
    <x v="0"/>
    <x v="0"/>
  </r>
  <r>
    <x v="643"/>
    <x v="638"/>
    <x v="6"/>
    <x v="5"/>
    <x v="3"/>
    <x v="604"/>
    <d v="2025-07-17T00:00:00"/>
    <d v="2019-09-03T00:00:00"/>
    <x v="640"/>
    <s v="Sydney"/>
    <x v="1"/>
    <x v="0"/>
  </r>
  <r>
    <x v="644"/>
    <x v="639"/>
    <x v="2"/>
    <x v="2"/>
    <x v="3"/>
    <x v="605"/>
    <d v="2025-06-13T00:00:00"/>
    <d v="2020-10-12T00:00:00"/>
    <x v="641"/>
    <s v="Berlin"/>
    <x v="0"/>
    <x v="0"/>
  </r>
  <r>
    <x v="645"/>
    <x v="640"/>
    <x v="3"/>
    <x v="4"/>
    <x v="2"/>
    <x v="485"/>
    <d v="2025-03-07T00:00:00"/>
    <d v="2018-02-09T00:00:00"/>
    <x v="642"/>
    <s v="New York"/>
    <x v="0"/>
    <x v="1"/>
  </r>
  <r>
    <x v="646"/>
    <x v="641"/>
    <x v="5"/>
    <x v="2"/>
    <x v="0"/>
    <x v="606"/>
    <d v="2025-06-24T00:00:00"/>
    <d v="2020-03-05T00:00:00"/>
    <x v="643"/>
    <s v="New York"/>
    <x v="3"/>
    <x v="0"/>
  </r>
  <r>
    <x v="647"/>
    <x v="642"/>
    <x v="1"/>
    <x v="4"/>
    <x v="0"/>
    <x v="607"/>
    <d v="2025-06-22T00:00:00"/>
    <d v="2017-03-15T00:00:00"/>
    <x v="644"/>
    <s v="New York"/>
    <x v="1"/>
    <x v="1"/>
  </r>
  <r>
    <x v="648"/>
    <x v="643"/>
    <x v="3"/>
    <x v="2"/>
    <x v="0"/>
    <x v="608"/>
    <d v="2025-10-22T00:00:00"/>
    <d v="2024-06-16T00:00:00"/>
    <x v="645"/>
    <s v="New York"/>
    <x v="2"/>
    <x v="0"/>
  </r>
  <r>
    <x v="649"/>
    <x v="644"/>
    <x v="2"/>
    <x v="2"/>
    <x v="0"/>
    <x v="609"/>
    <d v="2025-05-01T00:00:00"/>
    <d v="2023-06-06T00:00:00"/>
    <x v="646"/>
    <s v="Berlin"/>
    <x v="4"/>
    <x v="1"/>
  </r>
  <r>
    <x v="650"/>
    <x v="645"/>
    <x v="1"/>
    <x v="4"/>
    <x v="1"/>
    <x v="420"/>
    <d v="2025-11-20T00:00:00"/>
    <d v="2023-03-08T00:00:00"/>
    <x v="647"/>
    <s v="Sydney"/>
    <x v="3"/>
    <x v="0"/>
  </r>
  <r>
    <x v="651"/>
    <x v="646"/>
    <x v="2"/>
    <x v="2"/>
    <x v="3"/>
    <x v="610"/>
    <d v="2025-07-10T00:00:00"/>
    <d v="2024-05-07T00:00:00"/>
    <x v="648"/>
    <s v="New York"/>
    <x v="4"/>
    <x v="1"/>
  </r>
  <r>
    <x v="652"/>
    <x v="647"/>
    <x v="2"/>
    <x v="5"/>
    <x v="1"/>
    <x v="611"/>
    <d v="2025-02-22T00:00:00"/>
    <d v="2018-11-04T00:00:00"/>
    <x v="649"/>
    <s v="London"/>
    <x v="3"/>
    <x v="1"/>
  </r>
  <r>
    <x v="653"/>
    <x v="648"/>
    <x v="3"/>
    <x v="1"/>
    <x v="2"/>
    <x v="612"/>
    <d v="2025-10-05T00:00:00"/>
    <d v="2018-10-09T00:00:00"/>
    <x v="650"/>
    <s v="Berlin"/>
    <x v="2"/>
    <x v="1"/>
  </r>
  <r>
    <x v="654"/>
    <x v="649"/>
    <x v="4"/>
    <x v="2"/>
    <x v="1"/>
    <x v="613"/>
    <d v="2025-05-08T00:00:00"/>
    <d v="2016-02-01T00:00:00"/>
    <x v="651"/>
    <s v="Toronto"/>
    <x v="4"/>
    <x v="1"/>
  </r>
  <r>
    <x v="655"/>
    <x v="650"/>
    <x v="0"/>
    <x v="0"/>
    <x v="1"/>
    <x v="614"/>
    <d v="2026-01-13T00:00:00"/>
    <d v="2024-05-08T00:00:00"/>
    <x v="652"/>
    <s v="Sydney"/>
    <x v="1"/>
    <x v="0"/>
  </r>
  <r>
    <x v="656"/>
    <x v="651"/>
    <x v="5"/>
    <x v="0"/>
    <x v="0"/>
    <x v="615"/>
    <d v="2025-12-23T00:00:00"/>
    <d v="2020-07-29T00:00:00"/>
    <x v="653"/>
    <s v="Singapore"/>
    <x v="3"/>
    <x v="0"/>
  </r>
  <r>
    <x v="657"/>
    <x v="652"/>
    <x v="2"/>
    <x v="5"/>
    <x v="3"/>
    <x v="275"/>
    <d v="2025-10-30T00:00:00"/>
    <d v="2022-08-17T00:00:00"/>
    <x v="654"/>
    <s v="Bangalore"/>
    <x v="4"/>
    <x v="1"/>
  </r>
  <r>
    <x v="658"/>
    <x v="653"/>
    <x v="6"/>
    <x v="4"/>
    <x v="2"/>
    <x v="616"/>
    <d v="2025-05-20T00:00:00"/>
    <d v="2023-08-14T00:00:00"/>
    <x v="655"/>
    <s v="Singapore"/>
    <x v="4"/>
    <x v="1"/>
  </r>
  <r>
    <x v="659"/>
    <x v="654"/>
    <x v="0"/>
    <x v="2"/>
    <x v="0"/>
    <x v="617"/>
    <d v="2025-08-17T00:00:00"/>
    <d v="2020-10-12T00:00:00"/>
    <x v="656"/>
    <s v="Sydney"/>
    <x v="3"/>
    <x v="0"/>
  </r>
  <r>
    <x v="660"/>
    <x v="655"/>
    <x v="5"/>
    <x v="5"/>
    <x v="3"/>
    <x v="618"/>
    <d v="2025-09-05T00:00:00"/>
    <d v="2020-08-14T00:00:00"/>
    <x v="657"/>
    <s v="Singapore"/>
    <x v="0"/>
    <x v="1"/>
  </r>
  <r>
    <x v="661"/>
    <x v="656"/>
    <x v="0"/>
    <x v="1"/>
    <x v="2"/>
    <x v="619"/>
    <d v="2025-05-18T00:00:00"/>
    <d v="2024-07-05T00:00:00"/>
    <x v="658"/>
    <s v="New York"/>
    <x v="1"/>
    <x v="1"/>
  </r>
  <r>
    <x v="662"/>
    <x v="657"/>
    <x v="2"/>
    <x v="0"/>
    <x v="1"/>
    <x v="620"/>
    <d v="2025-06-11T00:00:00"/>
    <d v="2023-03-21T00:00:00"/>
    <x v="659"/>
    <s v="Singapore"/>
    <x v="3"/>
    <x v="0"/>
  </r>
  <r>
    <x v="663"/>
    <x v="658"/>
    <x v="1"/>
    <x v="2"/>
    <x v="2"/>
    <x v="621"/>
    <d v="2025-06-28T00:00:00"/>
    <d v="2016-09-14T00:00:00"/>
    <x v="660"/>
    <s v="Berlin"/>
    <x v="2"/>
    <x v="1"/>
  </r>
  <r>
    <x v="664"/>
    <x v="659"/>
    <x v="1"/>
    <x v="2"/>
    <x v="0"/>
    <x v="622"/>
    <d v="2025-12-11T00:00:00"/>
    <d v="2018-06-14T00:00:00"/>
    <x v="661"/>
    <s v="London"/>
    <x v="2"/>
    <x v="0"/>
  </r>
  <r>
    <x v="665"/>
    <x v="660"/>
    <x v="6"/>
    <x v="5"/>
    <x v="1"/>
    <x v="623"/>
    <d v="2025-09-14T00:00:00"/>
    <d v="2019-03-18T00:00:00"/>
    <x v="662"/>
    <s v="London"/>
    <x v="0"/>
    <x v="1"/>
  </r>
  <r>
    <x v="666"/>
    <x v="661"/>
    <x v="4"/>
    <x v="1"/>
    <x v="3"/>
    <x v="165"/>
    <d v="2026-01-09T00:00:00"/>
    <d v="2023-02-10T00:00:00"/>
    <x v="663"/>
    <s v="London"/>
    <x v="0"/>
    <x v="1"/>
  </r>
  <r>
    <x v="667"/>
    <x v="662"/>
    <x v="5"/>
    <x v="2"/>
    <x v="0"/>
    <x v="624"/>
    <d v="2025-06-06T00:00:00"/>
    <d v="2021-09-03T00:00:00"/>
    <x v="664"/>
    <s v="London"/>
    <x v="4"/>
    <x v="1"/>
  </r>
  <r>
    <x v="668"/>
    <x v="663"/>
    <x v="6"/>
    <x v="1"/>
    <x v="3"/>
    <x v="625"/>
    <d v="2026-01-04T00:00:00"/>
    <d v="2020-12-23T00:00:00"/>
    <x v="665"/>
    <s v="Sydney"/>
    <x v="0"/>
    <x v="1"/>
  </r>
  <r>
    <x v="669"/>
    <x v="664"/>
    <x v="1"/>
    <x v="3"/>
    <x v="1"/>
    <x v="626"/>
    <d v="2025-06-22T00:00:00"/>
    <d v="2022-11-26T00:00:00"/>
    <x v="666"/>
    <s v="Toronto"/>
    <x v="2"/>
    <x v="1"/>
  </r>
  <r>
    <x v="670"/>
    <x v="665"/>
    <x v="6"/>
    <x v="2"/>
    <x v="3"/>
    <x v="627"/>
    <d v="2025-11-13T00:00:00"/>
    <d v="2023-04-16T00:00:00"/>
    <x v="667"/>
    <s v="Sydney"/>
    <x v="3"/>
    <x v="1"/>
  </r>
  <r>
    <x v="671"/>
    <x v="666"/>
    <x v="6"/>
    <x v="0"/>
    <x v="1"/>
    <x v="628"/>
    <d v="2025-12-14T00:00:00"/>
    <d v="2023-10-25T00:00:00"/>
    <x v="668"/>
    <s v="Bangalore"/>
    <x v="4"/>
    <x v="1"/>
  </r>
  <r>
    <x v="672"/>
    <x v="667"/>
    <x v="2"/>
    <x v="3"/>
    <x v="1"/>
    <x v="629"/>
    <d v="2025-02-21T00:00:00"/>
    <d v="2016-05-16T00:00:00"/>
    <x v="669"/>
    <s v="New York"/>
    <x v="0"/>
    <x v="1"/>
  </r>
  <r>
    <x v="673"/>
    <x v="668"/>
    <x v="2"/>
    <x v="3"/>
    <x v="1"/>
    <x v="630"/>
    <d v="2025-04-01T00:00:00"/>
    <d v="2016-06-25T00:00:00"/>
    <x v="670"/>
    <s v="London"/>
    <x v="2"/>
    <x v="0"/>
  </r>
  <r>
    <x v="674"/>
    <x v="669"/>
    <x v="3"/>
    <x v="3"/>
    <x v="3"/>
    <x v="631"/>
    <d v="2026-01-02T00:00:00"/>
    <d v="2020-03-21T00:00:00"/>
    <x v="671"/>
    <s v="London"/>
    <x v="4"/>
    <x v="1"/>
  </r>
  <r>
    <x v="675"/>
    <x v="670"/>
    <x v="2"/>
    <x v="2"/>
    <x v="1"/>
    <x v="632"/>
    <d v="2026-01-02T00:00:00"/>
    <d v="2018-03-09T00:00:00"/>
    <x v="672"/>
    <s v="Bangalore"/>
    <x v="3"/>
    <x v="0"/>
  </r>
  <r>
    <x v="676"/>
    <x v="671"/>
    <x v="1"/>
    <x v="0"/>
    <x v="0"/>
    <x v="633"/>
    <d v="2025-04-10T00:00:00"/>
    <d v="2020-08-09T00:00:00"/>
    <x v="673"/>
    <s v="New York"/>
    <x v="0"/>
    <x v="1"/>
  </r>
  <r>
    <x v="677"/>
    <x v="672"/>
    <x v="0"/>
    <x v="0"/>
    <x v="3"/>
    <x v="634"/>
    <d v="2025-12-15T00:00:00"/>
    <d v="2020-10-28T00:00:00"/>
    <x v="674"/>
    <s v="Sydney"/>
    <x v="1"/>
    <x v="0"/>
  </r>
  <r>
    <x v="678"/>
    <x v="673"/>
    <x v="0"/>
    <x v="5"/>
    <x v="2"/>
    <x v="635"/>
    <d v="2025-11-09T00:00:00"/>
    <d v="2018-04-24T00:00:00"/>
    <x v="675"/>
    <s v="Bangalore"/>
    <x v="3"/>
    <x v="0"/>
  </r>
  <r>
    <x v="679"/>
    <x v="674"/>
    <x v="4"/>
    <x v="3"/>
    <x v="2"/>
    <x v="636"/>
    <d v="2025-09-18T00:00:00"/>
    <d v="2021-12-07T00:00:00"/>
    <x v="676"/>
    <s v="London"/>
    <x v="2"/>
    <x v="1"/>
  </r>
  <r>
    <x v="680"/>
    <x v="675"/>
    <x v="5"/>
    <x v="1"/>
    <x v="1"/>
    <x v="637"/>
    <d v="2025-07-25T00:00:00"/>
    <d v="2021-12-24T00:00:00"/>
    <x v="677"/>
    <s v="Sydney"/>
    <x v="2"/>
    <x v="0"/>
  </r>
  <r>
    <x v="681"/>
    <x v="676"/>
    <x v="2"/>
    <x v="0"/>
    <x v="2"/>
    <x v="638"/>
    <d v="2026-02-12T00:00:00"/>
    <d v="2018-10-01T00:00:00"/>
    <x v="678"/>
    <s v="Sydney"/>
    <x v="0"/>
    <x v="0"/>
  </r>
  <r>
    <x v="682"/>
    <x v="677"/>
    <x v="0"/>
    <x v="2"/>
    <x v="1"/>
    <x v="639"/>
    <d v="2025-06-24T00:00:00"/>
    <d v="2020-05-02T00:00:00"/>
    <x v="679"/>
    <s v="Toronto"/>
    <x v="2"/>
    <x v="0"/>
  </r>
  <r>
    <x v="683"/>
    <x v="678"/>
    <x v="5"/>
    <x v="5"/>
    <x v="0"/>
    <x v="640"/>
    <d v="2025-12-10T00:00:00"/>
    <d v="2020-11-03T00:00:00"/>
    <x v="680"/>
    <s v="Singapore"/>
    <x v="4"/>
    <x v="1"/>
  </r>
  <r>
    <x v="684"/>
    <x v="679"/>
    <x v="3"/>
    <x v="2"/>
    <x v="0"/>
    <x v="641"/>
    <d v="2026-02-06T00:00:00"/>
    <d v="2016-05-24T00:00:00"/>
    <x v="681"/>
    <s v="Sydney"/>
    <x v="3"/>
    <x v="0"/>
  </r>
  <r>
    <x v="685"/>
    <x v="680"/>
    <x v="6"/>
    <x v="1"/>
    <x v="3"/>
    <x v="642"/>
    <d v="2025-02-20T00:00:00"/>
    <d v="2022-11-18T00:00:00"/>
    <x v="682"/>
    <s v="Toronto"/>
    <x v="3"/>
    <x v="0"/>
  </r>
  <r>
    <x v="686"/>
    <x v="681"/>
    <x v="2"/>
    <x v="3"/>
    <x v="3"/>
    <x v="643"/>
    <d v="2025-09-08T00:00:00"/>
    <d v="2022-04-12T00:00:00"/>
    <x v="683"/>
    <s v="Bangalore"/>
    <x v="0"/>
    <x v="0"/>
  </r>
  <r>
    <x v="687"/>
    <x v="682"/>
    <x v="4"/>
    <x v="1"/>
    <x v="0"/>
    <x v="644"/>
    <d v="2025-03-19T00:00:00"/>
    <d v="2019-01-25T00:00:00"/>
    <x v="684"/>
    <s v="New York"/>
    <x v="2"/>
    <x v="0"/>
  </r>
  <r>
    <x v="688"/>
    <x v="683"/>
    <x v="1"/>
    <x v="0"/>
    <x v="2"/>
    <x v="645"/>
    <d v="2025-11-15T00:00:00"/>
    <d v="2016-07-25T00:00:00"/>
    <x v="685"/>
    <s v="Bangalore"/>
    <x v="4"/>
    <x v="0"/>
  </r>
  <r>
    <x v="689"/>
    <x v="684"/>
    <x v="5"/>
    <x v="5"/>
    <x v="1"/>
    <x v="646"/>
    <d v="2025-04-09T00:00:00"/>
    <d v="2017-03-04T00:00:00"/>
    <x v="686"/>
    <s v="Berlin"/>
    <x v="0"/>
    <x v="1"/>
  </r>
  <r>
    <x v="690"/>
    <x v="685"/>
    <x v="5"/>
    <x v="0"/>
    <x v="3"/>
    <x v="647"/>
    <d v="2025-06-07T00:00:00"/>
    <d v="2019-12-29T00:00:00"/>
    <x v="687"/>
    <s v="London"/>
    <x v="3"/>
    <x v="0"/>
  </r>
  <r>
    <x v="691"/>
    <x v="686"/>
    <x v="0"/>
    <x v="2"/>
    <x v="3"/>
    <x v="648"/>
    <d v="2025-09-27T00:00:00"/>
    <d v="2020-11-05T00:00:00"/>
    <x v="688"/>
    <s v="Berlin"/>
    <x v="3"/>
    <x v="1"/>
  </r>
  <r>
    <x v="692"/>
    <x v="687"/>
    <x v="2"/>
    <x v="5"/>
    <x v="3"/>
    <x v="649"/>
    <d v="2025-09-04T00:00:00"/>
    <d v="2016-10-26T00:00:00"/>
    <x v="689"/>
    <s v="New York"/>
    <x v="2"/>
    <x v="1"/>
  </r>
  <r>
    <x v="693"/>
    <x v="688"/>
    <x v="5"/>
    <x v="2"/>
    <x v="3"/>
    <x v="650"/>
    <d v="2025-10-03T00:00:00"/>
    <d v="2016-04-13T00:00:00"/>
    <x v="690"/>
    <s v="Bangalore"/>
    <x v="4"/>
    <x v="0"/>
  </r>
  <r>
    <x v="694"/>
    <x v="689"/>
    <x v="0"/>
    <x v="2"/>
    <x v="3"/>
    <x v="651"/>
    <d v="2025-10-10T00:00:00"/>
    <d v="2018-12-01T00:00:00"/>
    <x v="691"/>
    <s v="Bangalore"/>
    <x v="4"/>
    <x v="0"/>
  </r>
  <r>
    <x v="695"/>
    <x v="690"/>
    <x v="3"/>
    <x v="3"/>
    <x v="1"/>
    <x v="652"/>
    <d v="2025-09-14T00:00:00"/>
    <d v="2023-04-08T00:00:00"/>
    <x v="692"/>
    <s v="London"/>
    <x v="3"/>
    <x v="0"/>
  </r>
  <r>
    <x v="696"/>
    <x v="691"/>
    <x v="5"/>
    <x v="4"/>
    <x v="3"/>
    <x v="176"/>
    <d v="2025-11-17T00:00:00"/>
    <d v="2022-05-18T00:00:00"/>
    <x v="693"/>
    <s v="New York"/>
    <x v="0"/>
    <x v="1"/>
  </r>
  <r>
    <x v="697"/>
    <x v="692"/>
    <x v="2"/>
    <x v="4"/>
    <x v="1"/>
    <x v="653"/>
    <d v="2026-02-12T00:00:00"/>
    <d v="2020-07-05T00:00:00"/>
    <x v="694"/>
    <s v="London"/>
    <x v="2"/>
    <x v="1"/>
  </r>
  <r>
    <x v="698"/>
    <x v="693"/>
    <x v="1"/>
    <x v="3"/>
    <x v="0"/>
    <x v="654"/>
    <d v="2025-12-09T00:00:00"/>
    <d v="2022-03-11T00:00:00"/>
    <x v="695"/>
    <s v="Toronto"/>
    <x v="2"/>
    <x v="0"/>
  </r>
  <r>
    <x v="699"/>
    <x v="694"/>
    <x v="1"/>
    <x v="5"/>
    <x v="2"/>
    <x v="655"/>
    <d v="2025-12-13T00:00:00"/>
    <d v="2023-05-08T00:00:00"/>
    <x v="696"/>
    <s v="Berlin"/>
    <x v="4"/>
    <x v="0"/>
  </r>
  <r>
    <x v="700"/>
    <x v="695"/>
    <x v="1"/>
    <x v="4"/>
    <x v="1"/>
    <x v="656"/>
    <d v="2025-05-17T00:00:00"/>
    <d v="2024-01-16T00:00:00"/>
    <x v="697"/>
    <s v="Berlin"/>
    <x v="1"/>
    <x v="1"/>
  </r>
  <r>
    <x v="701"/>
    <x v="696"/>
    <x v="6"/>
    <x v="1"/>
    <x v="2"/>
    <x v="657"/>
    <d v="2025-06-30T00:00:00"/>
    <d v="2022-07-17T00:00:00"/>
    <x v="698"/>
    <s v="Bangalore"/>
    <x v="4"/>
    <x v="0"/>
  </r>
  <r>
    <x v="702"/>
    <x v="697"/>
    <x v="5"/>
    <x v="2"/>
    <x v="0"/>
    <x v="658"/>
    <d v="2025-08-08T00:00:00"/>
    <d v="2019-11-30T00:00:00"/>
    <x v="699"/>
    <s v="Toronto"/>
    <x v="2"/>
    <x v="0"/>
  </r>
  <r>
    <x v="703"/>
    <x v="698"/>
    <x v="6"/>
    <x v="0"/>
    <x v="0"/>
    <x v="659"/>
    <d v="2025-08-25T00:00:00"/>
    <d v="2023-11-22T00:00:00"/>
    <x v="700"/>
    <s v="Sydney"/>
    <x v="4"/>
    <x v="0"/>
  </r>
  <r>
    <x v="704"/>
    <x v="699"/>
    <x v="3"/>
    <x v="3"/>
    <x v="1"/>
    <x v="660"/>
    <d v="2025-10-06T00:00:00"/>
    <d v="2016-02-25T00:00:00"/>
    <x v="701"/>
    <s v="Sydney"/>
    <x v="4"/>
    <x v="1"/>
  </r>
  <r>
    <x v="705"/>
    <x v="700"/>
    <x v="1"/>
    <x v="1"/>
    <x v="1"/>
    <x v="661"/>
    <d v="2025-04-28T00:00:00"/>
    <d v="2024-06-11T00:00:00"/>
    <x v="702"/>
    <s v="Toronto"/>
    <x v="1"/>
    <x v="0"/>
  </r>
  <r>
    <x v="706"/>
    <x v="701"/>
    <x v="1"/>
    <x v="2"/>
    <x v="0"/>
    <x v="662"/>
    <d v="2025-06-01T00:00:00"/>
    <d v="2021-12-29T00:00:00"/>
    <x v="703"/>
    <s v="London"/>
    <x v="3"/>
    <x v="1"/>
  </r>
  <r>
    <x v="707"/>
    <x v="702"/>
    <x v="1"/>
    <x v="1"/>
    <x v="1"/>
    <x v="663"/>
    <d v="2025-05-15T00:00:00"/>
    <d v="2021-11-11T00:00:00"/>
    <x v="704"/>
    <s v="Berlin"/>
    <x v="1"/>
    <x v="0"/>
  </r>
  <r>
    <x v="708"/>
    <x v="703"/>
    <x v="3"/>
    <x v="1"/>
    <x v="3"/>
    <x v="664"/>
    <d v="2025-07-02T00:00:00"/>
    <d v="2016-09-14T00:00:00"/>
    <x v="705"/>
    <s v="Singapore"/>
    <x v="3"/>
    <x v="0"/>
  </r>
  <r>
    <x v="709"/>
    <x v="704"/>
    <x v="3"/>
    <x v="2"/>
    <x v="1"/>
    <x v="665"/>
    <d v="2025-10-15T00:00:00"/>
    <d v="2023-07-28T00:00:00"/>
    <x v="706"/>
    <s v="Toronto"/>
    <x v="4"/>
    <x v="0"/>
  </r>
  <r>
    <x v="710"/>
    <x v="705"/>
    <x v="1"/>
    <x v="3"/>
    <x v="0"/>
    <x v="666"/>
    <d v="2025-03-24T00:00:00"/>
    <d v="2020-09-17T00:00:00"/>
    <x v="707"/>
    <s v="Bangalore"/>
    <x v="0"/>
    <x v="0"/>
  </r>
  <r>
    <x v="711"/>
    <x v="706"/>
    <x v="3"/>
    <x v="1"/>
    <x v="0"/>
    <x v="667"/>
    <d v="2025-08-03T00:00:00"/>
    <d v="2018-03-14T00:00:00"/>
    <x v="708"/>
    <s v="Berlin"/>
    <x v="3"/>
    <x v="0"/>
  </r>
  <r>
    <x v="712"/>
    <x v="707"/>
    <x v="4"/>
    <x v="3"/>
    <x v="3"/>
    <x v="668"/>
    <d v="2025-02-25T00:00:00"/>
    <d v="2018-03-10T00:00:00"/>
    <x v="709"/>
    <s v="New York"/>
    <x v="4"/>
    <x v="1"/>
  </r>
  <r>
    <x v="713"/>
    <x v="708"/>
    <x v="1"/>
    <x v="3"/>
    <x v="3"/>
    <x v="669"/>
    <d v="2026-01-07T00:00:00"/>
    <d v="2019-01-09T00:00:00"/>
    <x v="710"/>
    <s v="Sydney"/>
    <x v="3"/>
    <x v="0"/>
  </r>
  <r>
    <x v="714"/>
    <x v="709"/>
    <x v="0"/>
    <x v="4"/>
    <x v="1"/>
    <x v="595"/>
    <d v="2025-12-18T00:00:00"/>
    <d v="2023-10-13T00:00:00"/>
    <x v="711"/>
    <s v="London"/>
    <x v="0"/>
    <x v="0"/>
  </r>
  <r>
    <x v="715"/>
    <x v="710"/>
    <x v="1"/>
    <x v="2"/>
    <x v="2"/>
    <x v="166"/>
    <d v="2025-10-21T00:00:00"/>
    <d v="2018-09-08T00:00:00"/>
    <x v="712"/>
    <s v="New York"/>
    <x v="4"/>
    <x v="0"/>
  </r>
  <r>
    <x v="716"/>
    <x v="711"/>
    <x v="1"/>
    <x v="3"/>
    <x v="0"/>
    <x v="670"/>
    <d v="2025-04-18T00:00:00"/>
    <d v="2023-02-27T00:00:00"/>
    <x v="713"/>
    <s v="Toronto"/>
    <x v="0"/>
    <x v="0"/>
  </r>
  <r>
    <x v="717"/>
    <x v="712"/>
    <x v="1"/>
    <x v="3"/>
    <x v="3"/>
    <x v="671"/>
    <d v="2025-09-21T00:00:00"/>
    <d v="2017-05-23T00:00:00"/>
    <x v="714"/>
    <s v="London"/>
    <x v="0"/>
    <x v="0"/>
  </r>
  <r>
    <x v="718"/>
    <x v="713"/>
    <x v="3"/>
    <x v="4"/>
    <x v="2"/>
    <x v="672"/>
    <d v="2026-01-11T00:00:00"/>
    <d v="2022-08-13T00:00:00"/>
    <x v="715"/>
    <s v="Berlin"/>
    <x v="4"/>
    <x v="0"/>
  </r>
  <r>
    <x v="719"/>
    <x v="714"/>
    <x v="3"/>
    <x v="5"/>
    <x v="2"/>
    <x v="673"/>
    <d v="2026-01-24T00:00:00"/>
    <d v="2020-06-14T00:00:00"/>
    <x v="716"/>
    <s v="Bangalore"/>
    <x v="4"/>
    <x v="1"/>
  </r>
  <r>
    <x v="720"/>
    <x v="715"/>
    <x v="2"/>
    <x v="2"/>
    <x v="0"/>
    <x v="674"/>
    <d v="2025-11-23T00:00:00"/>
    <d v="2017-10-12T00:00:00"/>
    <x v="717"/>
    <s v="Berlin"/>
    <x v="0"/>
    <x v="1"/>
  </r>
  <r>
    <x v="721"/>
    <x v="716"/>
    <x v="2"/>
    <x v="1"/>
    <x v="2"/>
    <x v="675"/>
    <d v="2025-04-19T00:00:00"/>
    <d v="2016-10-26T00:00:00"/>
    <x v="718"/>
    <s v="New York"/>
    <x v="1"/>
    <x v="1"/>
  </r>
  <r>
    <x v="722"/>
    <x v="717"/>
    <x v="1"/>
    <x v="0"/>
    <x v="2"/>
    <x v="676"/>
    <d v="2025-09-18T00:00:00"/>
    <d v="2018-02-24T00:00:00"/>
    <x v="719"/>
    <s v="Singapore"/>
    <x v="2"/>
    <x v="1"/>
  </r>
  <r>
    <x v="723"/>
    <x v="718"/>
    <x v="5"/>
    <x v="1"/>
    <x v="0"/>
    <x v="677"/>
    <d v="2026-01-20T00:00:00"/>
    <d v="2023-09-27T00:00:00"/>
    <x v="720"/>
    <s v="New York"/>
    <x v="0"/>
    <x v="0"/>
  </r>
  <r>
    <x v="724"/>
    <x v="719"/>
    <x v="2"/>
    <x v="0"/>
    <x v="3"/>
    <x v="678"/>
    <d v="2025-12-12T00:00:00"/>
    <d v="2021-04-09T00:00:00"/>
    <x v="721"/>
    <s v="Sydney"/>
    <x v="1"/>
    <x v="0"/>
  </r>
  <r>
    <x v="725"/>
    <x v="720"/>
    <x v="5"/>
    <x v="3"/>
    <x v="1"/>
    <x v="211"/>
    <d v="2025-10-18T00:00:00"/>
    <d v="2024-05-26T00:00:00"/>
    <x v="722"/>
    <s v="Sydney"/>
    <x v="4"/>
    <x v="0"/>
  </r>
  <r>
    <x v="726"/>
    <x v="721"/>
    <x v="1"/>
    <x v="3"/>
    <x v="1"/>
    <x v="679"/>
    <d v="2026-02-08T00:00:00"/>
    <d v="2016-08-25T00:00:00"/>
    <x v="723"/>
    <s v="Singapore"/>
    <x v="0"/>
    <x v="0"/>
  </r>
  <r>
    <x v="727"/>
    <x v="722"/>
    <x v="4"/>
    <x v="3"/>
    <x v="2"/>
    <x v="17"/>
    <d v="2025-08-29T00:00:00"/>
    <d v="2019-10-15T00:00:00"/>
    <x v="724"/>
    <s v="Singapore"/>
    <x v="3"/>
    <x v="0"/>
  </r>
  <r>
    <x v="728"/>
    <x v="723"/>
    <x v="1"/>
    <x v="4"/>
    <x v="1"/>
    <x v="680"/>
    <d v="2025-07-21T00:00:00"/>
    <d v="2021-06-18T00:00:00"/>
    <x v="725"/>
    <s v="Sydney"/>
    <x v="3"/>
    <x v="1"/>
  </r>
  <r>
    <x v="729"/>
    <x v="724"/>
    <x v="2"/>
    <x v="3"/>
    <x v="2"/>
    <x v="681"/>
    <d v="2025-08-20T00:00:00"/>
    <d v="2017-04-02T00:00:00"/>
    <x v="726"/>
    <s v="Berlin"/>
    <x v="1"/>
    <x v="1"/>
  </r>
  <r>
    <x v="730"/>
    <x v="725"/>
    <x v="6"/>
    <x v="3"/>
    <x v="0"/>
    <x v="682"/>
    <d v="2025-11-01T00:00:00"/>
    <d v="2022-06-04T00:00:00"/>
    <x v="727"/>
    <s v="Berlin"/>
    <x v="0"/>
    <x v="1"/>
  </r>
  <r>
    <x v="731"/>
    <x v="726"/>
    <x v="0"/>
    <x v="5"/>
    <x v="3"/>
    <x v="683"/>
    <d v="2025-07-15T00:00:00"/>
    <d v="2016-12-02T00:00:00"/>
    <x v="728"/>
    <s v="Bangalore"/>
    <x v="4"/>
    <x v="1"/>
  </r>
  <r>
    <x v="732"/>
    <x v="727"/>
    <x v="0"/>
    <x v="2"/>
    <x v="0"/>
    <x v="445"/>
    <d v="2025-08-10T00:00:00"/>
    <d v="2017-05-03T00:00:00"/>
    <x v="729"/>
    <s v="Singapore"/>
    <x v="2"/>
    <x v="1"/>
  </r>
  <r>
    <x v="733"/>
    <x v="728"/>
    <x v="4"/>
    <x v="4"/>
    <x v="1"/>
    <x v="684"/>
    <d v="2025-04-17T00:00:00"/>
    <d v="2024-06-08T00:00:00"/>
    <x v="730"/>
    <s v="Berlin"/>
    <x v="2"/>
    <x v="0"/>
  </r>
  <r>
    <x v="734"/>
    <x v="729"/>
    <x v="4"/>
    <x v="5"/>
    <x v="1"/>
    <x v="685"/>
    <d v="2025-04-24T00:00:00"/>
    <d v="2015-11-15T00:00:00"/>
    <x v="731"/>
    <s v="New York"/>
    <x v="0"/>
    <x v="1"/>
  </r>
  <r>
    <x v="735"/>
    <x v="730"/>
    <x v="2"/>
    <x v="4"/>
    <x v="2"/>
    <x v="686"/>
    <d v="2025-11-28T00:00:00"/>
    <d v="2016-08-14T00:00:00"/>
    <x v="732"/>
    <s v="London"/>
    <x v="3"/>
    <x v="0"/>
  </r>
  <r>
    <x v="736"/>
    <x v="731"/>
    <x v="3"/>
    <x v="0"/>
    <x v="3"/>
    <x v="687"/>
    <d v="2025-03-23T00:00:00"/>
    <d v="2021-04-28T00:00:00"/>
    <x v="733"/>
    <s v="Sydney"/>
    <x v="1"/>
    <x v="0"/>
  </r>
  <r>
    <x v="737"/>
    <x v="732"/>
    <x v="5"/>
    <x v="1"/>
    <x v="3"/>
    <x v="688"/>
    <d v="2025-11-26T00:00:00"/>
    <d v="2017-12-18T00:00:00"/>
    <x v="734"/>
    <s v="Bangalore"/>
    <x v="2"/>
    <x v="1"/>
  </r>
  <r>
    <x v="738"/>
    <x v="733"/>
    <x v="1"/>
    <x v="1"/>
    <x v="3"/>
    <x v="689"/>
    <d v="2025-06-29T00:00:00"/>
    <d v="2017-08-07T00:00:00"/>
    <x v="735"/>
    <s v="Singapore"/>
    <x v="1"/>
    <x v="0"/>
  </r>
  <r>
    <x v="739"/>
    <x v="734"/>
    <x v="3"/>
    <x v="5"/>
    <x v="1"/>
    <x v="690"/>
    <d v="2025-11-13T00:00:00"/>
    <d v="2022-11-24T00:00:00"/>
    <x v="736"/>
    <s v="Berlin"/>
    <x v="2"/>
    <x v="0"/>
  </r>
  <r>
    <x v="740"/>
    <x v="735"/>
    <x v="6"/>
    <x v="0"/>
    <x v="2"/>
    <x v="691"/>
    <d v="2025-08-22T00:00:00"/>
    <d v="2019-08-22T00:00:00"/>
    <x v="737"/>
    <s v="Singapore"/>
    <x v="1"/>
    <x v="1"/>
  </r>
  <r>
    <x v="741"/>
    <x v="736"/>
    <x v="0"/>
    <x v="1"/>
    <x v="0"/>
    <x v="692"/>
    <d v="2025-08-30T00:00:00"/>
    <d v="2022-10-27T00:00:00"/>
    <x v="738"/>
    <s v="Singapore"/>
    <x v="1"/>
    <x v="1"/>
  </r>
  <r>
    <x v="742"/>
    <x v="737"/>
    <x v="6"/>
    <x v="1"/>
    <x v="3"/>
    <x v="693"/>
    <d v="2025-11-01T00:00:00"/>
    <d v="2016-04-10T00:00:00"/>
    <x v="739"/>
    <s v="Sydney"/>
    <x v="3"/>
    <x v="1"/>
  </r>
  <r>
    <x v="743"/>
    <x v="738"/>
    <x v="6"/>
    <x v="5"/>
    <x v="1"/>
    <x v="694"/>
    <d v="2025-07-15T00:00:00"/>
    <d v="2021-02-17T00:00:00"/>
    <x v="740"/>
    <s v="Toronto"/>
    <x v="2"/>
    <x v="0"/>
  </r>
  <r>
    <x v="744"/>
    <x v="739"/>
    <x v="1"/>
    <x v="3"/>
    <x v="0"/>
    <x v="695"/>
    <d v="2025-07-24T00:00:00"/>
    <d v="2021-09-08T00:00:00"/>
    <x v="741"/>
    <s v="Berlin"/>
    <x v="4"/>
    <x v="1"/>
  </r>
  <r>
    <x v="745"/>
    <x v="740"/>
    <x v="4"/>
    <x v="4"/>
    <x v="3"/>
    <x v="696"/>
    <d v="2025-11-06T00:00:00"/>
    <d v="2022-03-08T00:00:00"/>
    <x v="742"/>
    <s v="London"/>
    <x v="1"/>
    <x v="0"/>
  </r>
  <r>
    <x v="746"/>
    <x v="741"/>
    <x v="2"/>
    <x v="0"/>
    <x v="2"/>
    <x v="697"/>
    <d v="2025-05-01T00:00:00"/>
    <d v="2020-10-26T00:00:00"/>
    <x v="743"/>
    <s v="Singapore"/>
    <x v="1"/>
    <x v="1"/>
  </r>
  <r>
    <x v="747"/>
    <x v="742"/>
    <x v="4"/>
    <x v="3"/>
    <x v="3"/>
    <x v="669"/>
    <d v="2025-09-05T00:00:00"/>
    <d v="2023-01-17T00:00:00"/>
    <x v="744"/>
    <s v="Sydney"/>
    <x v="3"/>
    <x v="0"/>
  </r>
  <r>
    <x v="748"/>
    <x v="743"/>
    <x v="1"/>
    <x v="5"/>
    <x v="3"/>
    <x v="698"/>
    <d v="2026-01-14T00:00:00"/>
    <d v="2021-11-02T00:00:00"/>
    <x v="745"/>
    <s v="Sydney"/>
    <x v="1"/>
    <x v="1"/>
  </r>
  <r>
    <x v="749"/>
    <x v="744"/>
    <x v="4"/>
    <x v="4"/>
    <x v="3"/>
    <x v="699"/>
    <d v="2025-10-02T00:00:00"/>
    <d v="2024-07-04T00:00:00"/>
    <x v="746"/>
    <s v="New York"/>
    <x v="2"/>
    <x v="1"/>
  </r>
  <r>
    <x v="750"/>
    <x v="745"/>
    <x v="2"/>
    <x v="2"/>
    <x v="1"/>
    <x v="700"/>
    <d v="2025-06-27T00:00:00"/>
    <d v="2021-12-23T00:00:00"/>
    <x v="747"/>
    <s v="Singapore"/>
    <x v="3"/>
    <x v="1"/>
  </r>
  <r>
    <x v="751"/>
    <x v="746"/>
    <x v="6"/>
    <x v="5"/>
    <x v="0"/>
    <x v="701"/>
    <d v="2025-03-01T00:00:00"/>
    <d v="2018-05-27T00:00:00"/>
    <x v="748"/>
    <s v="New York"/>
    <x v="2"/>
    <x v="0"/>
  </r>
  <r>
    <x v="752"/>
    <x v="747"/>
    <x v="5"/>
    <x v="3"/>
    <x v="1"/>
    <x v="235"/>
    <d v="2025-06-24T00:00:00"/>
    <d v="2022-06-20T00:00:00"/>
    <x v="749"/>
    <s v="Singapore"/>
    <x v="2"/>
    <x v="0"/>
  </r>
  <r>
    <x v="753"/>
    <x v="748"/>
    <x v="4"/>
    <x v="4"/>
    <x v="1"/>
    <x v="702"/>
    <d v="2025-02-23T00:00:00"/>
    <d v="2017-01-31T00:00:00"/>
    <x v="750"/>
    <s v="London"/>
    <x v="0"/>
    <x v="0"/>
  </r>
  <r>
    <x v="754"/>
    <x v="749"/>
    <x v="5"/>
    <x v="4"/>
    <x v="0"/>
    <x v="428"/>
    <d v="2025-12-13T00:00:00"/>
    <d v="2017-07-16T00:00:00"/>
    <x v="751"/>
    <s v="Berlin"/>
    <x v="4"/>
    <x v="1"/>
  </r>
  <r>
    <x v="755"/>
    <x v="750"/>
    <x v="0"/>
    <x v="1"/>
    <x v="2"/>
    <x v="703"/>
    <d v="2025-12-29T00:00:00"/>
    <d v="2016-02-20T00:00:00"/>
    <x v="752"/>
    <s v="Toronto"/>
    <x v="2"/>
    <x v="1"/>
  </r>
  <r>
    <x v="756"/>
    <x v="751"/>
    <x v="6"/>
    <x v="5"/>
    <x v="2"/>
    <x v="704"/>
    <d v="2025-02-23T00:00:00"/>
    <d v="2019-09-25T00:00:00"/>
    <x v="753"/>
    <s v="Toronto"/>
    <x v="0"/>
    <x v="0"/>
  </r>
  <r>
    <x v="757"/>
    <x v="752"/>
    <x v="3"/>
    <x v="0"/>
    <x v="1"/>
    <x v="705"/>
    <d v="2025-05-16T00:00:00"/>
    <d v="2019-11-03T00:00:00"/>
    <x v="754"/>
    <s v="Toronto"/>
    <x v="3"/>
    <x v="0"/>
  </r>
  <r>
    <x v="758"/>
    <x v="753"/>
    <x v="4"/>
    <x v="4"/>
    <x v="2"/>
    <x v="706"/>
    <d v="2025-03-02T00:00:00"/>
    <d v="2021-08-26T00:00:00"/>
    <x v="755"/>
    <s v="London"/>
    <x v="0"/>
    <x v="0"/>
  </r>
  <r>
    <x v="759"/>
    <x v="754"/>
    <x v="3"/>
    <x v="3"/>
    <x v="1"/>
    <x v="432"/>
    <d v="2025-04-24T00:00:00"/>
    <d v="2018-04-18T00:00:00"/>
    <x v="756"/>
    <s v="Toronto"/>
    <x v="1"/>
    <x v="1"/>
  </r>
  <r>
    <x v="760"/>
    <x v="755"/>
    <x v="1"/>
    <x v="5"/>
    <x v="1"/>
    <x v="707"/>
    <d v="2025-03-25T00:00:00"/>
    <d v="2020-01-12T00:00:00"/>
    <x v="757"/>
    <s v="Bangalore"/>
    <x v="0"/>
    <x v="0"/>
  </r>
  <r>
    <x v="761"/>
    <x v="756"/>
    <x v="5"/>
    <x v="2"/>
    <x v="1"/>
    <x v="708"/>
    <d v="2025-06-02T00:00:00"/>
    <d v="2023-08-19T00:00:00"/>
    <x v="758"/>
    <s v="Sydney"/>
    <x v="3"/>
    <x v="0"/>
  </r>
  <r>
    <x v="762"/>
    <x v="757"/>
    <x v="3"/>
    <x v="3"/>
    <x v="2"/>
    <x v="709"/>
    <d v="2025-03-20T00:00:00"/>
    <d v="2017-01-10T00:00:00"/>
    <x v="759"/>
    <s v="New York"/>
    <x v="3"/>
    <x v="1"/>
  </r>
  <r>
    <x v="763"/>
    <x v="758"/>
    <x v="4"/>
    <x v="0"/>
    <x v="1"/>
    <x v="628"/>
    <d v="2025-10-16T00:00:00"/>
    <d v="2017-12-16T00:00:00"/>
    <x v="760"/>
    <s v="London"/>
    <x v="4"/>
    <x v="0"/>
  </r>
  <r>
    <x v="764"/>
    <x v="362"/>
    <x v="0"/>
    <x v="2"/>
    <x v="2"/>
    <x v="710"/>
    <d v="2025-07-27T00:00:00"/>
    <d v="2024-03-02T00:00:00"/>
    <x v="761"/>
    <s v="London"/>
    <x v="3"/>
    <x v="0"/>
  </r>
  <r>
    <x v="765"/>
    <x v="759"/>
    <x v="5"/>
    <x v="1"/>
    <x v="2"/>
    <x v="711"/>
    <d v="2025-07-07T00:00:00"/>
    <d v="2020-05-23T00:00:00"/>
    <x v="762"/>
    <s v="Singapore"/>
    <x v="1"/>
    <x v="0"/>
  </r>
  <r>
    <x v="766"/>
    <x v="760"/>
    <x v="6"/>
    <x v="3"/>
    <x v="0"/>
    <x v="712"/>
    <d v="2025-12-14T00:00:00"/>
    <d v="2022-11-25T00:00:00"/>
    <x v="763"/>
    <s v="New York"/>
    <x v="1"/>
    <x v="0"/>
  </r>
  <r>
    <x v="767"/>
    <x v="761"/>
    <x v="0"/>
    <x v="0"/>
    <x v="3"/>
    <x v="713"/>
    <d v="2025-11-26T00:00:00"/>
    <d v="2018-05-15T00:00:00"/>
    <x v="764"/>
    <s v="Sydney"/>
    <x v="1"/>
    <x v="1"/>
  </r>
  <r>
    <x v="768"/>
    <x v="762"/>
    <x v="0"/>
    <x v="2"/>
    <x v="2"/>
    <x v="337"/>
    <d v="2025-08-23T00:00:00"/>
    <d v="2016-03-01T00:00:00"/>
    <x v="765"/>
    <s v="Toronto"/>
    <x v="1"/>
    <x v="0"/>
  </r>
  <r>
    <x v="769"/>
    <x v="763"/>
    <x v="2"/>
    <x v="4"/>
    <x v="1"/>
    <x v="611"/>
    <d v="2025-12-06T00:00:00"/>
    <d v="2017-07-13T00:00:00"/>
    <x v="766"/>
    <s v="London"/>
    <x v="0"/>
    <x v="1"/>
  </r>
  <r>
    <x v="770"/>
    <x v="764"/>
    <x v="3"/>
    <x v="3"/>
    <x v="0"/>
    <x v="714"/>
    <d v="2025-10-16T00:00:00"/>
    <d v="2019-12-08T00:00:00"/>
    <x v="767"/>
    <s v="Singapore"/>
    <x v="1"/>
    <x v="0"/>
  </r>
  <r>
    <x v="771"/>
    <x v="765"/>
    <x v="1"/>
    <x v="2"/>
    <x v="3"/>
    <x v="265"/>
    <d v="2026-02-14T00:00:00"/>
    <d v="2023-11-02T00:00:00"/>
    <x v="768"/>
    <s v="New York"/>
    <x v="2"/>
    <x v="1"/>
  </r>
  <r>
    <x v="772"/>
    <x v="766"/>
    <x v="1"/>
    <x v="5"/>
    <x v="1"/>
    <x v="715"/>
    <d v="2025-12-26T00:00:00"/>
    <d v="2016-03-22T00:00:00"/>
    <x v="769"/>
    <s v="Toronto"/>
    <x v="4"/>
    <x v="0"/>
  </r>
  <r>
    <x v="773"/>
    <x v="767"/>
    <x v="6"/>
    <x v="3"/>
    <x v="2"/>
    <x v="716"/>
    <d v="2026-01-03T00:00:00"/>
    <d v="2021-03-29T00:00:00"/>
    <x v="770"/>
    <s v="New York"/>
    <x v="1"/>
    <x v="1"/>
  </r>
  <r>
    <x v="774"/>
    <x v="768"/>
    <x v="1"/>
    <x v="1"/>
    <x v="1"/>
    <x v="717"/>
    <d v="2025-05-10T00:00:00"/>
    <d v="2017-09-11T00:00:00"/>
    <x v="771"/>
    <s v="London"/>
    <x v="4"/>
    <x v="1"/>
  </r>
  <r>
    <x v="775"/>
    <x v="769"/>
    <x v="1"/>
    <x v="0"/>
    <x v="1"/>
    <x v="718"/>
    <d v="2025-05-01T00:00:00"/>
    <d v="2022-11-30T00:00:00"/>
    <x v="772"/>
    <s v="London"/>
    <x v="3"/>
    <x v="1"/>
  </r>
  <r>
    <x v="776"/>
    <x v="728"/>
    <x v="6"/>
    <x v="0"/>
    <x v="2"/>
    <x v="719"/>
    <d v="2025-04-04T00:00:00"/>
    <d v="2018-10-01T00:00:00"/>
    <x v="773"/>
    <s v="Toronto"/>
    <x v="2"/>
    <x v="0"/>
  </r>
  <r>
    <x v="777"/>
    <x v="770"/>
    <x v="5"/>
    <x v="0"/>
    <x v="1"/>
    <x v="720"/>
    <d v="2025-10-07T00:00:00"/>
    <d v="2017-07-01T00:00:00"/>
    <x v="774"/>
    <s v="Singapore"/>
    <x v="2"/>
    <x v="1"/>
  </r>
  <r>
    <x v="778"/>
    <x v="771"/>
    <x v="3"/>
    <x v="1"/>
    <x v="3"/>
    <x v="721"/>
    <d v="2025-08-07T00:00:00"/>
    <d v="2016-10-20T00:00:00"/>
    <x v="775"/>
    <s v="Singapore"/>
    <x v="2"/>
    <x v="1"/>
  </r>
  <r>
    <x v="779"/>
    <x v="772"/>
    <x v="0"/>
    <x v="5"/>
    <x v="3"/>
    <x v="722"/>
    <d v="2025-06-04T00:00:00"/>
    <d v="2018-04-02T00:00:00"/>
    <x v="776"/>
    <s v="Toronto"/>
    <x v="4"/>
    <x v="1"/>
  </r>
  <r>
    <x v="780"/>
    <x v="773"/>
    <x v="1"/>
    <x v="4"/>
    <x v="0"/>
    <x v="723"/>
    <d v="2025-08-28T00:00:00"/>
    <d v="2020-04-30T00:00:00"/>
    <x v="777"/>
    <s v="Bangalore"/>
    <x v="0"/>
    <x v="1"/>
  </r>
  <r>
    <x v="781"/>
    <x v="774"/>
    <x v="0"/>
    <x v="0"/>
    <x v="3"/>
    <x v="724"/>
    <d v="2025-06-05T00:00:00"/>
    <d v="2017-11-19T00:00:00"/>
    <x v="778"/>
    <s v="Berlin"/>
    <x v="3"/>
    <x v="0"/>
  </r>
  <r>
    <x v="782"/>
    <x v="775"/>
    <x v="2"/>
    <x v="5"/>
    <x v="1"/>
    <x v="569"/>
    <d v="2025-03-03T00:00:00"/>
    <d v="2018-09-12T00:00:00"/>
    <x v="779"/>
    <s v="Sydney"/>
    <x v="0"/>
    <x v="0"/>
  </r>
  <r>
    <x v="783"/>
    <x v="776"/>
    <x v="2"/>
    <x v="5"/>
    <x v="2"/>
    <x v="725"/>
    <d v="2025-12-22T00:00:00"/>
    <d v="2020-12-12T00:00:00"/>
    <x v="647"/>
    <s v="New York"/>
    <x v="4"/>
    <x v="0"/>
  </r>
  <r>
    <x v="784"/>
    <x v="777"/>
    <x v="0"/>
    <x v="5"/>
    <x v="0"/>
    <x v="726"/>
    <d v="2025-10-20T00:00:00"/>
    <d v="2018-07-23T00:00:00"/>
    <x v="780"/>
    <s v="Sydney"/>
    <x v="4"/>
    <x v="1"/>
  </r>
  <r>
    <x v="785"/>
    <x v="778"/>
    <x v="4"/>
    <x v="2"/>
    <x v="1"/>
    <x v="727"/>
    <d v="2025-12-22T00:00:00"/>
    <d v="2017-11-14T00:00:00"/>
    <x v="781"/>
    <s v="Sydney"/>
    <x v="4"/>
    <x v="1"/>
  </r>
  <r>
    <x v="786"/>
    <x v="779"/>
    <x v="3"/>
    <x v="0"/>
    <x v="0"/>
    <x v="728"/>
    <d v="2025-10-15T00:00:00"/>
    <d v="2019-09-17T00:00:00"/>
    <x v="782"/>
    <s v="Berlin"/>
    <x v="0"/>
    <x v="0"/>
  </r>
  <r>
    <x v="787"/>
    <x v="780"/>
    <x v="3"/>
    <x v="5"/>
    <x v="2"/>
    <x v="729"/>
    <d v="2025-09-11T00:00:00"/>
    <d v="2023-09-01T00:00:00"/>
    <x v="783"/>
    <s v="Singapore"/>
    <x v="2"/>
    <x v="0"/>
  </r>
  <r>
    <x v="788"/>
    <x v="781"/>
    <x v="2"/>
    <x v="5"/>
    <x v="0"/>
    <x v="410"/>
    <d v="2025-08-10T00:00:00"/>
    <d v="2023-09-05T00:00:00"/>
    <x v="784"/>
    <s v="Toronto"/>
    <x v="3"/>
    <x v="1"/>
  </r>
  <r>
    <x v="789"/>
    <x v="782"/>
    <x v="4"/>
    <x v="1"/>
    <x v="2"/>
    <x v="730"/>
    <d v="2025-07-18T00:00:00"/>
    <d v="2021-06-27T00:00:00"/>
    <x v="785"/>
    <s v="Singapore"/>
    <x v="0"/>
    <x v="1"/>
  </r>
  <r>
    <x v="790"/>
    <x v="783"/>
    <x v="1"/>
    <x v="2"/>
    <x v="2"/>
    <x v="731"/>
    <d v="2025-11-08T00:00:00"/>
    <d v="2016-10-17T00:00:00"/>
    <x v="786"/>
    <s v="Toronto"/>
    <x v="2"/>
    <x v="1"/>
  </r>
  <r>
    <x v="791"/>
    <x v="784"/>
    <x v="6"/>
    <x v="0"/>
    <x v="2"/>
    <x v="732"/>
    <d v="2025-07-17T00:00:00"/>
    <d v="2023-07-30T00:00:00"/>
    <x v="787"/>
    <s v="London"/>
    <x v="0"/>
    <x v="0"/>
  </r>
  <r>
    <x v="792"/>
    <x v="785"/>
    <x v="6"/>
    <x v="3"/>
    <x v="0"/>
    <x v="733"/>
    <d v="2025-05-22T00:00:00"/>
    <d v="2022-02-22T00:00:00"/>
    <x v="788"/>
    <s v="Singapore"/>
    <x v="3"/>
    <x v="1"/>
  </r>
  <r>
    <x v="793"/>
    <x v="786"/>
    <x v="0"/>
    <x v="3"/>
    <x v="0"/>
    <x v="734"/>
    <d v="2026-01-04T00:00:00"/>
    <d v="2021-05-10T00:00:00"/>
    <x v="789"/>
    <s v="Sydney"/>
    <x v="0"/>
    <x v="1"/>
  </r>
  <r>
    <x v="794"/>
    <x v="787"/>
    <x v="2"/>
    <x v="0"/>
    <x v="1"/>
    <x v="735"/>
    <d v="2025-04-05T00:00:00"/>
    <d v="2022-03-16T00:00:00"/>
    <x v="790"/>
    <s v="Bangalore"/>
    <x v="4"/>
    <x v="0"/>
  </r>
  <r>
    <x v="795"/>
    <x v="788"/>
    <x v="2"/>
    <x v="0"/>
    <x v="2"/>
    <x v="736"/>
    <d v="2026-01-29T00:00:00"/>
    <d v="2019-02-15T00:00:00"/>
    <x v="628"/>
    <s v="Bangalore"/>
    <x v="3"/>
    <x v="0"/>
  </r>
  <r>
    <x v="796"/>
    <x v="789"/>
    <x v="5"/>
    <x v="4"/>
    <x v="0"/>
    <x v="737"/>
    <d v="2025-07-29T00:00:00"/>
    <d v="2023-07-31T00:00:00"/>
    <x v="791"/>
    <s v="Toronto"/>
    <x v="1"/>
    <x v="1"/>
  </r>
  <r>
    <x v="797"/>
    <x v="790"/>
    <x v="4"/>
    <x v="1"/>
    <x v="3"/>
    <x v="738"/>
    <d v="2025-09-15T00:00:00"/>
    <d v="2017-11-14T00:00:00"/>
    <x v="792"/>
    <s v="Sydney"/>
    <x v="1"/>
    <x v="0"/>
  </r>
  <r>
    <x v="798"/>
    <x v="791"/>
    <x v="4"/>
    <x v="4"/>
    <x v="0"/>
    <x v="342"/>
    <d v="2025-12-28T00:00:00"/>
    <d v="2021-05-29T00:00:00"/>
    <x v="793"/>
    <s v="New York"/>
    <x v="1"/>
    <x v="0"/>
  </r>
  <r>
    <x v="799"/>
    <x v="792"/>
    <x v="0"/>
    <x v="0"/>
    <x v="1"/>
    <x v="739"/>
    <d v="2025-10-02T00:00:00"/>
    <d v="2021-05-27T00:00:00"/>
    <x v="794"/>
    <s v="New York"/>
    <x v="3"/>
    <x v="0"/>
  </r>
  <r>
    <x v="800"/>
    <x v="793"/>
    <x v="5"/>
    <x v="2"/>
    <x v="2"/>
    <x v="740"/>
    <d v="2025-06-08T00:00:00"/>
    <d v="2019-11-07T00:00:00"/>
    <x v="795"/>
    <s v="Bangalore"/>
    <x v="2"/>
    <x v="0"/>
  </r>
  <r>
    <x v="801"/>
    <x v="794"/>
    <x v="6"/>
    <x v="5"/>
    <x v="1"/>
    <x v="674"/>
    <d v="2025-05-03T00:00:00"/>
    <d v="2020-11-03T00:00:00"/>
    <x v="796"/>
    <s v="Sydney"/>
    <x v="1"/>
    <x v="0"/>
  </r>
  <r>
    <x v="802"/>
    <x v="795"/>
    <x v="1"/>
    <x v="0"/>
    <x v="2"/>
    <x v="369"/>
    <d v="2025-05-16T00:00:00"/>
    <d v="2021-05-25T00:00:00"/>
    <x v="797"/>
    <s v="Sydney"/>
    <x v="0"/>
    <x v="0"/>
  </r>
  <r>
    <x v="803"/>
    <x v="796"/>
    <x v="5"/>
    <x v="1"/>
    <x v="0"/>
    <x v="741"/>
    <d v="2026-01-13T00:00:00"/>
    <d v="2019-04-14T00:00:00"/>
    <x v="798"/>
    <s v="Sydney"/>
    <x v="1"/>
    <x v="0"/>
  </r>
  <r>
    <x v="804"/>
    <x v="797"/>
    <x v="5"/>
    <x v="5"/>
    <x v="1"/>
    <x v="742"/>
    <d v="2025-03-08T00:00:00"/>
    <d v="2018-03-13T00:00:00"/>
    <x v="799"/>
    <s v="Bangalore"/>
    <x v="4"/>
    <x v="0"/>
  </r>
  <r>
    <x v="805"/>
    <x v="798"/>
    <x v="2"/>
    <x v="3"/>
    <x v="2"/>
    <x v="743"/>
    <d v="2025-02-19T00:00:00"/>
    <d v="2018-12-20T00:00:00"/>
    <x v="800"/>
    <s v="London"/>
    <x v="2"/>
    <x v="1"/>
  </r>
  <r>
    <x v="806"/>
    <x v="799"/>
    <x v="3"/>
    <x v="3"/>
    <x v="0"/>
    <x v="744"/>
    <d v="2025-11-24T00:00:00"/>
    <d v="2021-09-30T00:00:00"/>
    <x v="801"/>
    <s v="New York"/>
    <x v="2"/>
    <x v="0"/>
  </r>
  <r>
    <x v="807"/>
    <x v="800"/>
    <x v="0"/>
    <x v="4"/>
    <x v="2"/>
    <x v="745"/>
    <d v="2025-10-05T00:00:00"/>
    <d v="2016-01-25T00:00:00"/>
    <x v="802"/>
    <s v="Sydney"/>
    <x v="0"/>
    <x v="0"/>
  </r>
  <r>
    <x v="808"/>
    <x v="801"/>
    <x v="2"/>
    <x v="1"/>
    <x v="3"/>
    <x v="746"/>
    <d v="2025-03-03T00:00:00"/>
    <d v="2021-01-31T00:00:00"/>
    <x v="803"/>
    <s v="Toronto"/>
    <x v="3"/>
    <x v="0"/>
  </r>
  <r>
    <x v="809"/>
    <x v="802"/>
    <x v="6"/>
    <x v="5"/>
    <x v="0"/>
    <x v="73"/>
    <d v="2025-11-11T00:00:00"/>
    <d v="2020-08-29T00:00:00"/>
    <x v="804"/>
    <s v="Singapore"/>
    <x v="1"/>
    <x v="0"/>
  </r>
  <r>
    <x v="810"/>
    <x v="803"/>
    <x v="5"/>
    <x v="3"/>
    <x v="3"/>
    <x v="747"/>
    <d v="2025-10-29T00:00:00"/>
    <d v="2021-04-05T00:00:00"/>
    <x v="805"/>
    <s v="Singapore"/>
    <x v="0"/>
    <x v="0"/>
  </r>
  <r>
    <x v="811"/>
    <x v="804"/>
    <x v="4"/>
    <x v="3"/>
    <x v="0"/>
    <x v="748"/>
    <d v="2025-11-01T00:00:00"/>
    <d v="2024-04-11T00:00:00"/>
    <x v="806"/>
    <s v="New York"/>
    <x v="0"/>
    <x v="0"/>
  </r>
  <r>
    <x v="812"/>
    <x v="805"/>
    <x v="6"/>
    <x v="1"/>
    <x v="0"/>
    <x v="749"/>
    <d v="2025-05-05T00:00:00"/>
    <d v="2022-11-02T00:00:00"/>
    <x v="807"/>
    <s v="Berlin"/>
    <x v="0"/>
    <x v="0"/>
  </r>
  <r>
    <x v="813"/>
    <x v="806"/>
    <x v="3"/>
    <x v="4"/>
    <x v="0"/>
    <x v="547"/>
    <d v="2026-01-31T00:00:00"/>
    <d v="2017-08-04T00:00:00"/>
    <x v="808"/>
    <s v="Bangalore"/>
    <x v="4"/>
    <x v="0"/>
  </r>
  <r>
    <x v="814"/>
    <x v="807"/>
    <x v="5"/>
    <x v="1"/>
    <x v="0"/>
    <x v="750"/>
    <d v="2025-03-23T00:00:00"/>
    <d v="2017-10-21T00:00:00"/>
    <x v="809"/>
    <s v="Bangalore"/>
    <x v="4"/>
    <x v="0"/>
  </r>
  <r>
    <x v="815"/>
    <x v="808"/>
    <x v="2"/>
    <x v="3"/>
    <x v="0"/>
    <x v="751"/>
    <d v="2026-01-17T00:00:00"/>
    <d v="2024-03-21T00:00:00"/>
    <x v="810"/>
    <s v="New York"/>
    <x v="0"/>
    <x v="0"/>
  </r>
  <r>
    <x v="816"/>
    <x v="809"/>
    <x v="1"/>
    <x v="3"/>
    <x v="2"/>
    <x v="607"/>
    <d v="2025-07-20T00:00:00"/>
    <d v="2022-01-03T00:00:00"/>
    <x v="811"/>
    <s v="Bangalore"/>
    <x v="4"/>
    <x v="0"/>
  </r>
  <r>
    <x v="817"/>
    <x v="810"/>
    <x v="3"/>
    <x v="3"/>
    <x v="0"/>
    <x v="752"/>
    <d v="2025-09-15T00:00:00"/>
    <d v="2019-11-06T00:00:00"/>
    <x v="812"/>
    <s v="London"/>
    <x v="3"/>
    <x v="0"/>
  </r>
  <r>
    <x v="818"/>
    <x v="811"/>
    <x v="3"/>
    <x v="5"/>
    <x v="1"/>
    <x v="480"/>
    <d v="2025-06-14T00:00:00"/>
    <d v="2023-07-01T00:00:00"/>
    <x v="813"/>
    <s v="Bangalore"/>
    <x v="0"/>
    <x v="0"/>
  </r>
  <r>
    <x v="819"/>
    <x v="812"/>
    <x v="3"/>
    <x v="0"/>
    <x v="0"/>
    <x v="736"/>
    <d v="2025-05-23T00:00:00"/>
    <d v="2020-09-05T00:00:00"/>
    <x v="814"/>
    <s v="New York"/>
    <x v="4"/>
    <x v="1"/>
  </r>
  <r>
    <x v="820"/>
    <x v="813"/>
    <x v="4"/>
    <x v="1"/>
    <x v="1"/>
    <x v="753"/>
    <d v="2025-07-20T00:00:00"/>
    <d v="2023-07-21T00:00:00"/>
    <x v="815"/>
    <s v="Singapore"/>
    <x v="1"/>
    <x v="1"/>
  </r>
  <r>
    <x v="821"/>
    <x v="814"/>
    <x v="4"/>
    <x v="5"/>
    <x v="1"/>
    <x v="754"/>
    <d v="2026-02-15T00:00:00"/>
    <d v="2021-11-02T00:00:00"/>
    <x v="816"/>
    <s v="Toronto"/>
    <x v="1"/>
    <x v="1"/>
  </r>
  <r>
    <x v="822"/>
    <x v="815"/>
    <x v="0"/>
    <x v="3"/>
    <x v="1"/>
    <x v="755"/>
    <d v="2025-10-28T00:00:00"/>
    <d v="2016-11-27T00:00:00"/>
    <x v="817"/>
    <s v="Bangalore"/>
    <x v="4"/>
    <x v="0"/>
  </r>
  <r>
    <x v="823"/>
    <x v="816"/>
    <x v="0"/>
    <x v="5"/>
    <x v="3"/>
    <x v="756"/>
    <d v="2025-07-27T00:00:00"/>
    <d v="2020-04-18T00:00:00"/>
    <x v="818"/>
    <s v="Berlin"/>
    <x v="3"/>
    <x v="1"/>
  </r>
  <r>
    <x v="824"/>
    <x v="817"/>
    <x v="5"/>
    <x v="0"/>
    <x v="0"/>
    <x v="10"/>
    <d v="2025-04-07T00:00:00"/>
    <d v="2021-01-02T00:00:00"/>
    <x v="819"/>
    <s v="Sydney"/>
    <x v="1"/>
    <x v="1"/>
  </r>
  <r>
    <x v="825"/>
    <x v="818"/>
    <x v="1"/>
    <x v="0"/>
    <x v="0"/>
    <x v="757"/>
    <d v="2025-12-31T00:00:00"/>
    <d v="2019-04-06T00:00:00"/>
    <x v="820"/>
    <s v="London"/>
    <x v="0"/>
    <x v="0"/>
  </r>
  <r>
    <x v="826"/>
    <x v="819"/>
    <x v="5"/>
    <x v="4"/>
    <x v="0"/>
    <x v="758"/>
    <d v="2025-06-07T00:00:00"/>
    <d v="2020-01-12T00:00:00"/>
    <x v="821"/>
    <s v="London"/>
    <x v="0"/>
    <x v="0"/>
  </r>
  <r>
    <x v="827"/>
    <x v="820"/>
    <x v="5"/>
    <x v="4"/>
    <x v="1"/>
    <x v="759"/>
    <d v="2026-02-02T00:00:00"/>
    <d v="2022-10-20T00:00:00"/>
    <x v="822"/>
    <s v="Toronto"/>
    <x v="3"/>
    <x v="0"/>
  </r>
  <r>
    <x v="828"/>
    <x v="821"/>
    <x v="5"/>
    <x v="5"/>
    <x v="1"/>
    <x v="760"/>
    <d v="2025-09-02T00:00:00"/>
    <d v="2024-07-19T00:00:00"/>
    <x v="823"/>
    <s v="Berlin"/>
    <x v="0"/>
    <x v="1"/>
  </r>
  <r>
    <x v="829"/>
    <x v="822"/>
    <x v="6"/>
    <x v="1"/>
    <x v="1"/>
    <x v="761"/>
    <d v="2025-12-21T00:00:00"/>
    <d v="2021-09-05T00:00:00"/>
    <x v="824"/>
    <s v="Berlin"/>
    <x v="2"/>
    <x v="1"/>
  </r>
  <r>
    <x v="830"/>
    <x v="823"/>
    <x v="5"/>
    <x v="1"/>
    <x v="3"/>
    <x v="762"/>
    <d v="2025-03-12T00:00:00"/>
    <d v="2018-08-01T00:00:00"/>
    <x v="825"/>
    <s v="New York"/>
    <x v="3"/>
    <x v="1"/>
  </r>
  <r>
    <x v="831"/>
    <x v="824"/>
    <x v="2"/>
    <x v="1"/>
    <x v="1"/>
    <x v="601"/>
    <d v="2025-10-18T00:00:00"/>
    <d v="2016-07-01T00:00:00"/>
    <x v="826"/>
    <s v="New York"/>
    <x v="4"/>
    <x v="0"/>
  </r>
  <r>
    <x v="832"/>
    <x v="825"/>
    <x v="1"/>
    <x v="5"/>
    <x v="0"/>
    <x v="763"/>
    <d v="2025-12-22T00:00:00"/>
    <d v="2019-10-09T00:00:00"/>
    <x v="827"/>
    <s v="Sydney"/>
    <x v="0"/>
    <x v="0"/>
  </r>
  <r>
    <x v="833"/>
    <x v="826"/>
    <x v="6"/>
    <x v="5"/>
    <x v="0"/>
    <x v="764"/>
    <d v="2025-05-16T00:00:00"/>
    <d v="2023-10-15T00:00:00"/>
    <x v="828"/>
    <s v="Sydney"/>
    <x v="4"/>
    <x v="1"/>
  </r>
  <r>
    <x v="834"/>
    <x v="827"/>
    <x v="4"/>
    <x v="3"/>
    <x v="0"/>
    <x v="765"/>
    <d v="2026-01-22T00:00:00"/>
    <d v="2022-01-08T00:00:00"/>
    <x v="829"/>
    <s v="London"/>
    <x v="0"/>
    <x v="0"/>
  </r>
  <r>
    <x v="835"/>
    <x v="828"/>
    <x v="6"/>
    <x v="2"/>
    <x v="1"/>
    <x v="766"/>
    <d v="2026-01-06T00:00:00"/>
    <d v="2018-02-14T00:00:00"/>
    <x v="830"/>
    <s v="Toronto"/>
    <x v="3"/>
    <x v="1"/>
  </r>
  <r>
    <x v="836"/>
    <x v="829"/>
    <x v="5"/>
    <x v="4"/>
    <x v="3"/>
    <x v="767"/>
    <d v="2025-09-13T00:00:00"/>
    <d v="2022-08-09T00:00:00"/>
    <x v="831"/>
    <s v="Toronto"/>
    <x v="2"/>
    <x v="1"/>
  </r>
  <r>
    <x v="837"/>
    <x v="830"/>
    <x v="5"/>
    <x v="1"/>
    <x v="0"/>
    <x v="768"/>
    <d v="2025-12-10T00:00:00"/>
    <d v="2016-07-18T00:00:00"/>
    <x v="832"/>
    <s v="London"/>
    <x v="1"/>
    <x v="1"/>
  </r>
  <r>
    <x v="838"/>
    <x v="831"/>
    <x v="0"/>
    <x v="2"/>
    <x v="0"/>
    <x v="769"/>
    <d v="2025-09-22T00:00:00"/>
    <d v="2023-11-29T00:00:00"/>
    <x v="833"/>
    <s v="New York"/>
    <x v="0"/>
    <x v="1"/>
  </r>
  <r>
    <x v="839"/>
    <x v="832"/>
    <x v="3"/>
    <x v="0"/>
    <x v="3"/>
    <x v="770"/>
    <d v="2025-10-13T00:00:00"/>
    <d v="2024-04-18T00:00:00"/>
    <x v="834"/>
    <s v="Bangalore"/>
    <x v="0"/>
    <x v="0"/>
  </r>
  <r>
    <x v="840"/>
    <x v="833"/>
    <x v="2"/>
    <x v="0"/>
    <x v="1"/>
    <x v="771"/>
    <d v="2025-12-10T00:00:00"/>
    <d v="2022-07-18T00:00:00"/>
    <x v="835"/>
    <s v="Toronto"/>
    <x v="4"/>
    <x v="1"/>
  </r>
  <r>
    <x v="841"/>
    <x v="834"/>
    <x v="0"/>
    <x v="4"/>
    <x v="2"/>
    <x v="772"/>
    <d v="2025-05-26T00:00:00"/>
    <d v="2024-06-11T00:00:00"/>
    <x v="836"/>
    <s v="Bangalore"/>
    <x v="0"/>
    <x v="0"/>
  </r>
  <r>
    <x v="842"/>
    <x v="835"/>
    <x v="4"/>
    <x v="0"/>
    <x v="0"/>
    <x v="773"/>
    <d v="2025-10-28T00:00:00"/>
    <d v="2021-01-30T00:00:00"/>
    <x v="837"/>
    <s v="London"/>
    <x v="3"/>
    <x v="1"/>
  </r>
  <r>
    <x v="843"/>
    <x v="836"/>
    <x v="5"/>
    <x v="3"/>
    <x v="3"/>
    <x v="774"/>
    <d v="2025-09-22T00:00:00"/>
    <d v="2022-10-25T00:00:00"/>
    <x v="838"/>
    <s v="Singapore"/>
    <x v="4"/>
    <x v="1"/>
  </r>
  <r>
    <x v="844"/>
    <x v="837"/>
    <x v="6"/>
    <x v="2"/>
    <x v="0"/>
    <x v="713"/>
    <d v="2025-08-08T00:00:00"/>
    <d v="2019-09-20T00:00:00"/>
    <x v="839"/>
    <s v="London"/>
    <x v="2"/>
    <x v="0"/>
  </r>
  <r>
    <x v="845"/>
    <x v="838"/>
    <x v="6"/>
    <x v="3"/>
    <x v="0"/>
    <x v="775"/>
    <d v="2025-09-02T00:00:00"/>
    <d v="2022-07-22T00:00:00"/>
    <x v="840"/>
    <s v="London"/>
    <x v="3"/>
    <x v="0"/>
  </r>
  <r>
    <x v="846"/>
    <x v="839"/>
    <x v="6"/>
    <x v="4"/>
    <x v="1"/>
    <x v="776"/>
    <d v="2025-04-21T00:00:00"/>
    <d v="2016-11-30T00:00:00"/>
    <x v="841"/>
    <s v="Toronto"/>
    <x v="1"/>
    <x v="1"/>
  </r>
  <r>
    <x v="847"/>
    <x v="840"/>
    <x v="4"/>
    <x v="2"/>
    <x v="2"/>
    <x v="702"/>
    <d v="2025-07-07T00:00:00"/>
    <d v="2018-09-18T00:00:00"/>
    <x v="842"/>
    <s v="London"/>
    <x v="1"/>
    <x v="0"/>
  </r>
  <r>
    <x v="848"/>
    <x v="841"/>
    <x v="1"/>
    <x v="4"/>
    <x v="1"/>
    <x v="777"/>
    <d v="2025-05-10T00:00:00"/>
    <d v="2023-05-08T00:00:00"/>
    <x v="843"/>
    <s v="Toronto"/>
    <x v="1"/>
    <x v="0"/>
  </r>
  <r>
    <x v="849"/>
    <x v="842"/>
    <x v="1"/>
    <x v="0"/>
    <x v="3"/>
    <x v="778"/>
    <d v="2025-09-12T00:00:00"/>
    <d v="2020-03-30T00:00:00"/>
    <x v="844"/>
    <s v="New York"/>
    <x v="3"/>
    <x v="1"/>
  </r>
  <r>
    <x v="850"/>
    <x v="843"/>
    <x v="6"/>
    <x v="2"/>
    <x v="1"/>
    <x v="278"/>
    <d v="2025-02-22T00:00:00"/>
    <d v="2020-01-08T00:00:00"/>
    <x v="845"/>
    <s v="Bangalore"/>
    <x v="2"/>
    <x v="0"/>
  </r>
  <r>
    <x v="851"/>
    <x v="844"/>
    <x v="1"/>
    <x v="0"/>
    <x v="1"/>
    <x v="779"/>
    <d v="2025-08-11T00:00:00"/>
    <d v="2019-08-17T00:00:00"/>
    <x v="846"/>
    <s v="Singapore"/>
    <x v="3"/>
    <x v="0"/>
  </r>
  <r>
    <x v="852"/>
    <x v="845"/>
    <x v="0"/>
    <x v="0"/>
    <x v="0"/>
    <x v="129"/>
    <d v="2026-01-12T00:00:00"/>
    <d v="2020-02-02T00:00:00"/>
    <x v="847"/>
    <s v="Sydney"/>
    <x v="4"/>
    <x v="0"/>
  </r>
  <r>
    <x v="853"/>
    <x v="846"/>
    <x v="5"/>
    <x v="0"/>
    <x v="2"/>
    <x v="780"/>
    <d v="2025-08-11T00:00:00"/>
    <d v="2022-10-28T00:00:00"/>
    <x v="848"/>
    <s v="Berlin"/>
    <x v="4"/>
    <x v="0"/>
  </r>
  <r>
    <x v="854"/>
    <x v="847"/>
    <x v="4"/>
    <x v="2"/>
    <x v="3"/>
    <x v="727"/>
    <d v="2025-11-04T00:00:00"/>
    <d v="2020-09-12T00:00:00"/>
    <x v="849"/>
    <s v="Singapore"/>
    <x v="3"/>
    <x v="0"/>
  </r>
  <r>
    <x v="855"/>
    <x v="848"/>
    <x v="0"/>
    <x v="4"/>
    <x v="1"/>
    <x v="781"/>
    <d v="2025-03-21T00:00:00"/>
    <d v="2018-10-10T00:00:00"/>
    <x v="850"/>
    <s v="Toronto"/>
    <x v="1"/>
    <x v="1"/>
  </r>
  <r>
    <x v="856"/>
    <x v="849"/>
    <x v="5"/>
    <x v="0"/>
    <x v="2"/>
    <x v="782"/>
    <d v="2025-05-24T00:00:00"/>
    <d v="2019-12-14T00:00:00"/>
    <x v="851"/>
    <s v="Berlin"/>
    <x v="3"/>
    <x v="1"/>
  </r>
  <r>
    <x v="857"/>
    <x v="850"/>
    <x v="2"/>
    <x v="0"/>
    <x v="3"/>
    <x v="783"/>
    <d v="2025-07-06T00:00:00"/>
    <d v="2020-05-25T00:00:00"/>
    <x v="852"/>
    <s v="Toronto"/>
    <x v="4"/>
    <x v="1"/>
  </r>
  <r>
    <x v="858"/>
    <x v="851"/>
    <x v="6"/>
    <x v="1"/>
    <x v="3"/>
    <x v="784"/>
    <d v="2025-10-27T00:00:00"/>
    <d v="2022-03-09T00:00:00"/>
    <x v="853"/>
    <s v="Berlin"/>
    <x v="2"/>
    <x v="0"/>
  </r>
  <r>
    <x v="859"/>
    <x v="852"/>
    <x v="5"/>
    <x v="4"/>
    <x v="2"/>
    <x v="785"/>
    <d v="2026-01-22T00:00:00"/>
    <d v="2016-01-31T00:00:00"/>
    <x v="854"/>
    <s v="Bangalore"/>
    <x v="3"/>
    <x v="1"/>
  </r>
  <r>
    <x v="860"/>
    <x v="853"/>
    <x v="4"/>
    <x v="2"/>
    <x v="3"/>
    <x v="147"/>
    <d v="2025-06-23T00:00:00"/>
    <d v="2019-12-27T00:00:00"/>
    <x v="855"/>
    <s v="Bangalore"/>
    <x v="2"/>
    <x v="1"/>
  </r>
  <r>
    <x v="861"/>
    <x v="854"/>
    <x v="1"/>
    <x v="4"/>
    <x v="1"/>
    <x v="786"/>
    <d v="2026-01-29T00:00:00"/>
    <d v="2016-06-21T00:00:00"/>
    <x v="856"/>
    <s v="London"/>
    <x v="0"/>
    <x v="0"/>
  </r>
  <r>
    <x v="862"/>
    <x v="855"/>
    <x v="5"/>
    <x v="0"/>
    <x v="1"/>
    <x v="787"/>
    <d v="2025-04-23T00:00:00"/>
    <d v="2023-11-15T00:00:00"/>
    <x v="857"/>
    <s v="Bangalore"/>
    <x v="4"/>
    <x v="0"/>
  </r>
  <r>
    <x v="863"/>
    <x v="856"/>
    <x v="4"/>
    <x v="4"/>
    <x v="3"/>
    <x v="788"/>
    <d v="2026-01-13T00:00:00"/>
    <d v="2023-09-15T00:00:00"/>
    <x v="858"/>
    <s v="New York"/>
    <x v="1"/>
    <x v="1"/>
  </r>
  <r>
    <x v="864"/>
    <x v="857"/>
    <x v="3"/>
    <x v="2"/>
    <x v="1"/>
    <x v="323"/>
    <d v="2025-08-23T00:00:00"/>
    <d v="2018-06-26T00:00:00"/>
    <x v="859"/>
    <s v="Berlin"/>
    <x v="0"/>
    <x v="0"/>
  </r>
  <r>
    <x v="865"/>
    <x v="858"/>
    <x v="5"/>
    <x v="1"/>
    <x v="2"/>
    <x v="789"/>
    <d v="2025-02-18T00:00:00"/>
    <d v="2023-12-15T00:00:00"/>
    <x v="860"/>
    <s v="Sydney"/>
    <x v="4"/>
    <x v="1"/>
  </r>
  <r>
    <x v="866"/>
    <x v="859"/>
    <x v="1"/>
    <x v="5"/>
    <x v="3"/>
    <x v="436"/>
    <d v="2026-01-19T00:00:00"/>
    <d v="2024-05-31T00:00:00"/>
    <x v="861"/>
    <s v="New York"/>
    <x v="3"/>
    <x v="1"/>
  </r>
  <r>
    <x v="867"/>
    <x v="860"/>
    <x v="5"/>
    <x v="3"/>
    <x v="2"/>
    <x v="790"/>
    <d v="2025-03-28T00:00:00"/>
    <d v="2019-12-09T00:00:00"/>
    <x v="862"/>
    <s v="Bangalore"/>
    <x v="4"/>
    <x v="0"/>
  </r>
  <r>
    <x v="868"/>
    <x v="861"/>
    <x v="3"/>
    <x v="4"/>
    <x v="2"/>
    <x v="673"/>
    <d v="2025-05-06T00:00:00"/>
    <d v="2023-10-23T00:00:00"/>
    <x v="863"/>
    <s v="Berlin"/>
    <x v="4"/>
    <x v="1"/>
  </r>
  <r>
    <x v="869"/>
    <x v="862"/>
    <x v="1"/>
    <x v="0"/>
    <x v="1"/>
    <x v="791"/>
    <d v="2025-08-16T00:00:00"/>
    <d v="2016-05-31T00:00:00"/>
    <x v="864"/>
    <s v="London"/>
    <x v="3"/>
    <x v="1"/>
  </r>
  <r>
    <x v="870"/>
    <x v="863"/>
    <x v="5"/>
    <x v="3"/>
    <x v="0"/>
    <x v="792"/>
    <d v="2025-05-21T00:00:00"/>
    <d v="2023-08-01T00:00:00"/>
    <x v="865"/>
    <s v="New York"/>
    <x v="0"/>
    <x v="1"/>
  </r>
  <r>
    <x v="871"/>
    <x v="864"/>
    <x v="5"/>
    <x v="4"/>
    <x v="1"/>
    <x v="649"/>
    <d v="2025-04-04T00:00:00"/>
    <d v="2022-01-06T00:00:00"/>
    <x v="866"/>
    <s v="Bangalore"/>
    <x v="2"/>
    <x v="1"/>
  </r>
  <r>
    <x v="872"/>
    <x v="865"/>
    <x v="6"/>
    <x v="0"/>
    <x v="3"/>
    <x v="793"/>
    <d v="2025-08-14T00:00:00"/>
    <d v="2020-04-11T00:00:00"/>
    <x v="867"/>
    <s v="New York"/>
    <x v="4"/>
    <x v="1"/>
  </r>
  <r>
    <x v="873"/>
    <x v="103"/>
    <x v="2"/>
    <x v="0"/>
    <x v="1"/>
    <x v="794"/>
    <d v="2026-01-06T00:00:00"/>
    <d v="2022-01-03T00:00:00"/>
    <x v="868"/>
    <s v="Bangalore"/>
    <x v="4"/>
    <x v="0"/>
  </r>
  <r>
    <x v="874"/>
    <x v="866"/>
    <x v="1"/>
    <x v="1"/>
    <x v="1"/>
    <x v="557"/>
    <d v="2026-01-28T00:00:00"/>
    <d v="2020-12-10T00:00:00"/>
    <x v="869"/>
    <s v="Toronto"/>
    <x v="4"/>
    <x v="1"/>
  </r>
  <r>
    <x v="875"/>
    <x v="867"/>
    <x v="1"/>
    <x v="1"/>
    <x v="2"/>
    <x v="795"/>
    <d v="2025-08-05T00:00:00"/>
    <d v="2018-07-07T00:00:00"/>
    <x v="870"/>
    <s v="Berlin"/>
    <x v="3"/>
    <x v="0"/>
  </r>
  <r>
    <x v="876"/>
    <x v="868"/>
    <x v="0"/>
    <x v="4"/>
    <x v="3"/>
    <x v="705"/>
    <d v="2025-11-25T00:00:00"/>
    <d v="2020-07-11T00:00:00"/>
    <x v="871"/>
    <s v="New York"/>
    <x v="3"/>
    <x v="0"/>
  </r>
  <r>
    <x v="877"/>
    <x v="869"/>
    <x v="1"/>
    <x v="0"/>
    <x v="2"/>
    <x v="796"/>
    <d v="2025-06-03T00:00:00"/>
    <d v="2024-04-24T00:00:00"/>
    <x v="872"/>
    <s v="Berlin"/>
    <x v="3"/>
    <x v="1"/>
  </r>
  <r>
    <x v="878"/>
    <x v="870"/>
    <x v="2"/>
    <x v="5"/>
    <x v="3"/>
    <x v="797"/>
    <d v="2025-03-17T00:00:00"/>
    <d v="2024-08-03T00:00:00"/>
    <x v="873"/>
    <s v="London"/>
    <x v="4"/>
    <x v="0"/>
  </r>
  <r>
    <x v="879"/>
    <x v="871"/>
    <x v="3"/>
    <x v="4"/>
    <x v="3"/>
    <x v="798"/>
    <d v="2025-06-09T00:00:00"/>
    <d v="2019-07-13T00:00:00"/>
    <x v="874"/>
    <s v="Sydney"/>
    <x v="4"/>
    <x v="0"/>
  </r>
  <r>
    <x v="880"/>
    <x v="872"/>
    <x v="6"/>
    <x v="0"/>
    <x v="0"/>
    <x v="799"/>
    <d v="2025-11-16T00:00:00"/>
    <d v="2022-04-08T00:00:00"/>
    <x v="875"/>
    <s v="Singapore"/>
    <x v="3"/>
    <x v="0"/>
  </r>
  <r>
    <x v="881"/>
    <x v="873"/>
    <x v="4"/>
    <x v="0"/>
    <x v="1"/>
    <x v="800"/>
    <d v="2025-11-16T00:00:00"/>
    <d v="2019-05-13T00:00:00"/>
    <x v="876"/>
    <s v="Toronto"/>
    <x v="2"/>
    <x v="0"/>
  </r>
  <r>
    <x v="882"/>
    <x v="874"/>
    <x v="2"/>
    <x v="3"/>
    <x v="3"/>
    <x v="801"/>
    <d v="2025-04-19T00:00:00"/>
    <d v="2023-02-05T00:00:00"/>
    <x v="877"/>
    <s v="Sydney"/>
    <x v="4"/>
    <x v="1"/>
  </r>
  <r>
    <x v="883"/>
    <x v="875"/>
    <x v="5"/>
    <x v="3"/>
    <x v="2"/>
    <x v="802"/>
    <d v="2025-04-08T00:00:00"/>
    <d v="2022-06-14T00:00:00"/>
    <x v="878"/>
    <s v="New York"/>
    <x v="0"/>
    <x v="0"/>
  </r>
  <r>
    <x v="884"/>
    <x v="876"/>
    <x v="3"/>
    <x v="4"/>
    <x v="0"/>
    <x v="803"/>
    <d v="2025-08-04T00:00:00"/>
    <d v="2017-07-13T00:00:00"/>
    <x v="879"/>
    <s v="Bangalore"/>
    <x v="2"/>
    <x v="1"/>
  </r>
  <r>
    <x v="885"/>
    <x v="877"/>
    <x v="3"/>
    <x v="0"/>
    <x v="2"/>
    <x v="804"/>
    <d v="2026-02-03T00:00:00"/>
    <d v="2021-02-08T00:00:00"/>
    <x v="880"/>
    <s v="Singapore"/>
    <x v="4"/>
    <x v="0"/>
  </r>
  <r>
    <x v="886"/>
    <x v="878"/>
    <x v="1"/>
    <x v="5"/>
    <x v="0"/>
    <x v="573"/>
    <d v="2025-12-07T00:00:00"/>
    <d v="2016-11-09T00:00:00"/>
    <x v="881"/>
    <s v="Singapore"/>
    <x v="3"/>
    <x v="0"/>
  </r>
  <r>
    <x v="887"/>
    <x v="879"/>
    <x v="4"/>
    <x v="5"/>
    <x v="3"/>
    <x v="537"/>
    <d v="2025-11-02T00:00:00"/>
    <d v="2019-08-03T00:00:00"/>
    <x v="882"/>
    <s v="Bangalore"/>
    <x v="2"/>
    <x v="1"/>
  </r>
  <r>
    <x v="888"/>
    <x v="880"/>
    <x v="2"/>
    <x v="5"/>
    <x v="2"/>
    <x v="805"/>
    <d v="2025-12-20T00:00:00"/>
    <d v="2022-10-25T00:00:00"/>
    <x v="883"/>
    <s v="Berlin"/>
    <x v="2"/>
    <x v="1"/>
  </r>
  <r>
    <x v="889"/>
    <x v="881"/>
    <x v="4"/>
    <x v="2"/>
    <x v="0"/>
    <x v="806"/>
    <d v="2025-06-23T00:00:00"/>
    <d v="2020-07-23T00:00:00"/>
    <x v="884"/>
    <s v="Bangalore"/>
    <x v="0"/>
    <x v="0"/>
  </r>
  <r>
    <x v="890"/>
    <x v="882"/>
    <x v="6"/>
    <x v="4"/>
    <x v="2"/>
    <x v="807"/>
    <d v="2025-10-22T00:00:00"/>
    <d v="2017-07-23T00:00:00"/>
    <x v="885"/>
    <s v="Berlin"/>
    <x v="3"/>
    <x v="0"/>
  </r>
  <r>
    <x v="891"/>
    <x v="883"/>
    <x v="6"/>
    <x v="3"/>
    <x v="3"/>
    <x v="808"/>
    <d v="2025-06-30T00:00:00"/>
    <d v="2020-09-16T00:00:00"/>
    <x v="886"/>
    <s v="Toronto"/>
    <x v="2"/>
    <x v="1"/>
  </r>
  <r>
    <x v="892"/>
    <x v="884"/>
    <x v="5"/>
    <x v="2"/>
    <x v="1"/>
    <x v="809"/>
    <d v="2026-01-22T00:00:00"/>
    <d v="2017-02-02T00:00:00"/>
    <x v="887"/>
    <s v="New York"/>
    <x v="2"/>
    <x v="0"/>
  </r>
  <r>
    <x v="893"/>
    <x v="885"/>
    <x v="4"/>
    <x v="5"/>
    <x v="0"/>
    <x v="810"/>
    <d v="2025-04-03T00:00:00"/>
    <d v="2022-04-21T00:00:00"/>
    <x v="888"/>
    <s v="Sydney"/>
    <x v="1"/>
    <x v="0"/>
  </r>
  <r>
    <x v="894"/>
    <x v="886"/>
    <x v="5"/>
    <x v="1"/>
    <x v="1"/>
    <x v="811"/>
    <d v="2025-11-06T00:00:00"/>
    <d v="2022-07-01T00:00:00"/>
    <x v="889"/>
    <s v="Sydney"/>
    <x v="1"/>
    <x v="0"/>
  </r>
  <r>
    <x v="895"/>
    <x v="887"/>
    <x v="3"/>
    <x v="4"/>
    <x v="2"/>
    <x v="684"/>
    <d v="2025-10-15T00:00:00"/>
    <d v="2022-03-23T00:00:00"/>
    <x v="890"/>
    <s v="Singapore"/>
    <x v="0"/>
    <x v="0"/>
  </r>
  <r>
    <x v="896"/>
    <x v="888"/>
    <x v="3"/>
    <x v="1"/>
    <x v="1"/>
    <x v="812"/>
    <d v="2025-04-11T00:00:00"/>
    <d v="2016-03-13T00:00:00"/>
    <x v="891"/>
    <s v="Bangalore"/>
    <x v="3"/>
    <x v="0"/>
  </r>
  <r>
    <x v="897"/>
    <x v="889"/>
    <x v="3"/>
    <x v="0"/>
    <x v="2"/>
    <x v="521"/>
    <d v="2025-11-05T00:00:00"/>
    <d v="2021-03-18T00:00:00"/>
    <x v="892"/>
    <s v="Toronto"/>
    <x v="4"/>
    <x v="1"/>
  </r>
  <r>
    <x v="898"/>
    <x v="890"/>
    <x v="3"/>
    <x v="5"/>
    <x v="1"/>
    <x v="813"/>
    <d v="2025-03-28T00:00:00"/>
    <d v="2022-02-21T00:00:00"/>
    <x v="893"/>
    <s v="Singapore"/>
    <x v="3"/>
    <x v="1"/>
  </r>
  <r>
    <x v="899"/>
    <x v="891"/>
    <x v="6"/>
    <x v="3"/>
    <x v="2"/>
    <x v="814"/>
    <d v="2025-03-19T00:00:00"/>
    <d v="2020-12-26T00:00:00"/>
    <x v="894"/>
    <s v="Bangalore"/>
    <x v="3"/>
    <x v="1"/>
  </r>
  <r>
    <x v="900"/>
    <x v="892"/>
    <x v="2"/>
    <x v="0"/>
    <x v="2"/>
    <x v="815"/>
    <d v="2025-08-10T00:00:00"/>
    <d v="2021-03-20T00:00:00"/>
    <x v="895"/>
    <s v="Berlin"/>
    <x v="1"/>
    <x v="1"/>
  </r>
  <r>
    <x v="901"/>
    <x v="893"/>
    <x v="2"/>
    <x v="0"/>
    <x v="2"/>
    <x v="115"/>
    <d v="2025-10-26T00:00:00"/>
    <d v="2017-10-28T00:00:00"/>
    <x v="896"/>
    <s v="Bangalore"/>
    <x v="2"/>
    <x v="1"/>
  </r>
  <r>
    <x v="902"/>
    <x v="894"/>
    <x v="5"/>
    <x v="0"/>
    <x v="2"/>
    <x v="816"/>
    <d v="2025-07-17T00:00:00"/>
    <d v="2023-02-12T00:00:00"/>
    <x v="897"/>
    <s v="Berlin"/>
    <x v="4"/>
    <x v="1"/>
  </r>
  <r>
    <x v="903"/>
    <x v="895"/>
    <x v="2"/>
    <x v="5"/>
    <x v="2"/>
    <x v="817"/>
    <d v="2025-12-28T00:00:00"/>
    <d v="2023-04-29T00:00:00"/>
    <x v="898"/>
    <s v="London"/>
    <x v="3"/>
    <x v="0"/>
  </r>
  <r>
    <x v="904"/>
    <x v="896"/>
    <x v="5"/>
    <x v="4"/>
    <x v="2"/>
    <x v="818"/>
    <d v="2025-10-22T00:00:00"/>
    <d v="2018-09-01T00:00:00"/>
    <x v="899"/>
    <s v="Berlin"/>
    <x v="3"/>
    <x v="1"/>
  </r>
  <r>
    <x v="905"/>
    <x v="897"/>
    <x v="4"/>
    <x v="3"/>
    <x v="3"/>
    <x v="819"/>
    <d v="2025-03-10T00:00:00"/>
    <d v="2021-03-18T00:00:00"/>
    <x v="900"/>
    <s v="Toronto"/>
    <x v="1"/>
    <x v="1"/>
  </r>
  <r>
    <x v="906"/>
    <x v="898"/>
    <x v="0"/>
    <x v="2"/>
    <x v="0"/>
    <x v="820"/>
    <d v="2025-11-28T00:00:00"/>
    <d v="2024-06-06T00:00:00"/>
    <x v="901"/>
    <s v="London"/>
    <x v="4"/>
    <x v="1"/>
  </r>
  <r>
    <x v="907"/>
    <x v="899"/>
    <x v="4"/>
    <x v="5"/>
    <x v="0"/>
    <x v="821"/>
    <d v="2025-06-20T00:00:00"/>
    <d v="2021-12-09T00:00:00"/>
    <x v="902"/>
    <s v="Sydney"/>
    <x v="3"/>
    <x v="0"/>
  </r>
  <r>
    <x v="908"/>
    <x v="900"/>
    <x v="5"/>
    <x v="0"/>
    <x v="0"/>
    <x v="519"/>
    <d v="2025-12-09T00:00:00"/>
    <d v="2016-08-16T00:00:00"/>
    <x v="903"/>
    <s v="London"/>
    <x v="0"/>
    <x v="1"/>
  </r>
  <r>
    <x v="909"/>
    <x v="901"/>
    <x v="6"/>
    <x v="1"/>
    <x v="1"/>
    <x v="822"/>
    <d v="2025-11-30T00:00:00"/>
    <d v="2023-07-28T00:00:00"/>
    <x v="904"/>
    <s v="Singapore"/>
    <x v="4"/>
    <x v="1"/>
  </r>
  <r>
    <x v="910"/>
    <x v="902"/>
    <x v="3"/>
    <x v="1"/>
    <x v="1"/>
    <x v="823"/>
    <d v="2025-06-03T00:00:00"/>
    <d v="2022-03-09T00:00:00"/>
    <x v="905"/>
    <s v="London"/>
    <x v="1"/>
    <x v="1"/>
  </r>
  <r>
    <x v="911"/>
    <x v="903"/>
    <x v="4"/>
    <x v="3"/>
    <x v="2"/>
    <x v="824"/>
    <d v="2025-10-26T00:00:00"/>
    <d v="2021-07-06T00:00:00"/>
    <x v="906"/>
    <s v="Toronto"/>
    <x v="2"/>
    <x v="1"/>
  </r>
  <r>
    <x v="912"/>
    <x v="904"/>
    <x v="5"/>
    <x v="4"/>
    <x v="3"/>
    <x v="825"/>
    <d v="2025-10-18T00:00:00"/>
    <d v="2021-04-03T00:00:00"/>
    <x v="907"/>
    <s v="New York"/>
    <x v="0"/>
    <x v="1"/>
  </r>
  <r>
    <x v="913"/>
    <x v="905"/>
    <x v="3"/>
    <x v="1"/>
    <x v="3"/>
    <x v="826"/>
    <d v="2025-08-20T00:00:00"/>
    <d v="2021-02-23T00:00:00"/>
    <x v="908"/>
    <s v="Singapore"/>
    <x v="1"/>
    <x v="0"/>
  </r>
  <r>
    <x v="914"/>
    <x v="906"/>
    <x v="1"/>
    <x v="3"/>
    <x v="0"/>
    <x v="432"/>
    <d v="2025-03-18T00:00:00"/>
    <d v="2015-11-08T00:00:00"/>
    <x v="909"/>
    <s v="Singapore"/>
    <x v="0"/>
    <x v="0"/>
  </r>
  <r>
    <x v="915"/>
    <x v="907"/>
    <x v="5"/>
    <x v="4"/>
    <x v="1"/>
    <x v="827"/>
    <d v="2025-11-27T00:00:00"/>
    <d v="2023-01-20T00:00:00"/>
    <x v="910"/>
    <s v="Berlin"/>
    <x v="3"/>
    <x v="0"/>
  </r>
  <r>
    <x v="916"/>
    <x v="908"/>
    <x v="5"/>
    <x v="1"/>
    <x v="3"/>
    <x v="828"/>
    <d v="2026-01-23T00:00:00"/>
    <d v="2021-08-08T00:00:00"/>
    <x v="911"/>
    <s v="Toronto"/>
    <x v="1"/>
    <x v="1"/>
  </r>
  <r>
    <x v="917"/>
    <x v="909"/>
    <x v="4"/>
    <x v="2"/>
    <x v="1"/>
    <x v="829"/>
    <d v="2025-06-03T00:00:00"/>
    <d v="2021-07-24T00:00:00"/>
    <x v="912"/>
    <s v="Toronto"/>
    <x v="0"/>
    <x v="1"/>
  </r>
  <r>
    <x v="918"/>
    <x v="910"/>
    <x v="5"/>
    <x v="3"/>
    <x v="0"/>
    <x v="830"/>
    <d v="2025-11-04T00:00:00"/>
    <d v="2020-11-29T00:00:00"/>
    <x v="913"/>
    <s v="Toronto"/>
    <x v="4"/>
    <x v="0"/>
  </r>
  <r>
    <x v="919"/>
    <x v="911"/>
    <x v="5"/>
    <x v="2"/>
    <x v="3"/>
    <x v="656"/>
    <d v="2025-07-20T00:00:00"/>
    <d v="2017-03-27T00:00:00"/>
    <x v="914"/>
    <s v="Berlin"/>
    <x v="2"/>
    <x v="0"/>
  </r>
  <r>
    <x v="920"/>
    <x v="912"/>
    <x v="4"/>
    <x v="2"/>
    <x v="2"/>
    <x v="831"/>
    <d v="2025-11-11T00:00:00"/>
    <d v="2018-05-11T00:00:00"/>
    <x v="915"/>
    <s v="Singapore"/>
    <x v="4"/>
    <x v="0"/>
  </r>
  <r>
    <x v="921"/>
    <x v="913"/>
    <x v="0"/>
    <x v="0"/>
    <x v="3"/>
    <x v="832"/>
    <d v="2025-12-26T00:00:00"/>
    <d v="2018-08-12T00:00:00"/>
    <x v="916"/>
    <s v="Sydney"/>
    <x v="2"/>
    <x v="1"/>
  </r>
  <r>
    <x v="922"/>
    <x v="914"/>
    <x v="1"/>
    <x v="1"/>
    <x v="0"/>
    <x v="833"/>
    <d v="2025-07-19T00:00:00"/>
    <d v="2020-08-06T00:00:00"/>
    <x v="917"/>
    <s v="Sydney"/>
    <x v="2"/>
    <x v="0"/>
  </r>
  <r>
    <x v="923"/>
    <x v="915"/>
    <x v="2"/>
    <x v="1"/>
    <x v="0"/>
    <x v="428"/>
    <d v="2025-03-18T00:00:00"/>
    <d v="2022-01-29T00:00:00"/>
    <x v="918"/>
    <s v="Berlin"/>
    <x v="2"/>
    <x v="1"/>
  </r>
  <r>
    <x v="924"/>
    <x v="916"/>
    <x v="3"/>
    <x v="3"/>
    <x v="0"/>
    <x v="196"/>
    <d v="2025-12-21T00:00:00"/>
    <d v="2024-03-15T00:00:00"/>
    <x v="919"/>
    <s v="Sydney"/>
    <x v="4"/>
    <x v="1"/>
  </r>
  <r>
    <x v="925"/>
    <x v="917"/>
    <x v="4"/>
    <x v="4"/>
    <x v="1"/>
    <x v="834"/>
    <d v="2025-06-27T00:00:00"/>
    <d v="2018-08-09T00:00:00"/>
    <x v="920"/>
    <s v="Bangalore"/>
    <x v="2"/>
    <x v="0"/>
  </r>
  <r>
    <x v="926"/>
    <x v="918"/>
    <x v="3"/>
    <x v="2"/>
    <x v="0"/>
    <x v="835"/>
    <d v="2025-12-11T00:00:00"/>
    <d v="2022-03-13T00:00:00"/>
    <x v="921"/>
    <s v="New York"/>
    <x v="2"/>
    <x v="0"/>
  </r>
  <r>
    <x v="927"/>
    <x v="919"/>
    <x v="2"/>
    <x v="4"/>
    <x v="3"/>
    <x v="112"/>
    <d v="2025-08-07T00:00:00"/>
    <d v="2021-05-08T00:00:00"/>
    <x v="922"/>
    <s v="Bangalore"/>
    <x v="2"/>
    <x v="0"/>
  </r>
  <r>
    <x v="928"/>
    <x v="920"/>
    <x v="2"/>
    <x v="5"/>
    <x v="2"/>
    <x v="836"/>
    <d v="2025-12-31T00:00:00"/>
    <d v="2023-09-10T00:00:00"/>
    <x v="225"/>
    <s v="New York"/>
    <x v="0"/>
    <x v="1"/>
  </r>
  <r>
    <x v="929"/>
    <x v="921"/>
    <x v="3"/>
    <x v="2"/>
    <x v="1"/>
    <x v="837"/>
    <d v="2025-12-25T00:00:00"/>
    <d v="2016-11-12T00:00:00"/>
    <x v="923"/>
    <s v="Toronto"/>
    <x v="3"/>
    <x v="0"/>
  </r>
  <r>
    <x v="930"/>
    <x v="922"/>
    <x v="3"/>
    <x v="2"/>
    <x v="3"/>
    <x v="460"/>
    <d v="2025-05-22T00:00:00"/>
    <d v="2019-12-13T00:00:00"/>
    <x v="924"/>
    <s v="Berlin"/>
    <x v="3"/>
    <x v="0"/>
  </r>
  <r>
    <x v="931"/>
    <x v="923"/>
    <x v="0"/>
    <x v="0"/>
    <x v="0"/>
    <x v="838"/>
    <d v="2025-06-20T00:00:00"/>
    <d v="2016-01-19T00:00:00"/>
    <x v="925"/>
    <s v="Singapore"/>
    <x v="2"/>
    <x v="0"/>
  </r>
  <r>
    <x v="932"/>
    <x v="924"/>
    <x v="3"/>
    <x v="1"/>
    <x v="1"/>
    <x v="839"/>
    <d v="2025-03-08T00:00:00"/>
    <d v="2018-12-10T00:00:00"/>
    <x v="926"/>
    <s v="New York"/>
    <x v="0"/>
    <x v="1"/>
  </r>
  <r>
    <x v="933"/>
    <x v="925"/>
    <x v="4"/>
    <x v="3"/>
    <x v="0"/>
    <x v="840"/>
    <d v="2025-08-31T00:00:00"/>
    <d v="2015-08-31T00:00:00"/>
    <x v="927"/>
    <s v="Singapore"/>
    <x v="2"/>
    <x v="1"/>
  </r>
  <r>
    <x v="934"/>
    <x v="926"/>
    <x v="4"/>
    <x v="3"/>
    <x v="0"/>
    <x v="841"/>
    <d v="2025-08-05T00:00:00"/>
    <d v="2018-07-11T00:00:00"/>
    <x v="928"/>
    <s v="Berlin"/>
    <x v="0"/>
    <x v="0"/>
  </r>
  <r>
    <x v="935"/>
    <x v="927"/>
    <x v="4"/>
    <x v="4"/>
    <x v="1"/>
    <x v="842"/>
    <d v="2025-02-18T00:00:00"/>
    <d v="2020-03-28T00:00:00"/>
    <x v="929"/>
    <s v="Bangalore"/>
    <x v="1"/>
    <x v="1"/>
  </r>
  <r>
    <x v="936"/>
    <x v="928"/>
    <x v="5"/>
    <x v="1"/>
    <x v="1"/>
    <x v="843"/>
    <d v="2026-02-07T00:00:00"/>
    <d v="2021-03-02T00:00:00"/>
    <x v="930"/>
    <s v="London"/>
    <x v="4"/>
    <x v="1"/>
  </r>
  <r>
    <x v="937"/>
    <x v="929"/>
    <x v="4"/>
    <x v="0"/>
    <x v="1"/>
    <x v="395"/>
    <d v="2026-01-29T00:00:00"/>
    <d v="2021-12-01T00:00:00"/>
    <x v="931"/>
    <s v="Toronto"/>
    <x v="2"/>
    <x v="1"/>
  </r>
  <r>
    <x v="938"/>
    <x v="930"/>
    <x v="6"/>
    <x v="2"/>
    <x v="1"/>
    <x v="844"/>
    <d v="2025-06-13T00:00:00"/>
    <d v="2019-02-06T00:00:00"/>
    <x v="932"/>
    <s v="Berlin"/>
    <x v="3"/>
    <x v="1"/>
  </r>
  <r>
    <x v="939"/>
    <x v="931"/>
    <x v="0"/>
    <x v="1"/>
    <x v="2"/>
    <x v="845"/>
    <d v="2025-05-13T00:00:00"/>
    <d v="2022-11-01T00:00:00"/>
    <x v="933"/>
    <s v="Sydney"/>
    <x v="3"/>
    <x v="1"/>
  </r>
  <r>
    <x v="940"/>
    <x v="932"/>
    <x v="4"/>
    <x v="3"/>
    <x v="1"/>
    <x v="846"/>
    <d v="2025-07-21T00:00:00"/>
    <d v="2019-10-14T00:00:00"/>
    <x v="934"/>
    <s v="New York"/>
    <x v="3"/>
    <x v="0"/>
  </r>
  <r>
    <x v="941"/>
    <x v="933"/>
    <x v="3"/>
    <x v="0"/>
    <x v="1"/>
    <x v="847"/>
    <d v="2025-06-15T00:00:00"/>
    <d v="2018-08-26T00:00:00"/>
    <x v="935"/>
    <s v="London"/>
    <x v="4"/>
    <x v="0"/>
  </r>
  <r>
    <x v="942"/>
    <x v="117"/>
    <x v="2"/>
    <x v="0"/>
    <x v="3"/>
    <x v="848"/>
    <d v="2025-04-20T00:00:00"/>
    <d v="2021-08-27T00:00:00"/>
    <x v="936"/>
    <s v="Sydney"/>
    <x v="3"/>
    <x v="0"/>
  </r>
  <r>
    <x v="943"/>
    <x v="934"/>
    <x v="2"/>
    <x v="4"/>
    <x v="2"/>
    <x v="849"/>
    <d v="2025-05-02T00:00:00"/>
    <d v="2020-12-03T00:00:00"/>
    <x v="937"/>
    <s v="London"/>
    <x v="2"/>
    <x v="0"/>
  </r>
  <r>
    <x v="944"/>
    <x v="935"/>
    <x v="6"/>
    <x v="5"/>
    <x v="1"/>
    <x v="674"/>
    <d v="2025-02-24T00:00:00"/>
    <d v="2020-05-04T00:00:00"/>
    <x v="938"/>
    <s v="Bangalore"/>
    <x v="2"/>
    <x v="0"/>
  </r>
  <r>
    <x v="945"/>
    <x v="936"/>
    <x v="6"/>
    <x v="2"/>
    <x v="2"/>
    <x v="850"/>
    <d v="2026-01-19T00:00:00"/>
    <d v="2021-06-10T00:00:00"/>
    <x v="939"/>
    <s v="Singapore"/>
    <x v="4"/>
    <x v="0"/>
  </r>
  <r>
    <x v="946"/>
    <x v="937"/>
    <x v="5"/>
    <x v="4"/>
    <x v="3"/>
    <x v="851"/>
    <d v="2025-08-19T00:00:00"/>
    <d v="2024-07-27T00:00:00"/>
    <x v="940"/>
    <s v="Berlin"/>
    <x v="3"/>
    <x v="1"/>
  </r>
  <r>
    <x v="947"/>
    <x v="938"/>
    <x v="4"/>
    <x v="5"/>
    <x v="1"/>
    <x v="407"/>
    <d v="2025-07-27T00:00:00"/>
    <d v="2022-05-07T00:00:00"/>
    <x v="941"/>
    <s v="London"/>
    <x v="0"/>
    <x v="0"/>
  </r>
  <r>
    <x v="948"/>
    <x v="939"/>
    <x v="1"/>
    <x v="0"/>
    <x v="2"/>
    <x v="852"/>
    <d v="2025-03-15T00:00:00"/>
    <d v="2020-07-09T00:00:00"/>
    <x v="942"/>
    <s v="Toronto"/>
    <x v="0"/>
    <x v="1"/>
  </r>
  <r>
    <x v="949"/>
    <x v="940"/>
    <x v="2"/>
    <x v="1"/>
    <x v="2"/>
    <x v="853"/>
    <d v="2025-05-29T00:00:00"/>
    <d v="2020-12-13T00:00:00"/>
    <x v="943"/>
    <s v="Sydney"/>
    <x v="2"/>
    <x v="1"/>
  </r>
  <r>
    <x v="950"/>
    <x v="941"/>
    <x v="0"/>
    <x v="1"/>
    <x v="3"/>
    <x v="854"/>
    <d v="2026-01-25T00:00:00"/>
    <d v="2016-05-22T00:00:00"/>
    <x v="944"/>
    <s v="Berlin"/>
    <x v="0"/>
    <x v="1"/>
  </r>
  <r>
    <x v="951"/>
    <x v="942"/>
    <x v="4"/>
    <x v="4"/>
    <x v="3"/>
    <x v="855"/>
    <d v="2026-02-08T00:00:00"/>
    <d v="2022-10-22T00:00:00"/>
    <x v="945"/>
    <s v="Berlin"/>
    <x v="1"/>
    <x v="0"/>
  </r>
  <r>
    <x v="952"/>
    <x v="943"/>
    <x v="0"/>
    <x v="4"/>
    <x v="0"/>
    <x v="856"/>
    <d v="2025-07-27T00:00:00"/>
    <d v="2019-06-05T00:00:00"/>
    <x v="946"/>
    <s v="Toronto"/>
    <x v="2"/>
    <x v="0"/>
  </r>
  <r>
    <x v="953"/>
    <x v="944"/>
    <x v="1"/>
    <x v="3"/>
    <x v="0"/>
    <x v="857"/>
    <d v="2025-11-01T00:00:00"/>
    <d v="2018-08-04T00:00:00"/>
    <x v="947"/>
    <s v="Sydney"/>
    <x v="0"/>
    <x v="1"/>
  </r>
  <r>
    <x v="954"/>
    <x v="945"/>
    <x v="1"/>
    <x v="1"/>
    <x v="2"/>
    <x v="858"/>
    <d v="2026-01-07T00:00:00"/>
    <d v="2021-02-04T00:00:00"/>
    <x v="948"/>
    <s v="Toronto"/>
    <x v="4"/>
    <x v="1"/>
  </r>
  <r>
    <x v="955"/>
    <x v="946"/>
    <x v="1"/>
    <x v="0"/>
    <x v="1"/>
    <x v="859"/>
    <d v="2026-01-05T00:00:00"/>
    <d v="2019-07-15T00:00:00"/>
    <x v="949"/>
    <s v="Bangalore"/>
    <x v="0"/>
    <x v="1"/>
  </r>
  <r>
    <x v="956"/>
    <x v="947"/>
    <x v="3"/>
    <x v="4"/>
    <x v="1"/>
    <x v="860"/>
    <d v="2025-10-17T00:00:00"/>
    <d v="2019-04-15T00:00:00"/>
    <x v="950"/>
    <s v="Bangalore"/>
    <x v="4"/>
    <x v="1"/>
  </r>
  <r>
    <x v="957"/>
    <x v="948"/>
    <x v="0"/>
    <x v="2"/>
    <x v="1"/>
    <x v="861"/>
    <d v="2025-12-25T00:00:00"/>
    <d v="2019-09-02T00:00:00"/>
    <x v="951"/>
    <s v="Sydney"/>
    <x v="1"/>
    <x v="0"/>
  </r>
  <r>
    <x v="958"/>
    <x v="949"/>
    <x v="4"/>
    <x v="1"/>
    <x v="1"/>
    <x v="862"/>
    <d v="2025-10-23T00:00:00"/>
    <d v="2024-06-15T00:00:00"/>
    <x v="952"/>
    <s v="Singapore"/>
    <x v="2"/>
    <x v="1"/>
  </r>
  <r>
    <x v="959"/>
    <x v="950"/>
    <x v="0"/>
    <x v="2"/>
    <x v="1"/>
    <x v="863"/>
    <d v="2025-08-02T00:00:00"/>
    <d v="2021-09-29T00:00:00"/>
    <x v="953"/>
    <s v="Sydney"/>
    <x v="4"/>
    <x v="0"/>
  </r>
  <r>
    <x v="960"/>
    <x v="951"/>
    <x v="6"/>
    <x v="0"/>
    <x v="1"/>
    <x v="864"/>
    <d v="2025-03-06T00:00:00"/>
    <d v="2017-12-26T00:00:00"/>
    <x v="954"/>
    <s v="Sydney"/>
    <x v="2"/>
    <x v="1"/>
  </r>
  <r>
    <x v="961"/>
    <x v="952"/>
    <x v="4"/>
    <x v="1"/>
    <x v="1"/>
    <x v="865"/>
    <d v="2025-12-30T00:00:00"/>
    <d v="2017-05-27T00:00:00"/>
    <x v="955"/>
    <s v="Bangalore"/>
    <x v="0"/>
    <x v="0"/>
  </r>
  <r>
    <x v="962"/>
    <x v="953"/>
    <x v="0"/>
    <x v="2"/>
    <x v="2"/>
    <x v="866"/>
    <d v="2025-11-27T00:00:00"/>
    <d v="2024-06-16T00:00:00"/>
    <x v="956"/>
    <s v="London"/>
    <x v="4"/>
    <x v="1"/>
  </r>
  <r>
    <x v="963"/>
    <x v="954"/>
    <x v="1"/>
    <x v="3"/>
    <x v="1"/>
    <x v="867"/>
    <d v="2025-03-21T00:00:00"/>
    <d v="2022-05-02T00:00:00"/>
    <x v="957"/>
    <s v="New York"/>
    <x v="3"/>
    <x v="0"/>
  </r>
  <r>
    <x v="964"/>
    <x v="955"/>
    <x v="1"/>
    <x v="5"/>
    <x v="0"/>
    <x v="868"/>
    <d v="2025-10-07T00:00:00"/>
    <d v="2021-09-04T00:00:00"/>
    <x v="958"/>
    <s v="Bangalore"/>
    <x v="4"/>
    <x v="0"/>
  </r>
  <r>
    <x v="965"/>
    <x v="956"/>
    <x v="5"/>
    <x v="2"/>
    <x v="1"/>
    <x v="869"/>
    <d v="2025-10-11T00:00:00"/>
    <d v="2016-07-22T00:00:00"/>
    <x v="959"/>
    <s v="Sydney"/>
    <x v="0"/>
    <x v="0"/>
  </r>
  <r>
    <x v="966"/>
    <x v="957"/>
    <x v="5"/>
    <x v="2"/>
    <x v="3"/>
    <x v="870"/>
    <d v="2025-08-27T00:00:00"/>
    <d v="2022-09-15T00:00:00"/>
    <x v="960"/>
    <s v="Sydney"/>
    <x v="3"/>
    <x v="1"/>
  </r>
  <r>
    <x v="967"/>
    <x v="958"/>
    <x v="4"/>
    <x v="3"/>
    <x v="3"/>
    <x v="871"/>
    <d v="2025-04-13T00:00:00"/>
    <d v="2023-11-20T00:00:00"/>
    <x v="961"/>
    <s v="Berlin"/>
    <x v="4"/>
    <x v="0"/>
  </r>
  <r>
    <x v="968"/>
    <x v="959"/>
    <x v="4"/>
    <x v="3"/>
    <x v="0"/>
    <x v="872"/>
    <d v="2025-09-10T00:00:00"/>
    <d v="2016-06-19T00:00:00"/>
    <x v="962"/>
    <s v="Sydney"/>
    <x v="0"/>
    <x v="1"/>
  </r>
  <r>
    <x v="969"/>
    <x v="960"/>
    <x v="5"/>
    <x v="3"/>
    <x v="2"/>
    <x v="873"/>
    <d v="2026-01-31T00:00:00"/>
    <d v="2016-07-30T00:00:00"/>
    <x v="963"/>
    <s v="Berlin"/>
    <x v="4"/>
    <x v="1"/>
  </r>
  <r>
    <x v="970"/>
    <x v="961"/>
    <x v="1"/>
    <x v="5"/>
    <x v="3"/>
    <x v="874"/>
    <d v="2025-12-05T00:00:00"/>
    <d v="2017-12-10T00:00:00"/>
    <x v="964"/>
    <s v="New York"/>
    <x v="3"/>
    <x v="0"/>
  </r>
  <r>
    <x v="971"/>
    <x v="962"/>
    <x v="1"/>
    <x v="1"/>
    <x v="3"/>
    <x v="875"/>
    <d v="2026-01-30T00:00:00"/>
    <d v="2021-11-12T00:00:00"/>
    <x v="965"/>
    <s v="Toronto"/>
    <x v="3"/>
    <x v="1"/>
  </r>
  <r>
    <x v="972"/>
    <x v="963"/>
    <x v="6"/>
    <x v="3"/>
    <x v="2"/>
    <x v="345"/>
    <d v="2025-04-30T00:00:00"/>
    <d v="2021-11-23T00:00:00"/>
    <x v="966"/>
    <s v="London"/>
    <x v="3"/>
    <x v="0"/>
  </r>
  <r>
    <x v="973"/>
    <x v="964"/>
    <x v="3"/>
    <x v="0"/>
    <x v="1"/>
    <x v="876"/>
    <d v="2025-03-22T00:00:00"/>
    <d v="2019-08-27T00:00:00"/>
    <x v="967"/>
    <s v="Sydney"/>
    <x v="0"/>
    <x v="0"/>
  </r>
  <r>
    <x v="974"/>
    <x v="965"/>
    <x v="5"/>
    <x v="2"/>
    <x v="1"/>
    <x v="449"/>
    <d v="2025-09-13T00:00:00"/>
    <d v="2019-11-24T00:00:00"/>
    <x v="968"/>
    <s v="Sydney"/>
    <x v="0"/>
    <x v="1"/>
  </r>
  <r>
    <x v="975"/>
    <x v="966"/>
    <x v="5"/>
    <x v="0"/>
    <x v="3"/>
    <x v="877"/>
    <d v="2026-02-05T00:00:00"/>
    <d v="2015-12-06T00:00:00"/>
    <x v="969"/>
    <s v="London"/>
    <x v="3"/>
    <x v="1"/>
  </r>
  <r>
    <x v="976"/>
    <x v="967"/>
    <x v="5"/>
    <x v="3"/>
    <x v="0"/>
    <x v="878"/>
    <d v="2025-09-19T00:00:00"/>
    <d v="2020-09-27T00:00:00"/>
    <x v="970"/>
    <s v="Singapore"/>
    <x v="1"/>
    <x v="0"/>
  </r>
  <r>
    <x v="977"/>
    <x v="968"/>
    <x v="2"/>
    <x v="4"/>
    <x v="1"/>
    <x v="879"/>
    <d v="2025-04-04T00:00:00"/>
    <d v="2016-10-20T00:00:00"/>
    <x v="971"/>
    <s v="Toronto"/>
    <x v="4"/>
    <x v="1"/>
  </r>
  <r>
    <x v="978"/>
    <x v="969"/>
    <x v="5"/>
    <x v="0"/>
    <x v="3"/>
    <x v="880"/>
    <d v="2025-04-22T00:00:00"/>
    <d v="2019-10-15T00:00:00"/>
    <x v="972"/>
    <s v="Toronto"/>
    <x v="0"/>
    <x v="1"/>
  </r>
  <r>
    <x v="979"/>
    <x v="970"/>
    <x v="2"/>
    <x v="4"/>
    <x v="3"/>
    <x v="881"/>
    <d v="2025-12-08T00:00:00"/>
    <d v="2017-06-03T00:00:00"/>
    <x v="973"/>
    <s v="New York"/>
    <x v="0"/>
    <x v="0"/>
  </r>
  <r>
    <x v="980"/>
    <x v="971"/>
    <x v="6"/>
    <x v="3"/>
    <x v="0"/>
    <x v="882"/>
    <d v="2025-06-11T00:00:00"/>
    <d v="2023-07-26T00:00:00"/>
    <x v="974"/>
    <s v="Singapore"/>
    <x v="1"/>
    <x v="0"/>
  </r>
  <r>
    <x v="981"/>
    <x v="972"/>
    <x v="0"/>
    <x v="4"/>
    <x v="0"/>
    <x v="385"/>
    <d v="2025-03-19T00:00:00"/>
    <d v="2018-10-17T00:00:00"/>
    <x v="975"/>
    <s v="Berlin"/>
    <x v="4"/>
    <x v="0"/>
  </r>
  <r>
    <x v="982"/>
    <x v="973"/>
    <x v="6"/>
    <x v="1"/>
    <x v="2"/>
    <x v="380"/>
    <d v="2025-08-01T00:00:00"/>
    <d v="2019-11-28T00:00:00"/>
    <x v="976"/>
    <s v="New York"/>
    <x v="0"/>
    <x v="1"/>
  </r>
  <r>
    <x v="983"/>
    <x v="974"/>
    <x v="2"/>
    <x v="5"/>
    <x v="3"/>
    <x v="728"/>
    <d v="2026-01-02T00:00:00"/>
    <d v="2016-10-06T00:00:00"/>
    <x v="977"/>
    <s v="Singapore"/>
    <x v="2"/>
    <x v="1"/>
  </r>
  <r>
    <x v="984"/>
    <x v="975"/>
    <x v="4"/>
    <x v="0"/>
    <x v="3"/>
    <x v="883"/>
    <d v="2025-09-18T00:00:00"/>
    <d v="2022-07-27T00:00:00"/>
    <x v="978"/>
    <s v="Toronto"/>
    <x v="0"/>
    <x v="1"/>
  </r>
  <r>
    <x v="985"/>
    <x v="976"/>
    <x v="3"/>
    <x v="3"/>
    <x v="0"/>
    <x v="884"/>
    <d v="2025-07-26T00:00:00"/>
    <d v="2018-01-29T00:00:00"/>
    <x v="979"/>
    <s v="Bangalore"/>
    <x v="4"/>
    <x v="0"/>
  </r>
  <r>
    <x v="986"/>
    <x v="977"/>
    <x v="3"/>
    <x v="1"/>
    <x v="0"/>
    <x v="885"/>
    <d v="2025-08-22T00:00:00"/>
    <d v="2021-02-21T00:00:00"/>
    <x v="980"/>
    <s v="Singapore"/>
    <x v="3"/>
    <x v="1"/>
  </r>
  <r>
    <x v="987"/>
    <x v="978"/>
    <x v="4"/>
    <x v="3"/>
    <x v="2"/>
    <x v="886"/>
    <d v="2026-01-17T00:00:00"/>
    <d v="2023-09-13T00:00:00"/>
    <x v="981"/>
    <s v="Toronto"/>
    <x v="2"/>
    <x v="0"/>
  </r>
  <r>
    <x v="988"/>
    <x v="979"/>
    <x v="6"/>
    <x v="2"/>
    <x v="3"/>
    <x v="581"/>
    <d v="2025-07-18T00:00:00"/>
    <d v="2024-06-11T00:00:00"/>
    <x v="982"/>
    <s v="Sydney"/>
    <x v="2"/>
    <x v="1"/>
  </r>
  <r>
    <x v="989"/>
    <x v="980"/>
    <x v="1"/>
    <x v="5"/>
    <x v="1"/>
    <x v="887"/>
    <d v="2025-07-07T00:00:00"/>
    <d v="2023-01-31T00:00:00"/>
    <x v="983"/>
    <s v="Bangalore"/>
    <x v="1"/>
    <x v="1"/>
  </r>
  <r>
    <x v="990"/>
    <x v="981"/>
    <x v="5"/>
    <x v="1"/>
    <x v="3"/>
    <x v="888"/>
    <d v="2025-11-12T00:00:00"/>
    <d v="2016-09-05T00:00:00"/>
    <x v="984"/>
    <s v="Berlin"/>
    <x v="2"/>
    <x v="0"/>
  </r>
  <r>
    <x v="991"/>
    <x v="982"/>
    <x v="5"/>
    <x v="5"/>
    <x v="2"/>
    <x v="889"/>
    <d v="2025-10-10T00:00:00"/>
    <d v="2019-07-13T00:00:00"/>
    <x v="985"/>
    <s v="Bangalore"/>
    <x v="1"/>
    <x v="1"/>
  </r>
  <r>
    <x v="992"/>
    <x v="983"/>
    <x v="3"/>
    <x v="0"/>
    <x v="1"/>
    <x v="890"/>
    <d v="2025-11-17T00:00:00"/>
    <d v="2017-08-07T00:00:00"/>
    <x v="986"/>
    <s v="Bangalore"/>
    <x v="1"/>
    <x v="0"/>
  </r>
  <r>
    <x v="993"/>
    <x v="984"/>
    <x v="4"/>
    <x v="2"/>
    <x v="1"/>
    <x v="891"/>
    <d v="2026-02-15T00:00:00"/>
    <d v="2016-09-18T00:00:00"/>
    <x v="987"/>
    <s v="London"/>
    <x v="3"/>
    <x v="1"/>
  </r>
  <r>
    <x v="994"/>
    <x v="985"/>
    <x v="5"/>
    <x v="0"/>
    <x v="1"/>
    <x v="892"/>
    <d v="2025-03-10T00:00:00"/>
    <d v="2021-04-14T00:00:00"/>
    <x v="988"/>
    <s v="Singapore"/>
    <x v="3"/>
    <x v="1"/>
  </r>
  <r>
    <x v="995"/>
    <x v="986"/>
    <x v="1"/>
    <x v="4"/>
    <x v="3"/>
    <x v="893"/>
    <d v="2025-11-20T00:00:00"/>
    <d v="2020-10-28T00:00:00"/>
    <x v="989"/>
    <s v="London"/>
    <x v="2"/>
    <x v="0"/>
  </r>
  <r>
    <x v="996"/>
    <x v="987"/>
    <x v="0"/>
    <x v="4"/>
    <x v="1"/>
    <x v="894"/>
    <d v="2025-08-07T00:00:00"/>
    <d v="2017-09-26T00:00:00"/>
    <x v="990"/>
    <s v="Berlin"/>
    <x v="0"/>
    <x v="0"/>
  </r>
  <r>
    <x v="997"/>
    <x v="988"/>
    <x v="4"/>
    <x v="5"/>
    <x v="0"/>
    <x v="895"/>
    <d v="2025-02-21T00:00:00"/>
    <d v="2021-09-20T00:00:00"/>
    <x v="991"/>
    <s v="Singapore"/>
    <x v="4"/>
    <x v="0"/>
  </r>
  <r>
    <x v="998"/>
    <x v="989"/>
    <x v="4"/>
    <x v="3"/>
    <x v="0"/>
    <x v="502"/>
    <d v="2025-09-04T00:00:00"/>
    <d v="2017-12-03T00:00:00"/>
    <x v="992"/>
    <s v="London"/>
    <x v="0"/>
    <x v="1"/>
  </r>
  <r>
    <x v="999"/>
    <x v="990"/>
    <x v="6"/>
    <x v="5"/>
    <x v="1"/>
    <x v="896"/>
    <d v="2025-02-23T00:00:00"/>
    <d v="2016-12-23T00:00:00"/>
    <x v="993"/>
    <s v="Singapore"/>
    <x v="2"/>
    <x v="0"/>
  </r>
  <r>
    <x v="1000"/>
    <x v="991"/>
    <x v="2"/>
    <x v="0"/>
    <x v="3"/>
    <x v="264"/>
    <d v="2025-08-28T00:00:00"/>
    <d v="2024-08-04T00:00:00"/>
    <x v="994"/>
    <s v="Bangalore"/>
    <x v="4"/>
    <x v="1"/>
  </r>
  <r>
    <x v="1001"/>
    <x v="992"/>
    <x v="5"/>
    <x v="4"/>
    <x v="0"/>
    <x v="897"/>
    <d v="2025-10-21T00:00:00"/>
    <d v="2019-08-21T00:00:00"/>
    <x v="995"/>
    <s v="Berlin"/>
    <x v="0"/>
    <x v="1"/>
  </r>
  <r>
    <x v="1002"/>
    <x v="993"/>
    <x v="5"/>
    <x v="4"/>
    <x v="0"/>
    <x v="898"/>
    <d v="2025-07-19T00:00:00"/>
    <d v="2022-01-11T00:00:00"/>
    <x v="996"/>
    <s v="Bangalore"/>
    <x v="3"/>
    <x v="1"/>
  </r>
  <r>
    <x v="1003"/>
    <x v="994"/>
    <x v="0"/>
    <x v="1"/>
    <x v="1"/>
    <x v="899"/>
    <d v="2025-09-11T00:00:00"/>
    <d v="2021-11-23T00:00:00"/>
    <x v="997"/>
    <s v="Bangalore"/>
    <x v="1"/>
    <x v="1"/>
  </r>
  <r>
    <x v="1004"/>
    <x v="995"/>
    <x v="6"/>
    <x v="5"/>
    <x v="0"/>
    <x v="900"/>
    <d v="2025-09-01T00:00:00"/>
    <d v="2023-01-14T00:00:00"/>
    <x v="998"/>
    <s v="Berlin"/>
    <x v="1"/>
    <x v="0"/>
  </r>
  <r>
    <x v="1005"/>
    <x v="996"/>
    <x v="1"/>
    <x v="2"/>
    <x v="2"/>
    <x v="901"/>
    <d v="2025-05-19T00:00:00"/>
    <d v="2024-07-15T00:00:00"/>
    <x v="999"/>
    <s v="Singapore"/>
    <x v="2"/>
    <x v="0"/>
  </r>
  <r>
    <x v="1006"/>
    <x v="997"/>
    <x v="0"/>
    <x v="3"/>
    <x v="0"/>
    <x v="902"/>
    <d v="2025-11-29T00:00:00"/>
    <d v="2022-01-29T00:00:00"/>
    <x v="1000"/>
    <s v="New York"/>
    <x v="1"/>
    <x v="0"/>
  </r>
  <r>
    <x v="1007"/>
    <x v="998"/>
    <x v="6"/>
    <x v="3"/>
    <x v="3"/>
    <x v="721"/>
    <d v="2025-03-03T00:00:00"/>
    <d v="2016-09-24T00:00:00"/>
    <x v="1001"/>
    <s v="Bangalore"/>
    <x v="0"/>
    <x v="1"/>
  </r>
  <r>
    <x v="1008"/>
    <x v="999"/>
    <x v="6"/>
    <x v="4"/>
    <x v="2"/>
    <x v="903"/>
    <d v="2025-11-12T00:00:00"/>
    <d v="2022-04-26T00:00:00"/>
    <x v="1002"/>
    <s v="Bangalore"/>
    <x v="2"/>
    <x v="1"/>
  </r>
  <r>
    <x v="1009"/>
    <x v="1000"/>
    <x v="4"/>
    <x v="4"/>
    <x v="1"/>
    <x v="904"/>
    <d v="2025-11-18T00:00:00"/>
    <d v="2024-01-27T00:00:00"/>
    <x v="1003"/>
    <s v="Toronto"/>
    <x v="4"/>
    <x v="1"/>
  </r>
  <r>
    <x v="1010"/>
    <x v="1001"/>
    <x v="2"/>
    <x v="5"/>
    <x v="0"/>
    <x v="327"/>
    <d v="2025-06-13T00:00:00"/>
    <d v="2016-09-28T00:00:00"/>
    <x v="1004"/>
    <s v="London"/>
    <x v="3"/>
    <x v="0"/>
  </r>
  <r>
    <x v="1011"/>
    <x v="1002"/>
    <x v="4"/>
    <x v="2"/>
    <x v="2"/>
    <x v="639"/>
    <d v="2025-09-20T00:00:00"/>
    <d v="2016-09-02T00:00:00"/>
    <x v="1005"/>
    <s v="London"/>
    <x v="3"/>
    <x v="1"/>
  </r>
  <r>
    <x v="1012"/>
    <x v="841"/>
    <x v="4"/>
    <x v="4"/>
    <x v="0"/>
    <x v="339"/>
    <d v="2025-12-23T00:00:00"/>
    <d v="2020-03-17T00:00:00"/>
    <x v="1006"/>
    <s v="Sydney"/>
    <x v="1"/>
    <x v="1"/>
  </r>
  <r>
    <x v="1013"/>
    <x v="1003"/>
    <x v="1"/>
    <x v="5"/>
    <x v="1"/>
    <x v="905"/>
    <d v="2025-12-15T00:00:00"/>
    <d v="2024-03-02T00:00:00"/>
    <x v="1007"/>
    <s v="New York"/>
    <x v="1"/>
    <x v="1"/>
  </r>
  <r>
    <x v="1014"/>
    <x v="1004"/>
    <x v="6"/>
    <x v="3"/>
    <x v="1"/>
    <x v="687"/>
    <d v="2026-01-05T00:00:00"/>
    <d v="2022-03-02T00:00:00"/>
    <x v="1008"/>
    <s v="Bangalore"/>
    <x v="4"/>
    <x v="1"/>
  </r>
  <r>
    <x v="1015"/>
    <x v="1005"/>
    <x v="2"/>
    <x v="1"/>
    <x v="3"/>
    <x v="906"/>
    <d v="2025-04-01T00:00:00"/>
    <d v="2021-07-14T00:00:00"/>
    <x v="1009"/>
    <s v="Bangalore"/>
    <x v="4"/>
    <x v="1"/>
  </r>
  <r>
    <x v="1016"/>
    <x v="1006"/>
    <x v="5"/>
    <x v="2"/>
    <x v="0"/>
    <x v="907"/>
    <d v="2025-10-08T00:00:00"/>
    <d v="2020-04-27T00:00:00"/>
    <x v="1010"/>
    <s v="Toronto"/>
    <x v="0"/>
    <x v="0"/>
  </r>
  <r>
    <x v="1017"/>
    <x v="1007"/>
    <x v="0"/>
    <x v="4"/>
    <x v="1"/>
    <x v="908"/>
    <d v="2025-09-14T00:00:00"/>
    <d v="2020-01-10T00:00:00"/>
    <x v="1011"/>
    <s v="London"/>
    <x v="0"/>
    <x v="1"/>
  </r>
  <r>
    <x v="1018"/>
    <x v="1008"/>
    <x v="1"/>
    <x v="1"/>
    <x v="0"/>
    <x v="909"/>
    <d v="2025-09-02T00:00:00"/>
    <d v="2018-11-12T00:00:00"/>
    <x v="1012"/>
    <s v="Sydney"/>
    <x v="2"/>
    <x v="1"/>
  </r>
  <r>
    <x v="1019"/>
    <x v="1009"/>
    <x v="3"/>
    <x v="3"/>
    <x v="0"/>
    <x v="910"/>
    <d v="2025-03-28T00:00:00"/>
    <d v="2016-08-03T00:00:00"/>
    <x v="1013"/>
    <s v="Toronto"/>
    <x v="3"/>
    <x v="1"/>
  </r>
  <r>
    <x v="1020"/>
    <x v="1010"/>
    <x v="5"/>
    <x v="5"/>
    <x v="1"/>
    <x v="911"/>
    <d v="2025-12-04T00:00:00"/>
    <d v="2021-04-21T00:00:00"/>
    <x v="1014"/>
    <s v="Singapore"/>
    <x v="2"/>
    <x v="1"/>
  </r>
  <r>
    <x v="1021"/>
    <x v="1011"/>
    <x v="4"/>
    <x v="1"/>
    <x v="3"/>
    <x v="912"/>
    <d v="2025-04-16T00:00:00"/>
    <d v="2016-12-10T00:00:00"/>
    <x v="1015"/>
    <s v="London"/>
    <x v="3"/>
    <x v="1"/>
  </r>
  <r>
    <x v="1022"/>
    <x v="1012"/>
    <x v="6"/>
    <x v="4"/>
    <x v="0"/>
    <x v="913"/>
    <d v="2025-07-15T00:00:00"/>
    <d v="2017-05-12T00:00:00"/>
    <x v="1016"/>
    <s v="Sydney"/>
    <x v="3"/>
    <x v="0"/>
  </r>
  <r>
    <x v="1023"/>
    <x v="1013"/>
    <x v="6"/>
    <x v="3"/>
    <x v="3"/>
    <x v="914"/>
    <d v="2025-06-24T00:00:00"/>
    <d v="2016-08-18T00:00:00"/>
    <x v="1017"/>
    <s v="New York"/>
    <x v="4"/>
    <x v="0"/>
  </r>
  <r>
    <x v="1024"/>
    <x v="1014"/>
    <x v="6"/>
    <x v="3"/>
    <x v="0"/>
    <x v="915"/>
    <d v="2025-05-14T00:00:00"/>
    <d v="2018-03-31T00:00:00"/>
    <x v="1018"/>
    <s v="London"/>
    <x v="3"/>
    <x v="1"/>
  </r>
  <r>
    <x v="1025"/>
    <x v="1015"/>
    <x v="6"/>
    <x v="1"/>
    <x v="3"/>
    <x v="475"/>
    <d v="2025-10-23T00:00:00"/>
    <d v="2019-11-21T00:00:00"/>
    <x v="1019"/>
    <s v="New York"/>
    <x v="4"/>
    <x v="1"/>
  </r>
  <r>
    <x v="1026"/>
    <x v="1016"/>
    <x v="1"/>
    <x v="3"/>
    <x v="2"/>
    <x v="916"/>
    <d v="2025-04-19T00:00:00"/>
    <d v="2024-01-20T00:00:00"/>
    <x v="1020"/>
    <s v="London"/>
    <x v="4"/>
    <x v="1"/>
  </r>
  <r>
    <x v="1027"/>
    <x v="1017"/>
    <x v="1"/>
    <x v="2"/>
    <x v="2"/>
    <x v="917"/>
    <d v="2025-08-13T00:00:00"/>
    <d v="2023-04-22T00:00:00"/>
    <x v="1021"/>
    <s v="Bangalore"/>
    <x v="1"/>
    <x v="1"/>
  </r>
  <r>
    <x v="1028"/>
    <x v="1018"/>
    <x v="5"/>
    <x v="1"/>
    <x v="1"/>
    <x v="918"/>
    <d v="2025-03-31T00:00:00"/>
    <d v="2021-11-27T00:00:00"/>
    <x v="1022"/>
    <s v="Singapore"/>
    <x v="0"/>
    <x v="0"/>
  </r>
  <r>
    <x v="1029"/>
    <x v="1019"/>
    <x v="4"/>
    <x v="5"/>
    <x v="3"/>
    <x v="107"/>
    <d v="2025-10-16T00:00:00"/>
    <d v="2021-01-03T00:00:00"/>
    <x v="1023"/>
    <s v="Sydney"/>
    <x v="3"/>
    <x v="1"/>
  </r>
  <r>
    <x v="1030"/>
    <x v="1"/>
    <x v="6"/>
    <x v="5"/>
    <x v="0"/>
    <x v="8"/>
    <d v="2025-09-14T00:00:00"/>
    <d v="2018-11-25T00:00:00"/>
    <x v="1024"/>
    <s v="Bangalore"/>
    <x v="2"/>
    <x v="0"/>
  </r>
  <r>
    <x v="1031"/>
    <x v="1020"/>
    <x v="0"/>
    <x v="3"/>
    <x v="3"/>
    <x v="375"/>
    <d v="2025-06-06T00:00:00"/>
    <d v="2018-06-07T00:00:00"/>
    <x v="1025"/>
    <s v="Toronto"/>
    <x v="2"/>
    <x v="1"/>
  </r>
  <r>
    <x v="1032"/>
    <x v="1021"/>
    <x v="5"/>
    <x v="5"/>
    <x v="3"/>
    <x v="919"/>
    <d v="2025-06-19T00:00:00"/>
    <d v="2020-04-01T00:00:00"/>
    <x v="1026"/>
    <s v="New York"/>
    <x v="2"/>
    <x v="1"/>
  </r>
  <r>
    <x v="1033"/>
    <x v="1022"/>
    <x v="3"/>
    <x v="3"/>
    <x v="1"/>
    <x v="920"/>
    <d v="2025-02-18T00:00:00"/>
    <d v="2023-06-10T00:00:00"/>
    <x v="1027"/>
    <s v="London"/>
    <x v="0"/>
    <x v="1"/>
  </r>
  <r>
    <x v="1034"/>
    <x v="1023"/>
    <x v="0"/>
    <x v="1"/>
    <x v="2"/>
    <x v="921"/>
    <d v="2025-02-20T00:00:00"/>
    <d v="2019-11-27T00:00:00"/>
    <x v="1028"/>
    <s v="London"/>
    <x v="3"/>
    <x v="0"/>
  </r>
  <r>
    <x v="1035"/>
    <x v="1024"/>
    <x v="5"/>
    <x v="2"/>
    <x v="1"/>
    <x v="495"/>
    <d v="2026-02-13T00:00:00"/>
    <d v="2019-06-18T00:00:00"/>
    <x v="1029"/>
    <s v="Bangalore"/>
    <x v="1"/>
    <x v="1"/>
  </r>
  <r>
    <x v="1036"/>
    <x v="1025"/>
    <x v="0"/>
    <x v="2"/>
    <x v="1"/>
    <x v="922"/>
    <d v="2025-04-15T00:00:00"/>
    <d v="2021-06-20T00:00:00"/>
    <x v="1030"/>
    <s v="Bangalore"/>
    <x v="3"/>
    <x v="1"/>
  </r>
  <r>
    <x v="1037"/>
    <x v="1026"/>
    <x v="0"/>
    <x v="4"/>
    <x v="0"/>
    <x v="923"/>
    <d v="2026-02-11T00:00:00"/>
    <d v="2022-07-15T00:00:00"/>
    <x v="1031"/>
    <s v="London"/>
    <x v="3"/>
    <x v="0"/>
  </r>
  <r>
    <x v="1038"/>
    <x v="1027"/>
    <x v="5"/>
    <x v="2"/>
    <x v="0"/>
    <x v="924"/>
    <d v="2025-07-01T00:00:00"/>
    <d v="2022-10-09T00:00:00"/>
    <x v="1032"/>
    <s v="New York"/>
    <x v="3"/>
    <x v="1"/>
  </r>
  <r>
    <x v="1039"/>
    <x v="1028"/>
    <x v="0"/>
    <x v="0"/>
    <x v="2"/>
    <x v="34"/>
    <d v="2025-10-07T00:00:00"/>
    <d v="2020-03-06T00:00:00"/>
    <x v="1033"/>
    <s v="New York"/>
    <x v="4"/>
    <x v="1"/>
  </r>
  <r>
    <x v="1040"/>
    <x v="1029"/>
    <x v="2"/>
    <x v="5"/>
    <x v="2"/>
    <x v="575"/>
    <d v="2025-06-06T00:00:00"/>
    <d v="2018-09-22T00:00:00"/>
    <x v="1034"/>
    <s v="Sydney"/>
    <x v="2"/>
    <x v="1"/>
  </r>
  <r>
    <x v="1041"/>
    <x v="1030"/>
    <x v="5"/>
    <x v="3"/>
    <x v="3"/>
    <x v="925"/>
    <d v="2025-10-31T00:00:00"/>
    <d v="2016-09-29T00:00:00"/>
    <x v="1035"/>
    <s v="Bangalore"/>
    <x v="4"/>
    <x v="0"/>
  </r>
  <r>
    <x v="1042"/>
    <x v="1031"/>
    <x v="6"/>
    <x v="1"/>
    <x v="2"/>
    <x v="926"/>
    <d v="2025-07-29T00:00:00"/>
    <d v="2018-05-03T00:00:00"/>
    <x v="1036"/>
    <s v="Bangalore"/>
    <x v="3"/>
    <x v="0"/>
  </r>
  <r>
    <x v="1043"/>
    <x v="1032"/>
    <x v="3"/>
    <x v="1"/>
    <x v="3"/>
    <x v="927"/>
    <d v="2025-03-09T00:00:00"/>
    <d v="2016-10-11T00:00:00"/>
    <x v="1037"/>
    <s v="New York"/>
    <x v="2"/>
    <x v="1"/>
  </r>
  <r>
    <x v="1044"/>
    <x v="1033"/>
    <x v="6"/>
    <x v="3"/>
    <x v="0"/>
    <x v="575"/>
    <d v="2026-02-01T00:00:00"/>
    <d v="2022-11-02T00:00:00"/>
    <x v="1038"/>
    <s v="Singapore"/>
    <x v="2"/>
    <x v="0"/>
  </r>
  <r>
    <x v="1045"/>
    <x v="1034"/>
    <x v="3"/>
    <x v="3"/>
    <x v="0"/>
    <x v="880"/>
    <d v="2025-03-05T00:00:00"/>
    <d v="2022-08-20T00:00:00"/>
    <x v="1039"/>
    <s v="Singapore"/>
    <x v="2"/>
    <x v="1"/>
  </r>
  <r>
    <x v="1046"/>
    <x v="1035"/>
    <x v="0"/>
    <x v="3"/>
    <x v="2"/>
    <x v="928"/>
    <d v="2026-01-12T00:00:00"/>
    <d v="2024-03-31T00:00:00"/>
    <x v="1040"/>
    <s v="London"/>
    <x v="4"/>
    <x v="0"/>
  </r>
  <r>
    <x v="1047"/>
    <x v="1036"/>
    <x v="3"/>
    <x v="3"/>
    <x v="2"/>
    <x v="929"/>
    <d v="2026-02-10T00:00:00"/>
    <d v="2018-10-03T00:00:00"/>
    <x v="1041"/>
    <s v="Singapore"/>
    <x v="0"/>
    <x v="1"/>
  </r>
  <r>
    <x v="1048"/>
    <x v="1037"/>
    <x v="1"/>
    <x v="2"/>
    <x v="3"/>
    <x v="930"/>
    <d v="2025-10-21T00:00:00"/>
    <d v="2019-01-26T00:00:00"/>
    <x v="1042"/>
    <s v="Toronto"/>
    <x v="2"/>
    <x v="0"/>
  </r>
  <r>
    <x v="1049"/>
    <x v="1038"/>
    <x v="3"/>
    <x v="0"/>
    <x v="2"/>
    <x v="20"/>
    <d v="2025-11-09T00:00:00"/>
    <d v="2018-08-28T00:00:00"/>
    <x v="1043"/>
    <s v="London"/>
    <x v="1"/>
    <x v="1"/>
  </r>
  <r>
    <x v="1050"/>
    <x v="1039"/>
    <x v="0"/>
    <x v="2"/>
    <x v="1"/>
    <x v="931"/>
    <d v="2025-06-22T00:00:00"/>
    <d v="2019-11-12T00:00:00"/>
    <x v="1044"/>
    <s v="New York"/>
    <x v="4"/>
    <x v="1"/>
  </r>
  <r>
    <x v="1051"/>
    <x v="1040"/>
    <x v="6"/>
    <x v="1"/>
    <x v="0"/>
    <x v="932"/>
    <d v="2026-01-20T00:00:00"/>
    <d v="2017-08-15T00:00:00"/>
    <x v="1045"/>
    <s v="London"/>
    <x v="0"/>
    <x v="0"/>
  </r>
  <r>
    <x v="1052"/>
    <x v="1041"/>
    <x v="5"/>
    <x v="1"/>
    <x v="1"/>
    <x v="933"/>
    <d v="2026-01-05T00:00:00"/>
    <d v="2015-12-04T00:00:00"/>
    <x v="1046"/>
    <s v="New York"/>
    <x v="1"/>
    <x v="0"/>
  </r>
  <r>
    <x v="1053"/>
    <x v="1042"/>
    <x v="0"/>
    <x v="5"/>
    <x v="2"/>
    <x v="934"/>
    <d v="2025-12-04T00:00:00"/>
    <d v="2022-02-22T00:00:00"/>
    <x v="1047"/>
    <s v="London"/>
    <x v="3"/>
    <x v="0"/>
  </r>
  <r>
    <x v="1054"/>
    <x v="1043"/>
    <x v="5"/>
    <x v="4"/>
    <x v="1"/>
    <x v="935"/>
    <d v="2025-11-18T00:00:00"/>
    <d v="2016-11-12T00:00:00"/>
    <x v="1048"/>
    <s v="New York"/>
    <x v="1"/>
    <x v="1"/>
  </r>
  <r>
    <x v="1055"/>
    <x v="1044"/>
    <x v="1"/>
    <x v="0"/>
    <x v="0"/>
    <x v="264"/>
    <d v="2025-04-20T00:00:00"/>
    <d v="2020-02-02T00:00:00"/>
    <x v="1049"/>
    <s v="New York"/>
    <x v="0"/>
    <x v="0"/>
  </r>
  <r>
    <x v="1056"/>
    <x v="1045"/>
    <x v="1"/>
    <x v="2"/>
    <x v="1"/>
    <x v="925"/>
    <d v="2025-02-24T00:00:00"/>
    <d v="2017-01-08T00:00:00"/>
    <x v="1050"/>
    <s v="Singapore"/>
    <x v="3"/>
    <x v="0"/>
  </r>
  <r>
    <x v="1057"/>
    <x v="1046"/>
    <x v="0"/>
    <x v="0"/>
    <x v="1"/>
    <x v="936"/>
    <d v="2025-03-13T00:00:00"/>
    <d v="2022-11-28T00:00:00"/>
    <x v="1051"/>
    <s v="Singapore"/>
    <x v="1"/>
    <x v="1"/>
  </r>
  <r>
    <x v="1058"/>
    <x v="1047"/>
    <x v="4"/>
    <x v="4"/>
    <x v="0"/>
    <x v="937"/>
    <d v="2025-09-13T00:00:00"/>
    <d v="2019-12-24T00:00:00"/>
    <x v="1052"/>
    <s v="Berlin"/>
    <x v="1"/>
    <x v="1"/>
  </r>
  <r>
    <x v="1059"/>
    <x v="1048"/>
    <x v="6"/>
    <x v="5"/>
    <x v="2"/>
    <x v="938"/>
    <d v="2025-04-11T00:00:00"/>
    <d v="2021-01-07T00:00:00"/>
    <x v="1053"/>
    <s v="Toronto"/>
    <x v="4"/>
    <x v="1"/>
  </r>
  <r>
    <x v="1060"/>
    <x v="1049"/>
    <x v="4"/>
    <x v="0"/>
    <x v="0"/>
    <x v="939"/>
    <d v="2026-01-12T00:00:00"/>
    <d v="2024-06-22T00:00:00"/>
    <x v="1054"/>
    <s v="Bangalore"/>
    <x v="1"/>
    <x v="1"/>
  </r>
  <r>
    <x v="1061"/>
    <x v="1050"/>
    <x v="5"/>
    <x v="3"/>
    <x v="2"/>
    <x v="940"/>
    <d v="2025-03-03T00:00:00"/>
    <d v="2017-09-08T00:00:00"/>
    <x v="1055"/>
    <s v="New York"/>
    <x v="0"/>
    <x v="1"/>
  </r>
  <r>
    <x v="1062"/>
    <x v="1051"/>
    <x v="0"/>
    <x v="4"/>
    <x v="2"/>
    <x v="941"/>
    <d v="2025-12-16T00:00:00"/>
    <d v="2017-01-25T00:00:00"/>
    <x v="1056"/>
    <s v="New York"/>
    <x v="1"/>
    <x v="0"/>
  </r>
  <r>
    <x v="1063"/>
    <x v="1052"/>
    <x v="0"/>
    <x v="4"/>
    <x v="2"/>
    <x v="942"/>
    <d v="2025-06-02T00:00:00"/>
    <d v="2023-03-01T00:00:00"/>
    <x v="1057"/>
    <s v="Berlin"/>
    <x v="2"/>
    <x v="1"/>
  </r>
  <r>
    <x v="1064"/>
    <x v="1053"/>
    <x v="5"/>
    <x v="0"/>
    <x v="3"/>
    <x v="943"/>
    <d v="2025-05-09T00:00:00"/>
    <d v="2022-05-08T00:00:00"/>
    <x v="1058"/>
    <s v="Sydney"/>
    <x v="3"/>
    <x v="0"/>
  </r>
  <r>
    <x v="1065"/>
    <x v="1054"/>
    <x v="4"/>
    <x v="4"/>
    <x v="3"/>
    <x v="360"/>
    <d v="2025-09-22T00:00:00"/>
    <d v="2021-07-28T00:00:00"/>
    <x v="1059"/>
    <s v="London"/>
    <x v="3"/>
    <x v="1"/>
  </r>
  <r>
    <x v="1066"/>
    <x v="1055"/>
    <x v="3"/>
    <x v="1"/>
    <x v="0"/>
    <x v="944"/>
    <d v="2025-07-01T00:00:00"/>
    <d v="2018-02-25T00:00:00"/>
    <x v="1060"/>
    <s v="Sydney"/>
    <x v="0"/>
    <x v="1"/>
  </r>
  <r>
    <x v="1067"/>
    <x v="1056"/>
    <x v="0"/>
    <x v="5"/>
    <x v="1"/>
    <x v="945"/>
    <d v="2025-03-29T00:00:00"/>
    <d v="2022-09-15T00:00:00"/>
    <x v="1061"/>
    <s v="London"/>
    <x v="3"/>
    <x v="0"/>
  </r>
  <r>
    <x v="1068"/>
    <x v="1057"/>
    <x v="3"/>
    <x v="4"/>
    <x v="2"/>
    <x v="946"/>
    <d v="2025-05-01T00:00:00"/>
    <d v="2022-11-22T00:00:00"/>
    <x v="1062"/>
    <s v="Toronto"/>
    <x v="3"/>
    <x v="1"/>
  </r>
  <r>
    <x v="1069"/>
    <x v="1058"/>
    <x v="2"/>
    <x v="2"/>
    <x v="0"/>
    <x v="947"/>
    <d v="2025-12-02T00:00:00"/>
    <d v="2018-01-28T00:00:00"/>
    <x v="1063"/>
    <s v="Toronto"/>
    <x v="2"/>
    <x v="0"/>
  </r>
  <r>
    <x v="1070"/>
    <x v="1059"/>
    <x v="3"/>
    <x v="4"/>
    <x v="0"/>
    <x v="948"/>
    <d v="2026-02-12T00:00:00"/>
    <d v="2024-05-12T00:00:00"/>
    <x v="1064"/>
    <s v="Toronto"/>
    <x v="3"/>
    <x v="0"/>
  </r>
  <r>
    <x v="1071"/>
    <x v="1060"/>
    <x v="3"/>
    <x v="3"/>
    <x v="0"/>
    <x v="949"/>
    <d v="2025-10-06T00:00:00"/>
    <d v="2016-10-05T00:00:00"/>
    <x v="1065"/>
    <s v="London"/>
    <x v="0"/>
    <x v="1"/>
  </r>
  <r>
    <x v="1072"/>
    <x v="1061"/>
    <x v="0"/>
    <x v="2"/>
    <x v="2"/>
    <x v="950"/>
    <d v="2026-01-06T00:00:00"/>
    <d v="2018-01-24T00:00:00"/>
    <x v="1066"/>
    <s v="New York"/>
    <x v="2"/>
    <x v="0"/>
  </r>
  <r>
    <x v="1073"/>
    <x v="1062"/>
    <x v="0"/>
    <x v="1"/>
    <x v="1"/>
    <x v="628"/>
    <d v="2025-06-25T00:00:00"/>
    <d v="2021-06-15T00:00:00"/>
    <x v="1067"/>
    <s v="Bangalore"/>
    <x v="1"/>
    <x v="0"/>
  </r>
  <r>
    <x v="1074"/>
    <x v="1063"/>
    <x v="2"/>
    <x v="3"/>
    <x v="0"/>
    <x v="665"/>
    <d v="2025-11-29T00:00:00"/>
    <d v="2024-02-03T00:00:00"/>
    <x v="1068"/>
    <s v="Toronto"/>
    <x v="4"/>
    <x v="0"/>
  </r>
  <r>
    <x v="1075"/>
    <x v="1064"/>
    <x v="6"/>
    <x v="4"/>
    <x v="3"/>
    <x v="951"/>
    <d v="2025-11-30T00:00:00"/>
    <d v="2024-04-18T00:00:00"/>
    <x v="1069"/>
    <s v="London"/>
    <x v="0"/>
    <x v="0"/>
  </r>
  <r>
    <x v="1076"/>
    <x v="1065"/>
    <x v="3"/>
    <x v="1"/>
    <x v="2"/>
    <x v="952"/>
    <d v="2025-04-23T00:00:00"/>
    <d v="2016-04-15T00:00:00"/>
    <x v="1070"/>
    <s v="Berlin"/>
    <x v="1"/>
    <x v="1"/>
  </r>
  <r>
    <x v="1077"/>
    <x v="1066"/>
    <x v="5"/>
    <x v="4"/>
    <x v="2"/>
    <x v="953"/>
    <d v="2025-11-10T00:00:00"/>
    <d v="2018-07-23T00:00:00"/>
    <x v="1071"/>
    <s v="Berlin"/>
    <x v="1"/>
    <x v="0"/>
  </r>
  <r>
    <x v="1078"/>
    <x v="1067"/>
    <x v="0"/>
    <x v="0"/>
    <x v="3"/>
    <x v="161"/>
    <d v="2025-02-23T00:00:00"/>
    <d v="2017-11-17T00:00:00"/>
    <x v="1072"/>
    <s v="London"/>
    <x v="3"/>
    <x v="0"/>
  </r>
  <r>
    <x v="1079"/>
    <x v="1068"/>
    <x v="0"/>
    <x v="2"/>
    <x v="0"/>
    <x v="954"/>
    <d v="2025-05-04T00:00:00"/>
    <d v="2022-06-30T00:00:00"/>
    <x v="1073"/>
    <s v="Singapore"/>
    <x v="3"/>
    <x v="1"/>
  </r>
  <r>
    <x v="1080"/>
    <x v="1069"/>
    <x v="0"/>
    <x v="0"/>
    <x v="3"/>
    <x v="955"/>
    <d v="2025-10-05T00:00:00"/>
    <d v="2023-07-11T00:00:00"/>
    <x v="1074"/>
    <s v="London"/>
    <x v="2"/>
    <x v="1"/>
  </r>
  <r>
    <x v="1081"/>
    <x v="1070"/>
    <x v="2"/>
    <x v="0"/>
    <x v="0"/>
    <x v="956"/>
    <d v="2025-04-13T00:00:00"/>
    <d v="2020-06-24T00:00:00"/>
    <x v="1075"/>
    <s v="New York"/>
    <x v="3"/>
    <x v="0"/>
  </r>
  <r>
    <x v="1082"/>
    <x v="1071"/>
    <x v="1"/>
    <x v="2"/>
    <x v="2"/>
    <x v="84"/>
    <d v="2025-11-28T00:00:00"/>
    <d v="2016-05-23T00:00:00"/>
    <x v="1076"/>
    <s v="New York"/>
    <x v="0"/>
    <x v="1"/>
  </r>
  <r>
    <x v="1083"/>
    <x v="1072"/>
    <x v="1"/>
    <x v="5"/>
    <x v="3"/>
    <x v="957"/>
    <d v="2025-10-20T00:00:00"/>
    <d v="2023-12-21T00:00:00"/>
    <x v="1077"/>
    <s v="Berlin"/>
    <x v="1"/>
    <x v="0"/>
  </r>
  <r>
    <x v="1084"/>
    <x v="1073"/>
    <x v="1"/>
    <x v="1"/>
    <x v="3"/>
    <x v="958"/>
    <d v="2025-12-01T00:00:00"/>
    <d v="2016-12-23T00:00:00"/>
    <x v="1078"/>
    <s v="Berlin"/>
    <x v="0"/>
    <x v="0"/>
  </r>
  <r>
    <x v="1085"/>
    <x v="1074"/>
    <x v="5"/>
    <x v="1"/>
    <x v="2"/>
    <x v="418"/>
    <d v="2026-01-09T00:00:00"/>
    <d v="2017-02-26T00:00:00"/>
    <x v="1079"/>
    <s v="Bangalore"/>
    <x v="1"/>
    <x v="0"/>
  </r>
  <r>
    <x v="1086"/>
    <x v="1075"/>
    <x v="5"/>
    <x v="5"/>
    <x v="3"/>
    <x v="959"/>
    <d v="2025-07-26T00:00:00"/>
    <d v="2024-01-05T00:00:00"/>
    <x v="1080"/>
    <s v="New York"/>
    <x v="0"/>
    <x v="1"/>
  </r>
  <r>
    <x v="1087"/>
    <x v="1076"/>
    <x v="0"/>
    <x v="3"/>
    <x v="3"/>
    <x v="960"/>
    <d v="2025-04-03T00:00:00"/>
    <d v="2022-06-17T00:00:00"/>
    <x v="1081"/>
    <s v="Sydney"/>
    <x v="2"/>
    <x v="1"/>
  </r>
  <r>
    <x v="1088"/>
    <x v="1077"/>
    <x v="0"/>
    <x v="5"/>
    <x v="2"/>
    <x v="420"/>
    <d v="2025-10-05T00:00:00"/>
    <d v="2022-06-19T00:00:00"/>
    <x v="1082"/>
    <s v="Berlin"/>
    <x v="1"/>
    <x v="1"/>
  </r>
  <r>
    <x v="1089"/>
    <x v="1078"/>
    <x v="0"/>
    <x v="3"/>
    <x v="1"/>
    <x v="129"/>
    <d v="2026-01-21T00:00:00"/>
    <d v="2018-01-26T00:00:00"/>
    <x v="1083"/>
    <s v="Toronto"/>
    <x v="2"/>
    <x v="1"/>
  </r>
  <r>
    <x v="1090"/>
    <x v="1079"/>
    <x v="1"/>
    <x v="5"/>
    <x v="3"/>
    <x v="961"/>
    <d v="2025-12-14T00:00:00"/>
    <d v="2021-11-17T00:00:00"/>
    <x v="1084"/>
    <s v="New York"/>
    <x v="4"/>
    <x v="1"/>
  </r>
  <r>
    <x v="1091"/>
    <x v="431"/>
    <x v="2"/>
    <x v="5"/>
    <x v="3"/>
    <x v="962"/>
    <d v="2025-03-26T00:00:00"/>
    <d v="2020-10-13T00:00:00"/>
    <x v="1085"/>
    <s v="Sydney"/>
    <x v="1"/>
    <x v="1"/>
  </r>
  <r>
    <x v="1092"/>
    <x v="1080"/>
    <x v="4"/>
    <x v="4"/>
    <x v="3"/>
    <x v="963"/>
    <d v="2025-11-26T00:00:00"/>
    <d v="2018-02-10T00:00:00"/>
    <x v="1086"/>
    <s v="Berlin"/>
    <x v="1"/>
    <x v="1"/>
  </r>
  <r>
    <x v="1093"/>
    <x v="1081"/>
    <x v="3"/>
    <x v="1"/>
    <x v="3"/>
    <x v="964"/>
    <d v="2025-10-16T00:00:00"/>
    <d v="2024-05-12T00:00:00"/>
    <x v="1087"/>
    <s v="Bangalore"/>
    <x v="4"/>
    <x v="1"/>
  </r>
  <r>
    <x v="1094"/>
    <x v="1082"/>
    <x v="6"/>
    <x v="0"/>
    <x v="2"/>
    <x v="965"/>
    <d v="2025-07-20T00:00:00"/>
    <d v="2018-08-12T00:00:00"/>
    <x v="1088"/>
    <s v="Bangalore"/>
    <x v="1"/>
    <x v="0"/>
  </r>
  <r>
    <x v="1095"/>
    <x v="1083"/>
    <x v="3"/>
    <x v="2"/>
    <x v="2"/>
    <x v="966"/>
    <d v="2025-06-30T00:00:00"/>
    <d v="2018-02-04T00:00:00"/>
    <x v="1089"/>
    <s v="Singapore"/>
    <x v="0"/>
    <x v="1"/>
  </r>
  <r>
    <x v="1096"/>
    <x v="1084"/>
    <x v="3"/>
    <x v="4"/>
    <x v="0"/>
    <x v="967"/>
    <d v="2026-01-29T00:00:00"/>
    <d v="2021-04-26T00:00:00"/>
    <x v="1090"/>
    <s v="Sydney"/>
    <x v="3"/>
    <x v="0"/>
  </r>
  <r>
    <x v="1097"/>
    <x v="1085"/>
    <x v="6"/>
    <x v="4"/>
    <x v="1"/>
    <x v="638"/>
    <d v="2025-11-11T00:00:00"/>
    <d v="2017-05-19T00:00:00"/>
    <x v="1091"/>
    <s v="New York"/>
    <x v="2"/>
    <x v="1"/>
  </r>
  <r>
    <x v="1098"/>
    <x v="1086"/>
    <x v="6"/>
    <x v="2"/>
    <x v="1"/>
    <x v="968"/>
    <d v="2025-06-04T00:00:00"/>
    <d v="2017-06-26T00:00:00"/>
    <x v="1092"/>
    <s v="London"/>
    <x v="4"/>
    <x v="1"/>
  </r>
  <r>
    <x v="1099"/>
    <x v="1087"/>
    <x v="0"/>
    <x v="0"/>
    <x v="1"/>
    <x v="969"/>
    <d v="2025-07-15T00:00:00"/>
    <d v="2022-05-17T00:00:00"/>
    <x v="1093"/>
    <s v="Bangalore"/>
    <x v="0"/>
    <x v="0"/>
  </r>
  <r>
    <x v="1100"/>
    <x v="1088"/>
    <x v="4"/>
    <x v="0"/>
    <x v="2"/>
    <x v="970"/>
    <d v="2025-10-21T00:00:00"/>
    <d v="2021-05-22T00:00:00"/>
    <x v="1094"/>
    <s v="Berlin"/>
    <x v="4"/>
    <x v="1"/>
  </r>
  <r>
    <x v="1101"/>
    <x v="1089"/>
    <x v="0"/>
    <x v="2"/>
    <x v="3"/>
    <x v="178"/>
    <d v="2025-09-17T00:00:00"/>
    <d v="2017-01-24T00:00:00"/>
    <x v="1095"/>
    <s v="Bangalore"/>
    <x v="2"/>
    <x v="1"/>
  </r>
  <r>
    <x v="1102"/>
    <x v="1090"/>
    <x v="2"/>
    <x v="2"/>
    <x v="1"/>
    <x v="971"/>
    <d v="2025-02-24T00:00:00"/>
    <d v="2016-06-17T00:00:00"/>
    <x v="1096"/>
    <s v="Bangalore"/>
    <x v="2"/>
    <x v="0"/>
  </r>
  <r>
    <x v="1103"/>
    <x v="1091"/>
    <x v="0"/>
    <x v="1"/>
    <x v="1"/>
    <x v="972"/>
    <d v="2026-01-08T00:00:00"/>
    <d v="2020-12-11T00:00:00"/>
    <x v="1097"/>
    <s v="Bangalore"/>
    <x v="2"/>
    <x v="0"/>
  </r>
  <r>
    <x v="1104"/>
    <x v="1092"/>
    <x v="3"/>
    <x v="0"/>
    <x v="3"/>
    <x v="973"/>
    <d v="2025-08-02T00:00:00"/>
    <d v="2021-06-20T00:00:00"/>
    <x v="1098"/>
    <s v="Bangalore"/>
    <x v="4"/>
    <x v="0"/>
  </r>
  <r>
    <x v="1105"/>
    <x v="1093"/>
    <x v="6"/>
    <x v="0"/>
    <x v="1"/>
    <x v="974"/>
    <d v="2025-11-10T00:00:00"/>
    <d v="2020-04-18T00:00:00"/>
    <x v="1099"/>
    <s v="Bangalore"/>
    <x v="2"/>
    <x v="1"/>
  </r>
  <r>
    <x v="1106"/>
    <x v="1094"/>
    <x v="4"/>
    <x v="3"/>
    <x v="3"/>
    <x v="34"/>
    <d v="2025-07-14T00:00:00"/>
    <d v="2021-12-22T00:00:00"/>
    <x v="1100"/>
    <s v="New York"/>
    <x v="3"/>
    <x v="0"/>
  </r>
  <r>
    <x v="1107"/>
    <x v="1095"/>
    <x v="5"/>
    <x v="5"/>
    <x v="1"/>
    <x v="975"/>
    <d v="2025-02-20T00:00:00"/>
    <d v="2023-02-05T00:00:00"/>
    <x v="1101"/>
    <s v="Bangalore"/>
    <x v="2"/>
    <x v="0"/>
  </r>
  <r>
    <x v="1108"/>
    <x v="1096"/>
    <x v="3"/>
    <x v="1"/>
    <x v="1"/>
    <x v="812"/>
    <d v="2025-07-02T00:00:00"/>
    <d v="2023-01-29T00:00:00"/>
    <x v="1102"/>
    <s v="Sydney"/>
    <x v="2"/>
    <x v="1"/>
  </r>
  <r>
    <x v="1109"/>
    <x v="1097"/>
    <x v="1"/>
    <x v="1"/>
    <x v="1"/>
    <x v="976"/>
    <d v="2026-02-08T00:00:00"/>
    <d v="2018-10-17T00:00:00"/>
    <x v="1103"/>
    <s v="New York"/>
    <x v="3"/>
    <x v="1"/>
  </r>
  <r>
    <x v="1110"/>
    <x v="1098"/>
    <x v="5"/>
    <x v="0"/>
    <x v="3"/>
    <x v="977"/>
    <d v="2025-11-07T00:00:00"/>
    <d v="2020-04-03T00:00:00"/>
    <x v="1104"/>
    <s v="Sydney"/>
    <x v="0"/>
    <x v="0"/>
  </r>
  <r>
    <x v="1111"/>
    <x v="1099"/>
    <x v="1"/>
    <x v="2"/>
    <x v="3"/>
    <x v="978"/>
    <d v="2025-12-16T00:00:00"/>
    <d v="2017-08-31T00:00:00"/>
    <x v="1105"/>
    <s v="Berlin"/>
    <x v="0"/>
    <x v="1"/>
  </r>
  <r>
    <x v="1112"/>
    <x v="1100"/>
    <x v="2"/>
    <x v="1"/>
    <x v="2"/>
    <x v="469"/>
    <d v="2025-10-23T00:00:00"/>
    <d v="2020-09-14T00:00:00"/>
    <x v="1106"/>
    <s v="Sydney"/>
    <x v="2"/>
    <x v="0"/>
  </r>
  <r>
    <x v="1113"/>
    <x v="1101"/>
    <x v="4"/>
    <x v="2"/>
    <x v="1"/>
    <x v="979"/>
    <d v="2025-06-17T00:00:00"/>
    <d v="2021-04-27T00:00:00"/>
    <x v="1107"/>
    <s v="New York"/>
    <x v="2"/>
    <x v="0"/>
  </r>
  <r>
    <x v="1114"/>
    <x v="1102"/>
    <x v="5"/>
    <x v="1"/>
    <x v="2"/>
    <x v="980"/>
    <d v="2025-06-25T00:00:00"/>
    <d v="2020-12-31T00:00:00"/>
    <x v="1108"/>
    <s v="Singapore"/>
    <x v="1"/>
    <x v="1"/>
  </r>
  <r>
    <x v="1115"/>
    <x v="1103"/>
    <x v="3"/>
    <x v="4"/>
    <x v="1"/>
    <x v="981"/>
    <d v="2025-06-06T00:00:00"/>
    <d v="2020-04-05T00:00:00"/>
    <x v="15"/>
    <s v="New York"/>
    <x v="4"/>
    <x v="0"/>
  </r>
  <r>
    <x v="1116"/>
    <x v="1104"/>
    <x v="3"/>
    <x v="1"/>
    <x v="3"/>
    <x v="982"/>
    <d v="2025-07-01T00:00:00"/>
    <d v="2018-04-21T00:00:00"/>
    <x v="1109"/>
    <s v="Bangalore"/>
    <x v="3"/>
    <x v="0"/>
  </r>
  <r>
    <x v="1117"/>
    <x v="1105"/>
    <x v="0"/>
    <x v="3"/>
    <x v="1"/>
    <x v="983"/>
    <d v="2025-06-06T00:00:00"/>
    <d v="2016-01-17T00:00:00"/>
    <x v="1110"/>
    <s v="Bangalore"/>
    <x v="3"/>
    <x v="1"/>
  </r>
  <r>
    <x v="1118"/>
    <x v="1106"/>
    <x v="5"/>
    <x v="2"/>
    <x v="2"/>
    <x v="984"/>
    <d v="2025-10-30T00:00:00"/>
    <d v="2017-01-26T00:00:00"/>
    <x v="1111"/>
    <s v="Berlin"/>
    <x v="3"/>
    <x v="1"/>
  </r>
  <r>
    <x v="1119"/>
    <x v="1107"/>
    <x v="4"/>
    <x v="1"/>
    <x v="0"/>
    <x v="985"/>
    <d v="2025-09-18T00:00:00"/>
    <d v="2022-09-29T00:00:00"/>
    <x v="1112"/>
    <s v="Toronto"/>
    <x v="2"/>
    <x v="0"/>
  </r>
  <r>
    <x v="1120"/>
    <x v="1108"/>
    <x v="2"/>
    <x v="2"/>
    <x v="3"/>
    <x v="986"/>
    <d v="2026-01-09T00:00:00"/>
    <d v="2021-08-15T00:00:00"/>
    <x v="1113"/>
    <s v="London"/>
    <x v="3"/>
    <x v="0"/>
  </r>
  <r>
    <x v="1121"/>
    <x v="1109"/>
    <x v="4"/>
    <x v="0"/>
    <x v="3"/>
    <x v="987"/>
    <d v="2025-03-19T00:00:00"/>
    <d v="2023-11-24T00:00:00"/>
    <x v="1114"/>
    <s v="Bangalore"/>
    <x v="0"/>
    <x v="1"/>
  </r>
  <r>
    <x v="1122"/>
    <x v="1110"/>
    <x v="5"/>
    <x v="1"/>
    <x v="1"/>
    <x v="988"/>
    <d v="2026-02-08T00:00:00"/>
    <d v="2017-11-09T00:00:00"/>
    <x v="1115"/>
    <s v="Toronto"/>
    <x v="2"/>
    <x v="0"/>
  </r>
  <r>
    <x v="1123"/>
    <x v="1111"/>
    <x v="1"/>
    <x v="3"/>
    <x v="3"/>
    <x v="548"/>
    <d v="2025-07-26T00:00:00"/>
    <d v="2017-08-23T00:00:00"/>
    <x v="1116"/>
    <s v="New York"/>
    <x v="3"/>
    <x v="0"/>
  </r>
  <r>
    <x v="1124"/>
    <x v="1112"/>
    <x v="6"/>
    <x v="5"/>
    <x v="1"/>
    <x v="989"/>
    <d v="2025-10-15T00:00:00"/>
    <d v="2021-04-06T00:00:00"/>
    <x v="1117"/>
    <s v="Bangalore"/>
    <x v="3"/>
    <x v="0"/>
  </r>
  <r>
    <x v="1125"/>
    <x v="1113"/>
    <x v="3"/>
    <x v="3"/>
    <x v="3"/>
    <x v="990"/>
    <d v="2025-10-11T00:00:00"/>
    <d v="2021-05-11T00:00:00"/>
    <x v="1118"/>
    <s v="Singapore"/>
    <x v="0"/>
    <x v="1"/>
  </r>
  <r>
    <x v="1126"/>
    <x v="1114"/>
    <x v="0"/>
    <x v="1"/>
    <x v="1"/>
    <x v="991"/>
    <d v="2025-03-30T00:00:00"/>
    <d v="2023-02-16T00:00:00"/>
    <x v="1119"/>
    <s v="Toronto"/>
    <x v="2"/>
    <x v="0"/>
  </r>
  <r>
    <x v="1127"/>
    <x v="1115"/>
    <x v="6"/>
    <x v="3"/>
    <x v="1"/>
    <x v="992"/>
    <d v="2025-06-20T00:00:00"/>
    <d v="2016-04-01T00:00:00"/>
    <x v="1120"/>
    <s v="Toronto"/>
    <x v="3"/>
    <x v="0"/>
  </r>
  <r>
    <x v="1128"/>
    <x v="1116"/>
    <x v="3"/>
    <x v="1"/>
    <x v="1"/>
    <x v="993"/>
    <d v="2026-01-20T00:00:00"/>
    <d v="2020-01-22T00:00:00"/>
    <x v="1121"/>
    <s v="Berlin"/>
    <x v="0"/>
    <x v="0"/>
  </r>
  <r>
    <x v="1129"/>
    <x v="1117"/>
    <x v="3"/>
    <x v="0"/>
    <x v="3"/>
    <x v="118"/>
    <d v="2025-12-01T00:00:00"/>
    <d v="2023-12-08T00:00:00"/>
    <x v="1105"/>
    <s v="Sydney"/>
    <x v="4"/>
    <x v="0"/>
  </r>
  <r>
    <x v="1130"/>
    <x v="1118"/>
    <x v="4"/>
    <x v="2"/>
    <x v="2"/>
    <x v="994"/>
    <d v="2025-10-27T00:00:00"/>
    <d v="2023-08-19T00:00:00"/>
    <x v="1122"/>
    <s v="Bangalore"/>
    <x v="0"/>
    <x v="0"/>
  </r>
  <r>
    <x v="1131"/>
    <x v="1119"/>
    <x v="1"/>
    <x v="3"/>
    <x v="1"/>
    <x v="995"/>
    <d v="2025-06-07T00:00:00"/>
    <d v="2019-06-05T00:00:00"/>
    <x v="1123"/>
    <s v="Sydney"/>
    <x v="1"/>
    <x v="1"/>
  </r>
  <r>
    <x v="1132"/>
    <x v="1120"/>
    <x v="4"/>
    <x v="0"/>
    <x v="3"/>
    <x v="996"/>
    <d v="2025-11-16T00:00:00"/>
    <d v="2018-10-22T00:00:00"/>
    <x v="1124"/>
    <s v="Bangalore"/>
    <x v="2"/>
    <x v="1"/>
  </r>
  <r>
    <x v="1133"/>
    <x v="1121"/>
    <x v="6"/>
    <x v="4"/>
    <x v="2"/>
    <x v="153"/>
    <d v="2025-05-05T00:00:00"/>
    <d v="2019-07-17T00:00:00"/>
    <x v="1125"/>
    <s v="Sydney"/>
    <x v="2"/>
    <x v="1"/>
  </r>
  <r>
    <x v="1134"/>
    <x v="1122"/>
    <x v="6"/>
    <x v="5"/>
    <x v="2"/>
    <x v="997"/>
    <d v="2025-09-28T00:00:00"/>
    <d v="2021-04-06T00:00:00"/>
    <x v="1126"/>
    <s v="London"/>
    <x v="3"/>
    <x v="0"/>
  </r>
  <r>
    <x v="1135"/>
    <x v="1123"/>
    <x v="6"/>
    <x v="4"/>
    <x v="1"/>
    <x v="998"/>
    <d v="2026-02-16T00:00:00"/>
    <d v="2020-11-11T00:00:00"/>
    <x v="1127"/>
    <s v="Singapore"/>
    <x v="2"/>
    <x v="0"/>
  </r>
  <r>
    <x v="1136"/>
    <x v="1124"/>
    <x v="0"/>
    <x v="5"/>
    <x v="1"/>
    <x v="999"/>
    <d v="2025-07-29T00:00:00"/>
    <d v="2021-05-11T00:00:00"/>
    <x v="1128"/>
    <s v="London"/>
    <x v="0"/>
    <x v="1"/>
  </r>
  <r>
    <x v="1137"/>
    <x v="1125"/>
    <x v="3"/>
    <x v="3"/>
    <x v="2"/>
    <x v="1000"/>
    <d v="2025-06-21T00:00:00"/>
    <d v="2021-11-30T00:00:00"/>
    <x v="1129"/>
    <s v="Toronto"/>
    <x v="1"/>
    <x v="0"/>
  </r>
  <r>
    <x v="1138"/>
    <x v="1126"/>
    <x v="1"/>
    <x v="0"/>
    <x v="2"/>
    <x v="1001"/>
    <d v="2025-02-26T00:00:00"/>
    <d v="2022-07-05T00:00:00"/>
    <x v="1130"/>
    <s v="Bangalore"/>
    <x v="0"/>
    <x v="0"/>
  </r>
  <r>
    <x v="1139"/>
    <x v="1127"/>
    <x v="5"/>
    <x v="3"/>
    <x v="2"/>
    <x v="1002"/>
    <d v="2025-08-18T00:00:00"/>
    <d v="2018-07-08T00:00:00"/>
    <x v="1131"/>
    <s v="Singapore"/>
    <x v="1"/>
    <x v="1"/>
  </r>
  <r>
    <x v="1140"/>
    <x v="1128"/>
    <x v="0"/>
    <x v="5"/>
    <x v="0"/>
    <x v="1003"/>
    <d v="2025-03-26T00:00:00"/>
    <d v="2022-11-18T00:00:00"/>
    <x v="1132"/>
    <s v="New York"/>
    <x v="3"/>
    <x v="1"/>
  </r>
  <r>
    <x v="1141"/>
    <x v="1129"/>
    <x v="4"/>
    <x v="0"/>
    <x v="1"/>
    <x v="915"/>
    <d v="2025-07-06T00:00:00"/>
    <d v="2022-01-28T00:00:00"/>
    <x v="1133"/>
    <s v="New York"/>
    <x v="4"/>
    <x v="1"/>
  </r>
  <r>
    <x v="1142"/>
    <x v="1130"/>
    <x v="5"/>
    <x v="1"/>
    <x v="2"/>
    <x v="302"/>
    <d v="2025-09-24T00:00:00"/>
    <d v="2022-09-26T00:00:00"/>
    <x v="1134"/>
    <s v="Berlin"/>
    <x v="3"/>
    <x v="0"/>
  </r>
  <r>
    <x v="1143"/>
    <x v="1131"/>
    <x v="1"/>
    <x v="5"/>
    <x v="3"/>
    <x v="1004"/>
    <d v="2025-05-29T00:00:00"/>
    <d v="2021-06-09T00:00:00"/>
    <x v="1135"/>
    <s v="Berlin"/>
    <x v="3"/>
    <x v="1"/>
  </r>
  <r>
    <x v="1144"/>
    <x v="1132"/>
    <x v="4"/>
    <x v="5"/>
    <x v="1"/>
    <x v="1005"/>
    <d v="2025-04-19T00:00:00"/>
    <d v="2022-12-01T00:00:00"/>
    <x v="1136"/>
    <s v="Toronto"/>
    <x v="4"/>
    <x v="1"/>
  </r>
  <r>
    <x v="1145"/>
    <x v="1133"/>
    <x v="3"/>
    <x v="2"/>
    <x v="3"/>
    <x v="1006"/>
    <d v="2026-01-17T00:00:00"/>
    <d v="2019-09-26T00:00:00"/>
    <x v="1137"/>
    <s v="Singapore"/>
    <x v="2"/>
    <x v="0"/>
  </r>
  <r>
    <x v="1146"/>
    <x v="1134"/>
    <x v="1"/>
    <x v="3"/>
    <x v="2"/>
    <x v="1007"/>
    <d v="2025-04-23T00:00:00"/>
    <d v="2020-12-11T00:00:00"/>
    <x v="1138"/>
    <s v="Toronto"/>
    <x v="3"/>
    <x v="1"/>
  </r>
  <r>
    <x v="1147"/>
    <x v="1135"/>
    <x v="5"/>
    <x v="2"/>
    <x v="3"/>
    <x v="1008"/>
    <d v="2025-04-25T00:00:00"/>
    <d v="2023-12-19T00:00:00"/>
    <x v="1139"/>
    <s v="New York"/>
    <x v="2"/>
    <x v="1"/>
  </r>
  <r>
    <x v="1148"/>
    <x v="1136"/>
    <x v="1"/>
    <x v="5"/>
    <x v="3"/>
    <x v="1009"/>
    <d v="2025-12-21T00:00:00"/>
    <d v="2022-11-08T00:00:00"/>
    <x v="1140"/>
    <s v="Berlin"/>
    <x v="2"/>
    <x v="1"/>
  </r>
  <r>
    <x v="1149"/>
    <x v="1137"/>
    <x v="6"/>
    <x v="5"/>
    <x v="1"/>
    <x v="1010"/>
    <d v="2025-07-17T00:00:00"/>
    <d v="2016-11-19T00:00:00"/>
    <x v="1141"/>
    <s v="Singapore"/>
    <x v="2"/>
    <x v="0"/>
  </r>
  <r>
    <x v="1150"/>
    <x v="1138"/>
    <x v="0"/>
    <x v="1"/>
    <x v="3"/>
    <x v="52"/>
    <d v="2025-07-15T00:00:00"/>
    <d v="2020-09-27T00:00:00"/>
    <x v="1142"/>
    <s v="Sydney"/>
    <x v="4"/>
    <x v="0"/>
  </r>
  <r>
    <x v="1151"/>
    <x v="1139"/>
    <x v="5"/>
    <x v="4"/>
    <x v="1"/>
    <x v="936"/>
    <d v="2025-05-29T00:00:00"/>
    <d v="2023-08-17T00:00:00"/>
    <x v="1143"/>
    <s v="Berlin"/>
    <x v="4"/>
    <x v="1"/>
  </r>
  <r>
    <x v="1152"/>
    <x v="1140"/>
    <x v="1"/>
    <x v="1"/>
    <x v="0"/>
    <x v="1011"/>
    <d v="2025-08-19T00:00:00"/>
    <d v="2019-09-12T00:00:00"/>
    <x v="1144"/>
    <s v="Toronto"/>
    <x v="1"/>
    <x v="1"/>
  </r>
  <r>
    <x v="1153"/>
    <x v="1141"/>
    <x v="0"/>
    <x v="1"/>
    <x v="3"/>
    <x v="1012"/>
    <d v="2025-09-18T00:00:00"/>
    <d v="2016-03-08T00:00:00"/>
    <x v="1145"/>
    <s v="New York"/>
    <x v="3"/>
    <x v="1"/>
  </r>
  <r>
    <x v="1154"/>
    <x v="1142"/>
    <x v="3"/>
    <x v="3"/>
    <x v="2"/>
    <x v="1013"/>
    <d v="2025-07-06T00:00:00"/>
    <d v="2020-03-31T00:00:00"/>
    <x v="1146"/>
    <s v="London"/>
    <x v="2"/>
    <x v="1"/>
  </r>
  <r>
    <x v="1155"/>
    <x v="1143"/>
    <x v="0"/>
    <x v="5"/>
    <x v="0"/>
    <x v="455"/>
    <d v="2025-09-17T00:00:00"/>
    <d v="2016-06-15T00:00:00"/>
    <x v="1147"/>
    <s v="Berlin"/>
    <x v="3"/>
    <x v="1"/>
  </r>
  <r>
    <x v="1156"/>
    <x v="1144"/>
    <x v="4"/>
    <x v="4"/>
    <x v="0"/>
    <x v="1014"/>
    <d v="2025-11-02T00:00:00"/>
    <d v="2022-10-08T00:00:00"/>
    <x v="1148"/>
    <s v="Bangalore"/>
    <x v="1"/>
    <x v="0"/>
  </r>
  <r>
    <x v="1157"/>
    <x v="1145"/>
    <x v="5"/>
    <x v="2"/>
    <x v="0"/>
    <x v="1015"/>
    <d v="2025-09-19T00:00:00"/>
    <d v="2024-05-16T00:00:00"/>
    <x v="1149"/>
    <s v="Bangalore"/>
    <x v="1"/>
    <x v="0"/>
  </r>
  <r>
    <x v="1158"/>
    <x v="1146"/>
    <x v="4"/>
    <x v="2"/>
    <x v="0"/>
    <x v="1016"/>
    <d v="2026-01-03T00:00:00"/>
    <d v="2016-08-07T00:00:00"/>
    <x v="1150"/>
    <s v="Sydney"/>
    <x v="2"/>
    <x v="1"/>
  </r>
  <r>
    <x v="1159"/>
    <x v="1147"/>
    <x v="6"/>
    <x v="4"/>
    <x v="3"/>
    <x v="481"/>
    <d v="2025-10-15T00:00:00"/>
    <d v="2020-10-12T00:00:00"/>
    <x v="1151"/>
    <s v="New York"/>
    <x v="0"/>
    <x v="0"/>
  </r>
  <r>
    <x v="1160"/>
    <x v="1148"/>
    <x v="1"/>
    <x v="4"/>
    <x v="2"/>
    <x v="4"/>
    <d v="2026-01-04T00:00:00"/>
    <d v="2017-02-15T00:00:00"/>
    <x v="1152"/>
    <s v="Sydney"/>
    <x v="1"/>
    <x v="1"/>
  </r>
  <r>
    <x v="1161"/>
    <x v="1149"/>
    <x v="6"/>
    <x v="5"/>
    <x v="3"/>
    <x v="1017"/>
    <d v="2025-04-09T00:00:00"/>
    <d v="2020-09-03T00:00:00"/>
    <x v="1153"/>
    <s v="Toronto"/>
    <x v="0"/>
    <x v="0"/>
  </r>
  <r>
    <x v="1162"/>
    <x v="1150"/>
    <x v="2"/>
    <x v="4"/>
    <x v="2"/>
    <x v="1018"/>
    <d v="2025-05-10T00:00:00"/>
    <d v="2018-10-02T00:00:00"/>
    <x v="1154"/>
    <s v="Toronto"/>
    <x v="2"/>
    <x v="1"/>
  </r>
  <r>
    <x v="1163"/>
    <x v="1151"/>
    <x v="4"/>
    <x v="0"/>
    <x v="3"/>
    <x v="1019"/>
    <d v="2025-08-25T00:00:00"/>
    <d v="2023-02-13T00:00:00"/>
    <x v="1155"/>
    <s v="Bangalore"/>
    <x v="3"/>
    <x v="0"/>
  </r>
  <r>
    <x v="1164"/>
    <x v="1152"/>
    <x v="0"/>
    <x v="4"/>
    <x v="3"/>
    <x v="110"/>
    <d v="2025-07-25T00:00:00"/>
    <d v="2024-05-27T00:00:00"/>
    <x v="1156"/>
    <s v="New York"/>
    <x v="1"/>
    <x v="0"/>
  </r>
  <r>
    <x v="1165"/>
    <x v="1153"/>
    <x v="1"/>
    <x v="3"/>
    <x v="3"/>
    <x v="1020"/>
    <d v="2025-11-19T00:00:00"/>
    <d v="2018-09-16T00:00:00"/>
    <x v="1157"/>
    <s v="Singapore"/>
    <x v="0"/>
    <x v="1"/>
  </r>
  <r>
    <x v="1166"/>
    <x v="1154"/>
    <x v="2"/>
    <x v="2"/>
    <x v="2"/>
    <x v="1021"/>
    <d v="2025-04-14T00:00:00"/>
    <d v="2022-07-03T00:00:00"/>
    <x v="1158"/>
    <s v="New York"/>
    <x v="1"/>
    <x v="1"/>
  </r>
  <r>
    <x v="1167"/>
    <x v="1155"/>
    <x v="0"/>
    <x v="2"/>
    <x v="0"/>
    <x v="1022"/>
    <d v="2025-11-06T00:00:00"/>
    <d v="2022-07-16T00:00:00"/>
    <x v="1159"/>
    <s v="New York"/>
    <x v="3"/>
    <x v="0"/>
  </r>
  <r>
    <x v="1168"/>
    <x v="1156"/>
    <x v="6"/>
    <x v="5"/>
    <x v="0"/>
    <x v="1023"/>
    <d v="2025-03-11T00:00:00"/>
    <d v="2017-03-24T00:00:00"/>
    <x v="1160"/>
    <s v="Toronto"/>
    <x v="3"/>
    <x v="1"/>
  </r>
  <r>
    <x v="1169"/>
    <x v="1157"/>
    <x v="6"/>
    <x v="1"/>
    <x v="2"/>
    <x v="1024"/>
    <d v="2025-08-29T00:00:00"/>
    <d v="2023-04-07T00:00:00"/>
    <x v="1161"/>
    <s v="Bangalore"/>
    <x v="2"/>
    <x v="1"/>
  </r>
  <r>
    <x v="1170"/>
    <x v="1158"/>
    <x v="3"/>
    <x v="5"/>
    <x v="1"/>
    <x v="1025"/>
    <d v="2025-02-27T00:00:00"/>
    <d v="2021-02-18T00:00:00"/>
    <x v="1162"/>
    <s v="New York"/>
    <x v="0"/>
    <x v="1"/>
  </r>
  <r>
    <x v="1171"/>
    <x v="1159"/>
    <x v="3"/>
    <x v="5"/>
    <x v="2"/>
    <x v="1026"/>
    <d v="2026-02-05T00:00:00"/>
    <d v="2015-12-04T00:00:00"/>
    <x v="1163"/>
    <s v="Bangalore"/>
    <x v="1"/>
    <x v="1"/>
  </r>
  <r>
    <x v="1172"/>
    <x v="1160"/>
    <x v="3"/>
    <x v="5"/>
    <x v="1"/>
    <x v="1027"/>
    <d v="2025-03-15T00:00:00"/>
    <d v="2018-06-19T00:00:00"/>
    <x v="1164"/>
    <s v="Berlin"/>
    <x v="2"/>
    <x v="1"/>
  </r>
  <r>
    <x v="1173"/>
    <x v="1161"/>
    <x v="1"/>
    <x v="3"/>
    <x v="2"/>
    <x v="1028"/>
    <d v="2026-01-07T00:00:00"/>
    <d v="2022-05-10T00:00:00"/>
    <x v="1165"/>
    <s v="Toronto"/>
    <x v="1"/>
    <x v="0"/>
  </r>
  <r>
    <x v="1174"/>
    <x v="1162"/>
    <x v="6"/>
    <x v="1"/>
    <x v="3"/>
    <x v="1029"/>
    <d v="2025-06-13T00:00:00"/>
    <d v="2016-04-26T00:00:00"/>
    <x v="1166"/>
    <s v="Toronto"/>
    <x v="3"/>
    <x v="1"/>
  </r>
  <r>
    <x v="1175"/>
    <x v="1163"/>
    <x v="1"/>
    <x v="3"/>
    <x v="2"/>
    <x v="1030"/>
    <d v="2025-05-29T00:00:00"/>
    <d v="2015-09-01T00:00:00"/>
    <x v="1167"/>
    <s v="Toronto"/>
    <x v="1"/>
    <x v="1"/>
  </r>
  <r>
    <x v="1176"/>
    <x v="1164"/>
    <x v="4"/>
    <x v="0"/>
    <x v="0"/>
    <x v="1031"/>
    <d v="2025-05-27T00:00:00"/>
    <d v="2019-07-04T00:00:00"/>
    <x v="1168"/>
    <s v="Sydney"/>
    <x v="0"/>
    <x v="1"/>
  </r>
  <r>
    <x v="1177"/>
    <x v="1165"/>
    <x v="2"/>
    <x v="5"/>
    <x v="1"/>
    <x v="155"/>
    <d v="2025-12-25T00:00:00"/>
    <d v="2022-07-03T00:00:00"/>
    <x v="1169"/>
    <s v="New York"/>
    <x v="0"/>
    <x v="0"/>
  </r>
  <r>
    <x v="1178"/>
    <x v="1166"/>
    <x v="5"/>
    <x v="2"/>
    <x v="2"/>
    <x v="809"/>
    <d v="2026-02-07T00:00:00"/>
    <d v="2021-03-15T00:00:00"/>
    <x v="1170"/>
    <s v="New York"/>
    <x v="0"/>
    <x v="0"/>
  </r>
  <r>
    <x v="1179"/>
    <x v="1167"/>
    <x v="2"/>
    <x v="2"/>
    <x v="1"/>
    <x v="695"/>
    <d v="2025-05-16T00:00:00"/>
    <d v="2021-11-29T00:00:00"/>
    <x v="1171"/>
    <s v="Bangalore"/>
    <x v="1"/>
    <x v="0"/>
  </r>
  <r>
    <x v="1180"/>
    <x v="1168"/>
    <x v="3"/>
    <x v="3"/>
    <x v="0"/>
    <x v="1032"/>
    <d v="2025-04-26T00:00:00"/>
    <d v="2015-11-13T00:00:00"/>
    <x v="1172"/>
    <s v="Singapore"/>
    <x v="3"/>
    <x v="0"/>
  </r>
  <r>
    <x v="1181"/>
    <x v="1169"/>
    <x v="3"/>
    <x v="4"/>
    <x v="3"/>
    <x v="902"/>
    <d v="2025-06-28T00:00:00"/>
    <d v="2015-09-07T00:00:00"/>
    <x v="1173"/>
    <s v="London"/>
    <x v="1"/>
    <x v="0"/>
  </r>
  <r>
    <x v="1182"/>
    <x v="1170"/>
    <x v="6"/>
    <x v="1"/>
    <x v="1"/>
    <x v="1033"/>
    <d v="2025-07-10T00:00:00"/>
    <d v="2019-10-12T00:00:00"/>
    <x v="1174"/>
    <s v="Berlin"/>
    <x v="4"/>
    <x v="1"/>
  </r>
  <r>
    <x v="1183"/>
    <x v="1171"/>
    <x v="6"/>
    <x v="0"/>
    <x v="0"/>
    <x v="785"/>
    <d v="2025-05-18T00:00:00"/>
    <d v="2019-07-19T00:00:00"/>
    <x v="1175"/>
    <s v="New York"/>
    <x v="1"/>
    <x v="1"/>
  </r>
  <r>
    <x v="1184"/>
    <x v="1172"/>
    <x v="4"/>
    <x v="5"/>
    <x v="3"/>
    <x v="926"/>
    <d v="2025-12-29T00:00:00"/>
    <d v="2020-04-09T00:00:00"/>
    <x v="1176"/>
    <s v="Sydney"/>
    <x v="3"/>
    <x v="1"/>
  </r>
  <r>
    <x v="1185"/>
    <x v="1173"/>
    <x v="5"/>
    <x v="3"/>
    <x v="3"/>
    <x v="1034"/>
    <d v="2025-10-29T00:00:00"/>
    <d v="2020-05-26T00:00:00"/>
    <x v="1177"/>
    <s v="Singapore"/>
    <x v="2"/>
    <x v="1"/>
  </r>
  <r>
    <x v="1186"/>
    <x v="1174"/>
    <x v="6"/>
    <x v="4"/>
    <x v="1"/>
    <x v="752"/>
    <d v="2025-12-30T00:00:00"/>
    <d v="2021-11-17T00:00:00"/>
    <x v="1178"/>
    <s v="London"/>
    <x v="3"/>
    <x v="0"/>
  </r>
  <r>
    <x v="1187"/>
    <x v="1175"/>
    <x v="3"/>
    <x v="2"/>
    <x v="3"/>
    <x v="1035"/>
    <d v="2025-04-28T00:00:00"/>
    <d v="2020-12-18T00:00:00"/>
    <x v="1179"/>
    <s v="Singapore"/>
    <x v="0"/>
    <x v="1"/>
  </r>
  <r>
    <x v="1188"/>
    <x v="1176"/>
    <x v="5"/>
    <x v="5"/>
    <x v="2"/>
    <x v="1036"/>
    <d v="2026-01-11T00:00:00"/>
    <d v="2022-10-31T00:00:00"/>
    <x v="1180"/>
    <s v="Bangalore"/>
    <x v="1"/>
    <x v="0"/>
  </r>
  <r>
    <x v="1189"/>
    <x v="1177"/>
    <x v="1"/>
    <x v="2"/>
    <x v="2"/>
    <x v="1037"/>
    <d v="2025-05-27T00:00:00"/>
    <d v="2020-03-08T00:00:00"/>
    <x v="1181"/>
    <s v="Sydney"/>
    <x v="2"/>
    <x v="1"/>
  </r>
  <r>
    <x v="1190"/>
    <x v="1178"/>
    <x v="2"/>
    <x v="2"/>
    <x v="0"/>
    <x v="1038"/>
    <d v="2025-08-17T00:00:00"/>
    <d v="2018-10-13T00:00:00"/>
    <x v="1182"/>
    <s v="Berlin"/>
    <x v="4"/>
    <x v="1"/>
  </r>
  <r>
    <x v="1191"/>
    <x v="1179"/>
    <x v="1"/>
    <x v="0"/>
    <x v="2"/>
    <x v="325"/>
    <d v="2025-11-07T00:00:00"/>
    <d v="2016-02-19T00:00:00"/>
    <x v="1183"/>
    <s v="Toronto"/>
    <x v="3"/>
    <x v="0"/>
  </r>
  <r>
    <x v="1192"/>
    <x v="1180"/>
    <x v="4"/>
    <x v="4"/>
    <x v="3"/>
    <x v="1039"/>
    <d v="2025-11-16T00:00:00"/>
    <d v="2016-07-21T00:00:00"/>
    <x v="1184"/>
    <s v="Singapore"/>
    <x v="3"/>
    <x v="0"/>
  </r>
  <r>
    <x v="1193"/>
    <x v="1181"/>
    <x v="6"/>
    <x v="4"/>
    <x v="2"/>
    <x v="1040"/>
    <d v="2025-10-02T00:00:00"/>
    <d v="2020-12-01T00:00:00"/>
    <x v="1185"/>
    <s v="Toronto"/>
    <x v="2"/>
    <x v="0"/>
  </r>
  <r>
    <x v="1194"/>
    <x v="1182"/>
    <x v="4"/>
    <x v="0"/>
    <x v="0"/>
    <x v="1041"/>
    <d v="2025-03-30T00:00:00"/>
    <d v="2024-03-21T00:00:00"/>
    <x v="1186"/>
    <s v="Bangalore"/>
    <x v="0"/>
    <x v="0"/>
  </r>
  <r>
    <x v="1195"/>
    <x v="1183"/>
    <x v="3"/>
    <x v="1"/>
    <x v="0"/>
    <x v="1042"/>
    <d v="2025-04-11T00:00:00"/>
    <d v="2016-02-25T00:00:00"/>
    <x v="1187"/>
    <s v="Singapore"/>
    <x v="2"/>
    <x v="1"/>
  </r>
  <r>
    <x v="1196"/>
    <x v="1184"/>
    <x v="6"/>
    <x v="0"/>
    <x v="2"/>
    <x v="1043"/>
    <d v="2025-05-12T00:00:00"/>
    <d v="2021-10-21T00:00:00"/>
    <x v="1188"/>
    <s v="New York"/>
    <x v="4"/>
    <x v="1"/>
  </r>
  <r>
    <x v="1197"/>
    <x v="1185"/>
    <x v="5"/>
    <x v="5"/>
    <x v="1"/>
    <x v="795"/>
    <d v="2025-08-07T00:00:00"/>
    <d v="2020-07-24T00:00:00"/>
    <x v="1189"/>
    <s v="New York"/>
    <x v="0"/>
    <x v="1"/>
  </r>
  <r>
    <x v="1198"/>
    <x v="1186"/>
    <x v="3"/>
    <x v="4"/>
    <x v="2"/>
    <x v="173"/>
    <d v="2025-11-22T00:00:00"/>
    <d v="2016-08-17T00:00:00"/>
    <x v="1190"/>
    <s v="Berlin"/>
    <x v="3"/>
    <x v="1"/>
  </r>
  <r>
    <x v="1199"/>
    <x v="1187"/>
    <x v="2"/>
    <x v="5"/>
    <x v="2"/>
    <x v="1044"/>
    <d v="2025-09-21T00:00:00"/>
    <d v="2020-10-10T00:00:00"/>
    <x v="1191"/>
    <s v="London"/>
    <x v="0"/>
    <x v="1"/>
  </r>
  <r>
    <x v="1200"/>
    <x v="1188"/>
    <x v="1"/>
    <x v="1"/>
    <x v="3"/>
    <x v="1045"/>
    <d v="2025-10-09T00:00:00"/>
    <d v="2020-12-10T00:00:00"/>
    <x v="1192"/>
    <s v="Toronto"/>
    <x v="4"/>
    <x v="1"/>
  </r>
  <r>
    <x v="1201"/>
    <x v="1189"/>
    <x v="6"/>
    <x v="5"/>
    <x v="1"/>
    <x v="1046"/>
    <d v="2025-11-22T00:00:00"/>
    <d v="2016-03-18T00:00:00"/>
    <x v="1193"/>
    <s v="London"/>
    <x v="1"/>
    <x v="0"/>
  </r>
  <r>
    <x v="1202"/>
    <x v="1190"/>
    <x v="2"/>
    <x v="5"/>
    <x v="1"/>
    <x v="1047"/>
    <d v="2026-01-09T00:00:00"/>
    <d v="2022-01-28T00:00:00"/>
    <x v="1194"/>
    <s v="Singapore"/>
    <x v="4"/>
    <x v="0"/>
  </r>
  <r>
    <x v="1203"/>
    <x v="1191"/>
    <x v="2"/>
    <x v="4"/>
    <x v="0"/>
    <x v="451"/>
    <d v="2025-09-11T00:00:00"/>
    <d v="2019-01-21T00:00:00"/>
    <x v="1195"/>
    <s v="Toronto"/>
    <x v="2"/>
    <x v="1"/>
  </r>
  <r>
    <x v="1204"/>
    <x v="1192"/>
    <x v="3"/>
    <x v="1"/>
    <x v="2"/>
    <x v="1048"/>
    <d v="2025-05-22T00:00:00"/>
    <d v="2016-07-04T00:00:00"/>
    <x v="1196"/>
    <s v="Toronto"/>
    <x v="4"/>
    <x v="1"/>
  </r>
  <r>
    <x v="1205"/>
    <x v="1193"/>
    <x v="1"/>
    <x v="3"/>
    <x v="3"/>
    <x v="342"/>
    <d v="2026-02-04T00:00:00"/>
    <d v="2022-04-25T00:00:00"/>
    <x v="1197"/>
    <s v="Berlin"/>
    <x v="1"/>
    <x v="0"/>
  </r>
  <r>
    <x v="1206"/>
    <x v="1194"/>
    <x v="6"/>
    <x v="5"/>
    <x v="0"/>
    <x v="1049"/>
    <d v="2025-05-17T00:00:00"/>
    <d v="2018-05-16T00:00:00"/>
    <x v="1198"/>
    <s v="New York"/>
    <x v="0"/>
    <x v="0"/>
  </r>
  <r>
    <x v="1207"/>
    <x v="1195"/>
    <x v="5"/>
    <x v="1"/>
    <x v="1"/>
    <x v="1050"/>
    <d v="2025-09-07T00:00:00"/>
    <d v="2015-12-14T00:00:00"/>
    <x v="1199"/>
    <s v="Sydney"/>
    <x v="2"/>
    <x v="0"/>
  </r>
  <r>
    <x v="1208"/>
    <x v="1196"/>
    <x v="1"/>
    <x v="3"/>
    <x v="3"/>
    <x v="1051"/>
    <d v="2026-02-04T00:00:00"/>
    <d v="2016-03-11T00:00:00"/>
    <x v="1200"/>
    <s v="London"/>
    <x v="3"/>
    <x v="0"/>
  </r>
  <r>
    <x v="1209"/>
    <x v="1197"/>
    <x v="1"/>
    <x v="2"/>
    <x v="0"/>
    <x v="847"/>
    <d v="2025-10-23T00:00:00"/>
    <d v="2022-09-18T00:00:00"/>
    <x v="1201"/>
    <s v="Toronto"/>
    <x v="1"/>
    <x v="0"/>
  </r>
  <r>
    <x v="1210"/>
    <x v="1198"/>
    <x v="3"/>
    <x v="4"/>
    <x v="0"/>
    <x v="1052"/>
    <d v="2025-05-01T00:00:00"/>
    <d v="2018-02-11T00:00:00"/>
    <x v="1202"/>
    <s v="Bangalore"/>
    <x v="4"/>
    <x v="1"/>
  </r>
  <r>
    <x v="1211"/>
    <x v="1199"/>
    <x v="6"/>
    <x v="5"/>
    <x v="1"/>
    <x v="524"/>
    <d v="2025-10-13T00:00:00"/>
    <d v="2018-07-28T00:00:00"/>
    <x v="353"/>
    <s v="Berlin"/>
    <x v="0"/>
    <x v="0"/>
  </r>
  <r>
    <x v="1212"/>
    <x v="1200"/>
    <x v="5"/>
    <x v="5"/>
    <x v="1"/>
    <x v="1053"/>
    <d v="2025-02-17T00:00:00"/>
    <d v="2015-12-05T00:00:00"/>
    <x v="1203"/>
    <s v="Bangalore"/>
    <x v="3"/>
    <x v="0"/>
  </r>
  <r>
    <x v="1213"/>
    <x v="1201"/>
    <x v="1"/>
    <x v="2"/>
    <x v="3"/>
    <x v="1054"/>
    <d v="2025-12-07T00:00:00"/>
    <d v="2021-01-28T00:00:00"/>
    <x v="1204"/>
    <s v="New York"/>
    <x v="1"/>
    <x v="1"/>
  </r>
  <r>
    <x v="1214"/>
    <x v="1202"/>
    <x v="2"/>
    <x v="4"/>
    <x v="2"/>
    <x v="1055"/>
    <d v="2026-02-10T00:00:00"/>
    <d v="2022-07-10T00:00:00"/>
    <x v="1205"/>
    <s v="New York"/>
    <x v="0"/>
    <x v="1"/>
  </r>
  <r>
    <x v="1215"/>
    <x v="1203"/>
    <x v="2"/>
    <x v="4"/>
    <x v="3"/>
    <x v="1056"/>
    <d v="2025-07-14T00:00:00"/>
    <d v="2015-10-19T00:00:00"/>
    <x v="1206"/>
    <s v="London"/>
    <x v="1"/>
    <x v="1"/>
  </r>
  <r>
    <x v="1216"/>
    <x v="1204"/>
    <x v="4"/>
    <x v="5"/>
    <x v="1"/>
    <x v="1057"/>
    <d v="2025-10-08T00:00:00"/>
    <d v="2021-03-29T00:00:00"/>
    <x v="1207"/>
    <s v="Singapore"/>
    <x v="4"/>
    <x v="0"/>
  </r>
  <r>
    <x v="1217"/>
    <x v="1205"/>
    <x v="4"/>
    <x v="4"/>
    <x v="0"/>
    <x v="1058"/>
    <d v="2025-12-31T00:00:00"/>
    <d v="2024-04-28T00:00:00"/>
    <x v="1208"/>
    <s v="Bangalore"/>
    <x v="0"/>
    <x v="1"/>
  </r>
  <r>
    <x v="1218"/>
    <x v="1206"/>
    <x v="5"/>
    <x v="3"/>
    <x v="2"/>
    <x v="31"/>
    <d v="2025-12-16T00:00:00"/>
    <d v="2016-04-15T00:00:00"/>
    <x v="1209"/>
    <s v="Sydney"/>
    <x v="2"/>
    <x v="1"/>
  </r>
  <r>
    <x v="1219"/>
    <x v="1207"/>
    <x v="2"/>
    <x v="0"/>
    <x v="1"/>
    <x v="1059"/>
    <d v="2025-07-06T00:00:00"/>
    <d v="2021-08-29T00:00:00"/>
    <x v="1210"/>
    <s v="New York"/>
    <x v="2"/>
    <x v="1"/>
  </r>
  <r>
    <x v="1220"/>
    <x v="1208"/>
    <x v="4"/>
    <x v="2"/>
    <x v="1"/>
    <x v="1060"/>
    <d v="2025-06-15T00:00:00"/>
    <d v="2024-01-05T00:00:00"/>
    <x v="1211"/>
    <s v="Bangalore"/>
    <x v="0"/>
    <x v="0"/>
  </r>
  <r>
    <x v="1221"/>
    <x v="1209"/>
    <x v="0"/>
    <x v="4"/>
    <x v="0"/>
    <x v="367"/>
    <d v="2025-02-25T00:00:00"/>
    <d v="2021-08-23T00:00:00"/>
    <x v="1212"/>
    <s v="Bangalore"/>
    <x v="1"/>
    <x v="0"/>
  </r>
  <r>
    <x v="1222"/>
    <x v="1210"/>
    <x v="2"/>
    <x v="0"/>
    <x v="0"/>
    <x v="637"/>
    <d v="2025-08-06T00:00:00"/>
    <d v="2020-07-31T00:00:00"/>
    <x v="1213"/>
    <s v="London"/>
    <x v="0"/>
    <x v="0"/>
  </r>
  <r>
    <x v="1223"/>
    <x v="1211"/>
    <x v="0"/>
    <x v="5"/>
    <x v="3"/>
    <x v="1061"/>
    <d v="2025-11-28T00:00:00"/>
    <d v="2019-10-13T00:00:00"/>
    <x v="1214"/>
    <s v="Singapore"/>
    <x v="3"/>
    <x v="1"/>
  </r>
  <r>
    <x v="1224"/>
    <x v="1212"/>
    <x v="0"/>
    <x v="0"/>
    <x v="0"/>
    <x v="1062"/>
    <d v="2025-04-23T00:00:00"/>
    <d v="2019-11-02T00:00:00"/>
    <x v="1215"/>
    <s v="Singapore"/>
    <x v="1"/>
    <x v="1"/>
  </r>
  <r>
    <x v="1225"/>
    <x v="1213"/>
    <x v="0"/>
    <x v="2"/>
    <x v="0"/>
    <x v="1011"/>
    <d v="2025-06-16T00:00:00"/>
    <d v="2022-02-09T00:00:00"/>
    <x v="1216"/>
    <s v="Sydney"/>
    <x v="4"/>
    <x v="0"/>
  </r>
  <r>
    <x v="1226"/>
    <x v="1214"/>
    <x v="5"/>
    <x v="3"/>
    <x v="0"/>
    <x v="1063"/>
    <d v="2026-02-07T00:00:00"/>
    <d v="2022-01-09T00:00:00"/>
    <x v="1217"/>
    <s v="Singapore"/>
    <x v="0"/>
    <x v="1"/>
  </r>
  <r>
    <x v="1227"/>
    <x v="1215"/>
    <x v="3"/>
    <x v="2"/>
    <x v="1"/>
    <x v="873"/>
    <d v="2025-12-24T00:00:00"/>
    <d v="2016-01-06T00:00:00"/>
    <x v="1218"/>
    <s v="Toronto"/>
    <x v="2"/>
    <x v="1"/>
  </r>
  <r>
    <x v="1228"/>
    <x v="1216"/>
    <x v="5"/>
    <x v="3"/>
    <x v="3"/>
    <x v="385"/>
    <d v="2025-12-22T00:00:00"/>
    <d v="2022-08-05T00:00:00"/>
    <x v="1219"/>
    <s v="Singapore"/>
    <x v="0"/>
    <x v="1"/>
  </r>
  <r>
    <x v="1229"/>
    <x v="1217"/>
    <x v="6"/>
    <x v="5"/>
    <x v="0"/>
    <x v="1064"/>
    <d v="2025-05-08T00:00:00"/>
    <d v="2019-05-02T00:00:00"/>
    <x v="1220"/>
    <s v="New York"/>
    <x v="3"/>
    <x v="0"/>
  </r>
  <r>
    <x v="1230"/>
    <x v="1218"/>
    <x v="4"/>
    <x v="3"/>
    <x v="0"/>
    <x v="1065"/>
    <d v="2025-06-05T00:00:00"/>
    <d v="2021-02-14T00:00:00"/>
    <x v="1221"/>
    <s v="Bangalore"/>
    <x v="2"/>
    <x v="0"/>
  </r>
  <r>
    <x v="1231"/>
    <x v="1219"/>
    <x v="4"/>
    <x v="3"/>
    <x v="0"/>
    <x v="1066"/>
    <d v="2025-08-31T00:00:00"/>
    <d v="2024-01-18T00:00:00"/>
    <x v="1222"/>
    <s v="London"/>
    <x v="0"/>
    <x v="1"/>
  </r>
  <r>
    <x v="1232"/>
    <x v="1220"/>
    <x v="4"/>
    <x v="0"/>
    <x v="1"/>
    <x v="1067"/>
    <d v="2026-01-17T00:00:00"/>
    <d v="2017-08-21T00:00:00"/>
    <x v="1223"/>
    <s v="Bangalore"/>
    <x v="0"/>
    <x v="0"/>
  </r>
  <r>
    <x v="1233"/>
    <x v="1221"/>
    <x v="0"/>
    <x v="3"/>
    <x v="2"/>
    <x v="1068"/>
    <d v="2025-12-11T00:00:00"/>
    <d v="2021-01-23T00:00:00"/>
    <x v="1224"/>
    <s v="Singapore"/>
    <x v="1"/>
    <x v="1"/>
  </r>
  <r>
    <x v="1234"/>
    <x v="1222"/>
    <x v="0"/>
    <x v="0"/>
    <x v="1"/>
    <x v="1069"/>
    <d v="2025-07-19T00:00:00"/>
    <d v="2024-03-06T00:00:00"/>
    <x v="1225"/>
    <s v="New York"/>
    <x v="3"/>
    <x v="1"/>
  </r>
  <r>
    <x v="1235"/>
    <x v="1223"/>
    <x v="1"/>
    <x v="2"/>
    <x v="0"/>
    <x v="1070"/>
    <d v="2025-05-16T00:00:00"/>
    <d v="2016-05-17T00:00:00"/>
    <x v="1226"/>
    <s v="Bangalore"/>
    <x v="3"/>
    <x v="1"/>
  </r>
  <r>
    <x v="1236"/>
    <x v="1224"/>
    <x v="0"/>
    <x v="3"/>
    <x v="3"/>
    <x v="1071"/>
    <d v="2025-08-23T00:00:00"/>
    <d v="2021-05-19T00:00:00"/>
    <x v="1227"/>
    <s v="London"/>
    <x v="4"/>
    <x v="1"/>
  </r>
  <r>
    <x v="1237"/>
    <x v="1225"/>
    <x v="2"/>
    <x v="2"/>
    <x v="3"/>
    <x v="840"/>
    <d v="2025-06-13T00:00:00"/>
    <d v="2019-04-10T00:00:00"/>
    <x v="1228"/>
    <s v="Bangalore"/>
    <x v="1"/>
    <x v="0"/>
  </r>
  <r>
    <x v="1238"/>
    <x v="1226"/>
    <x v="3"/>
    <x v="3"/>
    <x v="1"/>
    <x v="745"/>
    <d v="2025-04-19T00:00:00"/>
    <d v="2021-10-07T00:00:00"/>
    <x v="1229"/>
    <s v="Toronto"/>
    <x v="1"/>
    <x v="0"/>
  </r>
  <r>
    <x v="1239"/>
    <x v="1227"/>
    <x v="0"/>
    <x v="2"/>
    <x v="3"/>
    <x v="529"/>
    <d v="2025-08-18T00:00:00"/>
    <d v="2021-11-12T00:00:00"/>
    <x v="1230"/>
    <s v="Berlin"/>
    <x v="3"/>
    <x v="0"/>
  </r>
  <r>
    <x v="1240"/>
    <x v="1228"/>
    <x v="2"/>
    <x v="3"/>
    <x v="0"/>
    <x v="1072"/>
    <d v="2025-06-27T00:00:00"/>
    <d v="2022-01-11T00:00:00"/>
    <x v="1231"/>
    <s v="New York"/>
    <x v="1"/>
    <x v="0"/>
  </r>
  <r>
    <x v="1241"/>
    <x v="1229"/>
    <x v="0"/>
    <x v="3"/>
    <x v="2"/>
    <x v="1073"/>
    <d v="2025-11-14T00:00:00"/>
    <d v="2019-08-29T00:00:00"/>
    <x v="1232"/>
    <s v="Bangalore"/>
    <x v="2"/>
    <x v="0"/>
  </r>
  <r>
    <x v="1242"/>
    <x v="1230"/>
    <x v="6"/>
    <x v="3"/>
    <x v="1"/>
    <x v="108"/>
    <d v="2025-10-16T00:00:00"/>
    <d v="2022-06-09T00:00:00"/>
    <x v="1233"/>
    <s v="New York"/>
    <x v="2"/>
    <x v="1"/>
  </r>
  <r>
    <x v="1243"/>
    <x v="1231"/>
    <x v="2"/>
    <x v="5"/>
    <x v="3"/>
    <x v="528"/>
    <d v="2025-02-25T00:00:00"/>
    <d v="2015-10-01T00:00:00"/>
    <x v="1234"/>
    <s v="Sydney"/>
    <x v="3"/>
    <x v="1"/>
  </r>
  <r>
    <x v="1244"/>
    <x v="1232"/>
    <x v="4"/>
    <x v="5"/>
    <x v="2"/>
    <x v="1074"/>
    <d v="2025-12-23T00:00:00"/>
    <d v="2019-06-12T00:00:00"/>
    <x v="1235"/>
    <s v="Berlin"/>
    <x v="3"/>
    <x v="1"/>
  </r>
  <r>
    <x v="1245"/>
    <x v="1233"/>
    <x v="2"/>
    <x v="0"/>
    <x v="0"/>
    <x v="1075"/>
    <d v="2025-04-03T00:00:00"/>
    <d v="2024-04-13T00:00:00"/>
    <x v="1236"/>
    <s v="Singapore"/>
    <x v="2"/>
    <x v="1"/>
  </r>
  <r>
    <x v="1246"/>
    <x v="1234"/>
    <x v="1"/>
    <x v="0"/>
    <x v="3"/>
    <x v="1076"/>
    <d v="2025-08-07T00:00:00"/>
    <d v="2022-05-03T00:00:00"/>
    <x v="1237"/>
    <s v="Bangalore"/>
    <x v="1"/>
    <x v="1"/>
  </r>
  <r>
    <x v="1247"/>
    <x v="1235"/>
    <x v="0"/>
    <x v="5"/>
    <x v="1"/>
    <x v="1077"/>
    <d v="2025-08-22T00:00:00"/>
    <d v="2017-10-06T00:00:00"/>
    <x v="1238"/>
    <s v="London"/>
    <x v="1"/>
    <x v="1"/>
  </r>
  <r>
    <x v="1248"/>
    <x v="1236"/>
    <x v="0"/>
    <x v="5"/>
    <x v="2"/>
    <x v="1078"/>
    <d v="2025-05-15T00:00:00"/>
    <d v="2024-08-02T00:00:00"/>
    <x v="1239"/>
    <s v="Toronto"/>
    <x v="1"/>
    <x v="0"/>
  </r>
  <r>
    <x v="1249"/>
    <x v="1237"/>
    <x v="5"/>
    <x v="4"/>
    <x v="0"/>
    <x v="425"/>
    <d v="2025-08-01T00:00:00"/>
    <d v="2018-07-31T00:00:00"/>
    <x v="1240"/>
    <s v="Berlin"/>
    <x v="1"/>
    <x v="1"/>
  </r>
  <r>
    <x v="1250"/>
    <x v="255"/>
    <x v="6"/>
    <x v="3"/>
    <x v="2"/>
    <x v="1079"/>
    <d v="2025-11-05T00:00:00"/>
    <d v="2023-11-11T00:00:00"/>
    <x v="1241"/>
    <s v="Sydney"/>
    <x v="4"/>
    <x v="1"/>
  </r>
  <r>
    <x v="1251"/>
    <x v="1238"/>
    <x v="6"/>
    <x v="5"/>
    <x v="2"/>
    <x v="1080"/>
    <d v="2025-05-24T00:00:00"/>
    <d v="2023-06-15T00:00:00"/>
    <x v="1242"/>
    <s v="Berlin"/>
    <x v="4"/>
    <x v="0"/>
  </r>
  <r>
    <x v="1252"/>
    <x v="1239"/>
    <x v="6"/>
    <x v="2"/>
    <x v="1"/>
    <x v="1081"/>
    <d v="2025-08-17T00:00:00"/>
    <d v="2018-03-21T00:00:00"/>
    <x v="1243"/>
    <s v="Bangalore"/>
    <x v="1"/>
    <x v="1"/>
  </r>
  <r>
    <x v="1253"/>
    <x v="1240"/>
    <x v="2"/>
    <x v="5"/>
    <x v="2"/>
    <x v="187"/>
    <d v="2025-06-24T00:00:00"/>
    <d v="2016-04-13T00:00:00"/>
    <x v="1244"/>
    <s v="Toronto"/>
    <x v="1"/>
    <x v="0"/>
  </r>
  <r>
    <x v="1254"/>
    <x v="1241"/>
    <x v="6"/>
    <x v="0"/>
    <x v="3"/>
    <x v="1082"/>
    <d v="2025-09-20T00:00:00"/>
    <d v="2023-10-13T00:00:00"/>
    <x v="1245"/>
    <s v="London"/>
    <x v="0"/>
    <x v="0"/>
  </r>
  <r>
    <x v="1255"/>
    <x v="1242"/>
    <x v="0"/>
    <x v="5"/>
    <x v="1"/>
    <x v="1083"/>
    <d v="2025-11-25T00:00:00"/>
    <d v="2018-11-18T00:00:00"/>
    <x v="1246"/>
    <s v="Toronto"/>
    <x v="2"/>
    <x v="0"/>
  </r>
  <r>
    <x v="1256"/>
    <x v="1243"/>
    <x v="6"/>
    <x v="1"/>
    <x v="3"/>
    <x v="1084"/>
    <d v="2025-03-29T00:00:00"/>
    <d v="2016-05-19T00:00:00"/>
    <x v="1247"/>
    <s v="Toronto"/>
    <x v="0"/>
    <x v="0"/>
  </r>
  <r>
    <x v="1257"/>
    <x v="1244"/>
    <x v="4"/>
    <x v="3"/>
    <x v="3"/>
    <x v="267"/>
    <d v="2026-02-08T00:00:00"/>
    <d v="2017-07-20T00:00:00"/>
    <x v="1248"/>
    <s v="Sydney"/>
    <x v="0"/>
    <x v="0"/>
  </r>
  <r>
    <x v="1258"/>
    <x v="1245"/>
    <x v="5"/>
    <x v="1"/>
    <x v="1"/>
    <x v="841"/>
    <d v="2025-09-10T00:00:00"/>
    <d v="2017-06-17T00:00:00"/>
    <x v="1249"/>
    <s v="Sydney"/>
    <x v="0"/>
    <x v="1"/>
  </r>
  <r>
    <x v="1259"/>
    <x v="1246"/>
    <x v="3"/>
    <x v="3"/>
    <x v="0"/>
    <x v="1085"/>
    <d v="2025-02-25T00:00:00"/>
    <d v="2020-03-28T00:00:00"/>
    <x v="1250"/>
    <s v="New York"/>
    <x v="3"/>
    <x v="1"/>
  </r>
  <r>
    <x v="1260"/>
    <x v="1247"/>
    <x v="5"/>
    <x v="3"/>
    <x v="1"/>
    <x v="1086"/>
    <d v="2025-08-07T00:00:00"/>
    <d v="2020-10-04T00:00:00"/>
    <x v="1251"/>
    <s v="Berlin"/>
    <x v="0"/>
    <x v="1"/>
  </r>
  <r>
    <x v="1261"/>
    <x v="1248"/>
    <x v="3"/>
    <x v="4"/>
    <x v="1"/>
    <x v="235"/>
    <d v="2025-04-17T00:00:00"/>
    <d v="2016-12-19T00:00:00"/>
    <x v="1252"/>
    <s v="Berlin"/>
    <x v="4"/>
    <x v="1"/>
  </r>
  <r>
    <x v="1262"/>
    <x v="1249"/>
    <x v="1"/>
    <x v="1"/>
    <x v="1"/>
    <x v="1087"/>
    <d v="2025-10-05T00:00:00"/>
    <d v="2021-05-14T00:00:00"/>
    <x v="1253"/>
    <s v="Berlin"/>
    <x v="0"/>
    <x v="0"/>
  </r>
  <r>
    <x v="1263"/>
    <x v="1250"/>
    <x v="2"/>
    <x v="4"/>
    <x v="3"/>
    <x v="1088"/>
    <d v="2025-12-17T00:00:00"/>
    <d v="2019-07-24T00:00:00"/>
    <x v="1254"/>
    <s v="Berlin"/>
    <x v="0"/>
    <x v="0"/>
  </r>
  <r>
    <x v="1264"/>
    <x v="1251"/>
    <x v="1"/>
    <x v="2"/>
    <x v="2"/>
    <x v="1089"/>
    <d v="2026-02-11T00:00:00"/>
    <d v="2022-04-02T00:00:00"/>
    <x v="1255"/>
    <s v="Bangalore"/>
    <x v="3"/>
    <x v="0"/>
  </r>
  <r>
    <x v="1265"/>
    <x v="1252"/>
    <x v="1"/>
    <x v="2"/>
    <x v="2"/>
    <x v="1090"/>
    <d v="2025-07-31T00:00:00"/>
    <d v="2019-02-22T00:00:00"/>
    <x v="1256"/>
    <s v="New York"/>
    <x v="4"/>
    <x v="1"/>
  </r>
  <r>
    <x v="1266"/>
    <x v="1253"/>
    <x v="2"/>
    <x v="4"/>
    <x v="1"/>
    <x v="1091"/>
    <d v="2025-04-15T00:00:00"/>
    <d v="2017-07-01T00:00:00"/>
    <x v="1257"/>
    <s v="Singapore"/>
    <x v="2"/>
    <x v="0"/>
  </r>
  <r>
    <x v="1267"/>
    <x v="1254"/>
    <x v="0"/>
    <x v="2"/>
    <x v="2"/>
    <x v="1092"/>
    <d v="2025-10-19T00:00:00"/>
    <d v="2019-04-28T00:00:00"/>
    <x v="1258"/>
    <s v="Toronto"/>
    <x v="1"/>
    <x v="0"/>
  </r>
  <r>
    <x v="1268"/>
    <x v="1255"/>
    <x v="6"/>
    <x v="4"/>
    <x v="3"/>
    <x v="681"/>
    <d v="2025-06-18T00:00:00"/>
    <d v="2018-04-10T00:00:00"/>
    <x v="1259"/>
    <s v="Singapore"/>
    <x v="0"/>
    <x v="0"/>
  </r>
  <r>
    <x v="1269"/>
    <x v="1256"/>
    <x v="4"/>
    <x v="2"/>
    <x v="3"/>
    <x v="1093"/>
    <d v="2025-10-04T00:00:00"/>
    <d v="2021-01-30T00:00:00"/>
    <x v="1260"/>
    <s v="London"/>
    <x v="4"/>
    <x v="1"/>
  </r>
  <r>
    <x v="1270"/>
    <x v="1257"/>
    <x v="2"/>
    <x v="3"/>
    <x v="1"/>
    <x v="1094"/>
    <d v="2025-05-17T00:00:00"/>
    <d v="2020-01-08T00:00:00"/>
    <x v="1261"/>
    <s v="Bangalore"/>
    <x v="0"/>
    <x v="1"/>
  </r>
  <r>
    <x v="1271"/>
    <x v="1258"/>
    <x v="2"/>
    <x v="0"/>
    <x v="3"/>
    <x v="1063"/>
    <d v="2026-02-01T00:00:00"/>
    <d v="2021-11-28T00:00:00"/>
    <x v="1262"/>
    <s v="Singapore"/>
    <x v="0"/>
    <x v="0"/>
  </r>
  <r>
    <x v="1272"/>
    <x v="1259"/>
    <x v="4"/>
    <x v="0"/>
    <x v="1"/>
    <x v="1095"/>
    <d v="2025-05-27T00:00:00"/>
    <d v="2017-04-12T00:00:00"/>
    <x v="1263"/>
    <s v="Singapore"/>
    <x v="1"/>
    <x v="1"/>
  </r>
  <r>
    <x v="1273"/>
    <x v="1260"/>
    <x v="5"/>
    <x v="5"/>
    <x v="3"/>
    <x v="364"/>
    <d v="2025-06-08T00:00:00"/>
    <d v="2022-01-31T00:00:00"/>
    <x v="1264"/>
    <s v="Toronto"/>
    <x v="1"/>
    <x v="0"/>
  </r>
  <r>
    <x v="1274"/>
    <x v="1261"/>
    <x v="4"/>
    <x v="2"/>
    <x v="2"/>
    <x v="1089"/>
    <d v="2025-04-04T00:00:00"/>
    <d v="2016-09-08T00:00:00"/>
    <x v="1265"/>
    <s v="Toronto"/>
    <x v="3"/>
    <x v="0"/>
  </r>
  <r>
    <x v="1275"/>
    <x v="1262"/>
    <x v="5"/>
    <x v="4"/>
    <x v="2"/>
    <x v="965"/>
    <d v="2025-04-07T00:00:00"/>
    <d v="2017-03-05T00:00:00"/>
    <x v="1266"/>
    <s v="London"/>
    <x v="4"/>
    <x v="0"/>
  </r>
  <r>
    <x v="1276"/>
    <x v="1263"/>
    <x v="1"/>
    <x v="3"/>
    <x v="0"/>
    <x v="1096"/>
    <d v="2025-10-21T00:00:00"/>
    <d v="2020-05-06T00:00:00"/>
    <x v="1267"/>
    <s v="Bangalore"/>
    <x v="4"/>
    <x v="1"/>
  </r>
  <r>
    <x v="1277"/>
    <x v="1264"/>
    <x v="1"/>
    <x v="2"/>
    <x v="0"/>
    <x v="1097"/>
    <d v="2025-04-24T00:00:00"/>
    <d v="2017-12-30T00:00:00"/>
    <x v="1268"/>
    <s v="Toronto"/>
    <x v="4"/>
    <x v="1"/>
  </r>
  <r>
    <x v="1278"/>
    <x v="1265"/>
    <x v="1"/>
    <x v="4"/>
    <x v="0"/>
    <x v="1098"/>
    <d v="2025-12-12T00:00:00"/>
    <d v="2016-04-24T00:00:00"/>
    <x v="1269"/>
    <s v="Sydney"/>
    <x v="2"/>
    <x v="0"/>
  </r>
  <r>
    <x v="1279"/>
    <x v="1266"/>
    <x v="3"/>
    <x v="4"/>
    <x v="0"/>
    <x v="576"/>
    <d v="2025-08-04T00:00:00"/>
    <d v="2019-12-22T00:00:00"/>
    <x v="1270"/>
    <s v="Toronto"/>
    <x v="0"/>
    <x v="1"/>
  </r>
  <r>
    <x v="1280"/>
    <x v="1267"/>
    <x v="4"/>
    <x v="3"/>
    <x v="1"/>
    <x v="1099"/>
    <d v="2025-11-13T00:00:00"/>
    <d v="2023-02-25T00:00:00"/>
    <x v="1271"/>
    <s v="Bangalore"/>
    <x v="2"/>
    <x v="1"/>
  </r>
  <r>
    <x v="1281"/>
    <x v="1268"/>
    <x v="2"/>
    <x v="1"/>
    <x v="3"/>
    <x v="1100"/>
    <d v="2025-09-20T00:00:00"/>
    <d v="2024-06-07T00:00:00"/>
    <x v="1272"/>
    <s v="Singapore"/>
    <x v="3"/>
    <x v="1"/>
  </r>
  <r>
    <x v="1282"/>
    <x v="1269"/>
    <x v="0"/>
    <x v="5"/>
    <x v="3"/>
    <x v="1101"/>
    <d v="2025-02-27T00:00:00"/>
    <d v="2022-07-20T00:00:00"/>
    <x v="1273"/>
    <s v="Singapore"/>
    <x v="3"/>
    <x v="0"/>
  </r>
  <r>
    <x v="1283"/>
    <x v="1270"/>
    <x v="3"/>
    <x v="2"/>
    <x v="1"/>
    <x v="1102"/>
    <d v="2025-04-06T00:00:00"/>
    <d v="2024-01-08T00:00:00"/>
    <x v="1274"/>
    <s v="Bangalore"/>
    <x v="3"/>
    <x v="1"/>
  </r>
  <r>
    <x v="1284"/>
    <x v="1271"/>
    <x v="1"/>
    <x v="2"/>
    <x v="3"/>
    <x v="1103"/>
    <d v="2025-08-14T00:00:00"/>
    <d v="2021-05-29T00:00:00"/>
    <x v="1275"/>
    <s v="London"/>
    <x v="0"/>
    <x v="0"/>
  </r>
  <r>
    <x v="1285"/>
    <x v="1272"/>
    <x v="0"/>
    <x v="3"/>
    <x v="2"/>
    <x v="869"/>
    <d v="2025-10-18T00:00:00"/>
    <d v="2018-03-13T00:00:00"/>
    <x v="1276"/>
    <s v="Sydney"/>
    <x v="3"/>
    <x v="1"/>
  </r>
  <r>
    <x v="1286"/>
    <x v="1273"/>
    <x v="4"/>
    <x v="2"/>
    <x v="3"/>
    <x v="510"/>
    <d v="2025-07-12T00:00:00"/>
    <d v="2022-01-17T00:00:00"/>
    <x v="1277"/>
    <s v="Bangalore"/>
    <x v="4"/>
    <x v="1"/>
  </r>
  <r>
    <x v="1287"/>
    <x v="1274"/>
    <x v="0"/>
    <x v="3"/>
    <x v="3"/>
    <x v="1104"/>
    <d v="2026-02-05T00:00:00"/>
    <d v="2023-09-14T00:00:00"/>
    <x v="1278"/>
    <s v="Berlin"/>
    <x v="0"/>
    <x v="1"/>
  </r>
  <r>
    <x v="1288"/>
    <x v="1275"/>
    <x v="2"/>
    <x v="3"/>
    <x v="3"/>
    <x v="1105"/>
    <d v="2025-08-01T00:00:00"/>
    <d v="2020-06-25T00:00:00"/>
    <x v="1279"/>
    <s v="Sydney"/>
    <x v="3"/>
    <x v="0"/>
  </r>
  <r>
    <x v="1289"/>
    <x v="1276"/>
    <x v="3"/>
    <x v="4"/>
    <x v="1"/>
    <x v="966"/>
    <d v="2025-07-28T00:00:00"/>
    <d v="2018-06-15T00:00:00"/>
    <x v="1280"/>
    <s v="London"/>
    <x v="4"/>
    <x v="1"/>
  </r>
  <r>
    <x v="1290"/>
    <x v="1277"/>
    <x v="3"/>
    <x v="0"/>
    <x v="0"/>
    <x v="1106"/>
    <d v="2025-06-30T00:00:00"/>
    <d v="2022-03-31T00:00:00"/>
    <x v="1281"/>
    <s v="Singapore"/>
    <x v="3"/>
    <x v="0"/>
  </r>
  <r>
    <x v="1291"/>
    <x v="1278"/>
    <x v="4"/>
    <x v="3"/>
    <x v="3"/>
    <x v="1107"/>
    <d v="2025-05-30T00:00:00"/>
    <d v="2018-09-11T00:00:00"/>
    <x v="1282"/>
    <s v="Sydney"/>
    <x v="2"/>
    <x v="0"/>
  </r>
  <r>
    <x v="1292"/>
    <x v="1279"/>
    <x v="4"/>
    <x v="1"/>
    <x v="2"/>
    <x v="1108"/>
    <d v="2025-03-09T00:00:00"/>
    <d v="2024-06-30T00:00:00"/>
    <x v="1283"/>
    <s v="London"/>
    <x v="4"/>
    <x v="0"/>
  </r>
  <r>
    <x v="1293"/>
    <x v="1280"/>
    <x v="5"/>
    <x v="4"/>
    <x v="1"/>
    <x v="1109"/>
    <d v="2025-07-07T00:00:00"/>
    <d v="2024-04-14T00:00:00"/>
    <x v="1284"/>
    <s v="Singapore"/>
    <x v="3"/>
    <x v="0"/>
  </r>
  <r>
    <x v="1294"/>
    <x v="1281"/>
    <x v="0"/>
    <x v="2"/>
    <x v="0"/>
    <x v="780"/>
    <d v="2026-02-09T00:00:00"/>
    <d v="2021-04-23T00:00:00"/>
    <x v="1285"/>
    <s v="London"/>
    <x v="3"/>
    <x v="1"/>
  </r>
  <r>
    <x v="1295"/>
    <x v="1282"/>
    <x v="4"/>
    <x v="1"/>
    <x v="3"/>
    <x v="1110"/>
    <d v="2025-11-06T00:00:00"/>
    <d v="2019-03-24T00:00:00"/>
    <x v="1286"/>
    <s v="Berlin"/>
    <x v="0"/>
    <x v="1"/>
  </r>
  <r>
    <x v="1296"/>
    <x v="1283"/>
    <x v="5"/>
    <x v="4"/>
    <x v="2"/>
    <x v="998"/>
    <d v="2025-12-21T00:00:00"/>
    <d v="2024-01-03T00:00:00"/>
    <x v="1287"/>
    <s v="London"/>
    <x v="2"/>
    <x v="1"/>
  </r>
  <r>
    <x v="1297"/>
    <x v="1284"/>
    <x v="6"/>
    <x v="4"/>
    <x v="1"/>
    <x v="1111"/>
    <d v="2025-12-12T00:00:00"/>
    <d v="2019-12-15T00:00:00"/>
    <x v="1288"/>
    <s v="New York"/>
    <x v="2"/>
    <x v="0"/>
  </r>
  <r>
    <x v="1298"/>
    <x v="1285"/>
    <x v="5"/>
    <x v="0"/>
    <x v="0"/>
    <x v="1112"/>
    <d v="2025-10-09T00:00:00"/>
    <d v="2022-02-15T00:00:00"/>
    <x v="1289"/>
    <s v="New York"/>
    <x v="1"/>
    <x v="0"/>
  </r>
  <r>
    <x v="1299"/>
    <x v="1286"/>
    <x v="4"/>
    <x v="4"/>
    <x v="1"/>
    <x v="1113"/>
    <d v="2025-09-05T00:00:00"/>
    <d v="2020-09-29T00:00:00"/>
    <x v="1290"/>
    <s v="New York"/>
    <x v="2"/>
    <x v="1"/>
  </r>
  <r>
    <x v="1300"/>
    <x v="1287"/>
    <x v="4"/>
    <x v="1"/>
    <x v="2"/>
    <x v="1114"/>
    <d v="2025-03-16T00:00:00"/>
    <d v="2017-11-09T00:00:00"/>
    <x v="275"/>
    <s v="Berlin"/>
    <x v="0"/>
    <x v="1"/>
  </r>
  <r>
    <x v="1301"/>
    <x v="1288"/>
    <x v="1"/>
    <x v="1"/>
    <x v="0"/>
    <x v="242"/>
    <d v="2025-03-10T00:00:00"/>
    <d v="2016-11-06T00:00:00"/>
    <x v="1291"/>
    <s v="London"/>
    <x v="4"/>
    <x v="1"/>
  </r>
  <r>
    <x v="1302"/>
    <x v="1289"/>
    <x v="5"/>
    <x v="1"/>
    <x v="0"/>
    <x v="1115"/>
    <d v="2025-12-22T00:00:00"/>
    <d v="2023-06-03T00:00:00"/>
    <x v="1292"/>
    <s v="New York"/>
    <x v="1"/>
    <x v="1"/>
  </r>
  <r>
    <x v="1303"/>
    <x v="1290"/>
    <x v="3"/>
    <x v="0"/>
    <x v="3"/>
    <x v="1116"/>
    <d v="2026-02-09T00:00:00"/>
    <d v="2016-11-15T00:00:00"/>
    <x v="1293"/>
    <s v="London"/>
    <x v="4"/>
    <x v="1"/>
  </r>
  <r>
    <x v="1304"/>
    <x v="1291"/>
    <x v="2"/>
    <x v="1"/>
    <x v="1"/>
    <x v="886"/>
    <d v="2025-12-02T00:00:00"/>
    <d v="2020-11-24T00:00:00"/>
    <x v="1294"/>
    <s v="Berlin"/>
    <x v="1"/>
    <x v="1"/>
  </r>
  <r>
    <x v="1305"/>
    <x v="1292"/>
    <x v="4"/>
    <x v="3"/>
    <x v="2"/>
    <x v="1117"/>
    <d v="2025-03-16T00:00:00"/>
    <d v="2023-07-11T00:00:00"/>
    <x v="1295"/>
    <s v="Berlin"/>
    <x v="3"/>
    <x v="0"/>
  </r>
  <r>
    <x v="1306"/>
    <x v="1293"/>
    <x v="0"/>
    <x v="4"/>
    <x v="0"/>
    <x v="1118"/>
    <d v="2025-05-24T00:00:00"/>
    <d v="2023-11-25T00:00:00"/>
    <x v="1296"/>
    <s v="Bangalore"/>
    <x v="0"/>
    <x v="1"/>
  </r>
  <r>
    <x v="1307"/>
    <x v="1294"/>
    <x v="6"/>
    <x v="1"/>
    <x v="1"/>
    <x v="132"/>
    <d v="2025-08-06T00:00:00"/>
    <d v="2022-07-07T00:00:00"/>
    <x v="1297"/>
    <s v="London"/>
    <x v="4"/>
    <x v="1"/>
  </r>
  <r>
    <x v="1308"/>
    <x v="1295"/>
    <x v="4"/>
    <x v="4"/>
    <x v="2"/>
    <x v="1051"/>
    <d v="2025-08-09T00:00:00"/>
    <d v="2024-03-26T00:00:00"/>
    <x v="1298"/>
    <s v="Singapore"/>
    <x v="2"/>
    <x v="1"/>
  </r>
  <r>
    <x v="1309"/>
    <x v="1296"/>
    <x v="6"/>
    <x v="0"/>
    <x v="2"/>
    <x v="1119"/>
    <d v="2025-10-04T00:00:00"/>
    <d v="2021-01-30T00:00:00"/>
    <x v="1299"/>
    <s v="Bangalore"/>
    <x v="4"/>
    <x v="0"/>
  </r>
  <r>
    <x v="1310"/>
    <x v="1297"/>
    <x v="3"/>
    <x v="5"/>
    <x v="3"/>
    <x v="192"/>
    <d v="2025-09-20T00:00:00"/>
    <d v="2024-03-03T00:00:00"/>
    <x v="1300"/>
    <s v="Singapore"/>
    <x v="4"/>
    <x v="1"/>
  </r>
  <r>
    <x v="1311"/>
    <x v="1298"/>
    <x v="3"/>
    <x v="0"/>
    <x v="0"/>
    <x v="1120"/>
    <d v="2025-11-03T00:00:00"/>
    <d v="2021-11-03T00:00:00"/>
    <x v="1301"/>
    <s v="Sydney"/>
    <x v="3"/>
    <x v="0"/>
  </r>
  <r>
    <x v="1312"/>
    <x v="1299"/>
    <x v="6"/>
    <x v="0"/>
    <x v="3"/>
    <x v="1121"/>
    <d v="2025-05-15T00:00:00"/>
    <d v="2021-01-04T00:00:00"/>
    <x v="1302"/>
    <s v="New York"/>
    <x v="3"/>
    <x v="1"/>
  </r>
  <r>
    <x v="1313"/>
    <x v="1300"/>
    <x v="3"/>
    <x v="4"/>
    <x v="3"/>
    <x v="1122"/>
    <d v="2025-08-27T00:00:00"/>
    <d v="2019-11-23T00:00:00"/>
    <x v="1303"/>
    <s v="London"/>
    <x v="2"/>
    <x v="0"/>
  </r>
  <r>
    <x v="1314"/>
    <x v="1301"/>
    <x v="0"/>
    <x v="2"/>
    <x v="1"/>
    <x v="1123"/>
    <d v="2025-10-17T00:00:00"/>
    <d v="2023-02-22T00:00:00"/>
    <x v="1304"/>
    <s v="Berlin"/>
    <x v="4"/>
    <x v="1"/>
  </r>
  <r>
    <x v="1315"/>
    <x v="1302"/>
    <x v="5"/>
    <x v="1"/>
    <x v="3"/>
    <x v="1124"/>
    <d v="2025-10-16T00:00:00"/>
    <d v="2024-07-19T00:00:00"/>
    <x v="1305"/>
    <s v="New York"/>
    <x v="3"/>
    <x v="0"/>
  </r>
  <r>
    <x v="1316"/>
    <x v="1303"/>
    <x v="1"/>
    <x v="3"/>
    <x v="3"/>
    <x v="437"/>
    <d v="2025-08-19T00:00:00"/>
    <d v="2022-08-23T00:00:00"/>
    <x v="1306"/>
    <s v="Toronto"/>
    <x v="2"/>
    <x v="1"/>
  </r>
  <r>
    <x v="1317"/>
    <x v="1304"/>
    <x v="1"/>
    <x v="2"/>
    <x v="0"/>
    <x v="1125"/>
    <d v="2025-06-22T00:00:00"/>
    <d v="2018-05-14T00:00:00"/>
    <x v="1307"/>
    <s v="New York"/>
    <x v="3"/>
    <x v="0"/>
  </r>
  <r>
    <x v="1318"/>
    <x v="1305"/>
    <x v="4"/>
    <x v="5"/>
    <x v="3"/>
    <x v="1126"/>
    <d v="2025-03-03T00:00:00"/>
    <d v="2021-06-12T00:00:00"/>
    <x v="1308"/>
    <s v="Bangalore"/>
    <x v="0"/>
    <x v="0"/>
  </r>
  <r>
    <x v="1319"/>
    <x v="1306"/>
    <x v="4"/>
    <x v="4"/>
    <x v="3"/>
    <x v="1127"/>
    <d v="2025-06-09T00:00:00"/>
    <d v="2024-03-22T00:00:00"/>
    <x v="1309"/>
    <s v="Sydney"/>
    <x v="2"/>
    <x v="1"/>
  </r>
  <r>
    <x v="1320"/>
    <x v="1307"/>
    <x v="6"/>
    <x v="5"/>
    <x v="3"/>
    <x v="204"/>
    <d v="2025-06-18T00:00:00"/>
    <d v="2024-04-12T00:00:00"/>
    <x v="1310"/>
    <s v="Singapore"/>
    <x v="2"/>
    <x v="0"/>
  </r>
  <r>
    <x v="1321"/>
    <x v="1308"/>
    <x v="3"/>
    <x v="1"/>
    <x v="1"/>
    <x v="1128"/>
    <d v="2025-10-14T00:00:00"/>
    <d v="2017-09-18T00:00:00"/>
    <x v="1311"/>
    <s v="Berlin"/>
    <x v="2"/>
    <x v="1"/>
  </r>
  <r>
    <x v="1322"/>
    <x v="1309"/>
    <x v="3"/>
    <x v="4"/>
    <x v="1"/>
    <x v="1129"/>
    <d v="2025-06-29T00:00:00"/>
    <d v="2022-09-20T00:00:00"/>
    <x v="1312"/>
    <s v="New York"/>
    <x v="0"/>
    <x v="1"/>
  </r>
  <r>
    <x v="1323"/>
    <x v="1310"/>
    <x v="4"/>
    <x v="5"/>
    <x v="0"/>
    <x v="879"/>
    <d v="2025-10-10T00:00:00"/>
    <d v="2020-04-17T00:00:00"/>
    <x v="1313"/>
    <s v="Bangalore"/>
    <x v="3"/>
    <x v="1"/>
  </r>
  <r>
    <x v="1324"/>
    <x v="1311"/>
    <x v="0"/>
    <x v="5"/>
    <x v="3"/>
    <x v="921"/>
    <d v="2026-01-15T00:00:00"/>
    <d v="2016-06-26T00:00:00"/>
    <x v="1314"/>
    <s v="New York"/>
    <x v="2"/>
    <x v="0"/>
  </r>
  <r>
    <x v="1325"/>
    <x v="1312"/>
    <x v="3"/>
    <x v="0"/>
    <x v="2"/>
    <x v="1130"/>
    <d v="2025-12-21T00:00:00"/>
    <d v="2015-12-13T00:00:00"/>
    <x v="1315"/>
    <s v="Singapore"/>
    <x v="1"/>
    <x v="0"/>
  </r>
  <r>
    <x v="1326"/>
    <x v="1313"/>
    <x v="1"/>
    <x v="4"/>
    <x v="3"/>
    <x v="867"/>
    <d v="2025-05-07T00:00:00"/>
    <d v="2020-02-18T00:00:00"/>
    <x v="1316"/>
    <s v="London"/>
    <x v="3"/>
    <x v="1"/>
  </r>
  <r>
    <x v="1327"/>
    <x v="1314"/>
    <x v="5"/>
    <x v="1"/>
    <x v="0"/>
    <x v="1131"/>
    <d v="2025-09-27T00:00:00"/>
    <d v="2016-10-30T00:00:00"/>
    <x v="1317"/>
    <s v="London"/>
    <x v="3"/>
    <x v="1"/>
  </r>
  <r>
    <x v="1328"/>
    <x v="1315"/>
    <x v="1"/>
    <x v="0"/>
    <x v="1"/>
    <x v="1132"/>
    <d v="2026-02-05T00:00:00"/>
    <d v="2022-01-27T00:00:00"/>
    <x v="1318"/>
    <s v="Berlin"/>
    <x v="4"/>
    <x v="0"/>
  </r>
  <r>
    <x v="1329"/>
    <x v="1316"/>
    <x v="5"/>
    <x v="0"/>
    <x v="1"/>
    <x v="1133"/>
    <d v="2025-09-13T00:00:00"/>
    <d v="2023-01-18T00:00:00"/>
    <x v="1319"/>
    <s v="Sydney"/>
    <x v="4"/>
    <x v="0"/>
  </r>
  <r>
    <x v="1330"/>
    <x v="1317"/>
    <x v="1"/>
    <x v="2"/>
    <x v="3"/>
    <x v="1134"/>
    <d v="2025-04-21T00:00:00"/>
    <d v="2018-01-04T00:00:00"/>
    <x v="1320"/>
    <s v="London"/>
    <x v="0"/>
    <x v="1"/>
  </r>
  <r>
    <x v="1331"/>
    <x v="1318"/>
    <x v="3"/>
    <x v="4"/>
    <x v="0"/>
    <x v="786"/>
    <d v="2025-03-06T00:00:00"/>
    <d v="2021-05-12T00:00:00"/>
    <x v="1321"/>
    <s v="Singapore"/>
    <x v="2"/>
    <x v="0"/>
  </r>
  <r>
    <x v="1332"/>
    <x v="1319"/>
    <x v="1"/>
    <x v="1"/>
    <x v="1"/>
    <x v="1135"/>
    <d v="2026-01-22T00:00:00"/>
    <d v="2023-03-05T00:00:00"/>
    <x v="1322"/>
    <s v="Berlin"/>
    <x v="3"/>
    <x v="1"/>
  </r>
  <r>
    <x v="1333"/>
    <x v="1320"/>
    <x v="6"/>
    <x v="0"/>
    <x v="0"/>
    <x v="1136"/>
    <d v="2025-07-15T00:00:00"/>
    <d v="2020-01-08T00:00:00"/>
    <x v="1323"/>
    <s v="London"/>
    <x v="2"/>
    <x v="0"/>
  </r>
  <r>
    <x v="1334"/>
    <x v="1321"/>
    <x v="3"/>
    <x v="4"/>
    <x v="0"/>
    <x v="924"/>
    <d v="2025-07-08T00:00:00"/>
    <d v="2024-07-13T00:00:00"/>
    <x v="1324"/>
    <s v="Berlin"/>
    <x v="1"/>
    <x v="0"/>
  </r>
  <r>
    <x v="1335"/>
    <x v="1322"/>
    <x v="4"/>
    <x v="2"/>
    <x v="3"/>
    <x v="1137"/>
    <d v="2026-01-07T00:00:00"/>
    <d v="2017-04-07T00:00:00"/>
    <x v="1325"/>
    <s v="New York"/>
    <x v="3"/>
    <x v="0"/>
  </r>
  <r>
    <x v="1336"/>
    <x v="1323"/>
    <x v="1"/>
    <x v="4"/>
    <x v="2"/>
    <x v="1138"/>
    <d v="2025-07-01T00:00:00"/>
    <d v="2017-02-17T00:00:00"/>
    <x v="1326"/>
    <s v="New York"/>
    <x v="4"/>
    <x v="0"/>
  </r>
  <r>
    <x v="1337"/>
    <x v="1324"/>
    <x v="6"/>
    <x v="1"/>
    <x v="0"/>
    <x v="493"/>
    <d v="2025-04-11T00:00:00"/>
    <d v="2015-09-12T00:00:00"/>
    <x v="1327"/>
    <s v="Toronto"/>
    <x v="0"/>
    <x v="0"/>
  </r>
  <r>
    <x v="1338"/>
    <x v="1325"/>
    <x v="5"/>
    <x v="2"/>
    <x v="3"/>
    <x v="1139"/>
    <d v="2025-12-25T00:00:00"/>
    <d v="2023-10-06T00:00:00"/>
    <x v="1328"/>
    <s v="Toronto"/>
    <x v="3"/>
    <x v="1"/>
  </r>
  <r>
    <x v="1339"/>
    <x v="1326"/>
    <x v="0"/>
    <x v="5"/>
    <x v="0"/>
    <x v="1140"/>
    <d v="2025-09-17T00:00:00"/>
    <d v="2018-12-17T00:00:00"/>
    <x v="1329"/>
    <s v="Berlin"/>
    <x v="3"/>
    <x v="1"/>
  </r>
  <r>
    <x v="1340"/>
    <x v="1327"/>
    <x v="0"/>
    <x v="0"/>
    <x v="1"/>
    <x v="1141"/>
    <d v="2025-09-28T00:00:00"/>
    <d v="2024-01-03T00:00:00"/>
    <x v="1330"/>
    <s v="Bangalore"/>
    <x v="4"/>
    <x v="0"/>
  </r>
  <r>
    <x v="1341"/>
    <x v="1328"/>
    <x v="6"/>
    <x v="1"/>
    <x v="3"/>
    <x v="427"/>
    <d v="2026-02-04T00:00:00"/>
    <d v="2022-07-08T00:00:00"/>
    <x v="1331"/>
    <s v="Bangalore"/>
    <x v="0"/>
    <x v="1"/>
  </r>
  <r>
    <x v="1342"/>
    <x v="1329"/>
    <x v="1"/>
    <x v="3"/>
    <x v="1"/>
    <x v="542"/>
    <d v="2025-11-21T00:00:00"/>
    <d v="2023-09-07T00:00:00"/>
    <x v="1332"/>
    <s v="Sydney"/>
    <x v="1"/>
    <x v="1"/>
  </r>
  <r>
    <x v="1343"/>
    <x v="1330"/>
    <x v="2"/>
    <x v="3"/>
    <x v="0"/>
    <x v="1142"/>
    <d v="2025-02-23T00:00:00"/>
    <d v="2023-06-15T00:00:00"/>
    <x v="1333"/>
    <s v="Singapore"/>
    <x v="2"/>
    <x v="1"/>
  </r>
  <r>
    <x v="1344"/>
    <x v="1331"/>
    <x v="2"/>
    <x v="2"/>
    <x v="0"/>
    <x v="1143"/>
    <d v="2025-07-22T00:00:00"/>
    <d v="2021-12-24T00:00:00"/>
    <x v="1334"/>
    <s v="Toronto"/>
    <x v="0"/>
    <x v="0"/>
  </r>
  <r>
    <x v="1345"/>
    <x v="1332"/>
    <x v="4"/>
    <x v="4"/>
    <x v="0"/>
    <x v="111"/>
    <d v="2025-10-24T00:00:00"/>
    <d v="2024-05-16T00:00:00"/>
    <x v="1335"/>
    <s v="London"/>
    <x v="0"/>
    <x v="0"/>
  </r>
  <r>
    <x v="1346"/>
    <x v="1333"/>
    <x v="3"/>
    <x v="0"/>
    <x v="1"/>
    <x v="1144"/>
    <d v="2025-09-20T00:00:00"/>
    <d v="2019-02-01T00:00:00"/>
    <x v="608"/>
    <s v="London"/>
    <x v="0"/>
    <x v="0"/>
  </r>
  <r>
    <x v="1347"/>
    <x v="1334"/>
    <x v="5"/>
    <x v="1"/>
    <x v="1"/>
    <x v="1145"/>
    <d v="2025-07-29T00:00:00"/>
    <d v="2018-02-05T00:00:00"/>
    <x v="1336"/>
    <s v="London"/>
    <x v="2"/>
    <x v="1"/>
  </r>
  <r>
    <x v="1348"/>
    <x v="1335"/>
    <x v="2"/>
    <x v="3"/>
    <x v="3"/>
    <x v="1146"/>
    <d v="2025-07-13T00:00:00"/>
    <d v="2021-10-16T00:00:00"/>
    <x v="1337"/>
    <s v="London"/>
    <x v="0"/>
    <x v="0"/>
  </r>
  <r>
    <x v="1349"/>
    <x v="1336"/>
    <x v="2"/>
    <x v="4"/>
    <x v="3"/>
    <x v="1147"/>
    <d v="2025-05-13T00:00:00"/>
    <d v="2023-10-11T00:00:00"/>
    <x v="1338"/>
    <s v="Toronto"/>
    <x v="2"/>
    <x v="1"/>
  </r>
  <r>
    <x v="1350"/>
    <x v="1337"/>
    <x v="5"/>
    <x v="2"/>
    <x v="0"/>
    <x v="1148"/>
    <d v="2025-12-20T00:00:00"/>
    <d v="2015-12-31T00:00:00"/>
    <x v="1339"/>
    <s v="Berlin"/>
    <x v="3"/>
    <x v="1"/>
  </r>
  <r>
    <x v="1351"/>
    <x v="1338"/>
    <x v="5"/>
    <x v="2"/>
    <x v="0"/>
    <x v="1149"/>
    <d v="2025-06-17T00:00:00"/>
    <d v="2017-11-09T00:00:00"/>
    <x v="1340"/>
    <s v="Toronto"/>
    <x v="3"/>
    <x v="0"/>
  </r>
  <r>
    <x v="1352"/>
    <x v="1339"/>
    <x v="0"/>
    <x v="3"/>
    <x v="3"/>
    <x v="1150"/>
    <d v="2025-05-23T00:00:00"/>
    <d v="2021-11-11T00:00:00"/>
    <x v="1341"/>
    <s v="New York"/>
    <x v="0"/>
    <x v="0"/>
  </r>
  <r>
    <x v="1353"/>
    <x v="1340"/>
    <x v="6"/>
    <x v="3"/>
    <x v="2"/>
    <x v="879"/>
    <d v="2025-06-23T00:00:00"/>
    <d v="2022-08-31T00:00:00"/>
    <x v="1342"/>
    <s v="Singapore"/>
    <x v="1"/>
    <x v="1"/>
  </r>
  <r>
    <x v="1354"/>
    <x v="1341"/>
    <x v="5"/>
    <x v="3"/>
    <x v="0"/>
    <x v="1151"/>
    <d v="2025-09-04T00:00:00"/>
    <d v="2015-09-03T00:00:00"/>
    <x v="1343"/>
    <s v="Berlin"/>
    <x v="1"/>
    <x v="0"/>
  </r>
  <r>
    <x v="1355"/>
    <x v="1342"/>
    <x v="5"/>
    <x v="4"/>
    <x v="3"/>
    <x v="763"/>
    <d v="2025-11-29T00:00:00"/>
    <d v="2017-11-27T00:00:00"/>
    <x v="1344"/>
    <s v="Berlin"/>
    <x v="2"/>
    <x v="0"/>
  </r>
  <r>
    <x v="1356"/>
    <x v="1343"/>
    <x v="0"/>
    <x v="5"/>
    <x v="2"/>
    <x v="579"/>
    <d v="2025-02-23T00:00:00"/>
    <d v="2016-05-21T00:00:00"/>
    <x v="1345"/>
    <s v="Berlin"/>
    <x v="2"/>
    <x v="0"/>
  </r>
  <r>
    <x v="1357"/>
    <x v="1344"/>
    <x v="6"/>
    <x v="3"/>
    <x v="2"/>
    <x v="727"/>
    <d v="2025-06-05T00:00:00"/>
    <d v="2018-02-08T00:00:00"/>
    <x v="1346"/>
    <s v="New York"/>
    <x v="2"/>
    <x v="1"/>
  </r>
  <r>
    <x v="1358"/>
    <x v="1345"/>
    <x v="2"/>
    <x v="4"/>
    <x v="0"/>
    <x v="1152"/>
    <d v="2025-03-24T00:00:00"/>
    <d v="2018-01-25T00:00:00"/>
    <x v="1347"/>
    <s v="Bangalore"/>
    <x v="2"/>
    <x v="0"/>
  </r>
  <r>
    <x v="1359"/>
    <x v="1346"/>
    <x v="4"/>
    <x v="4"/>
    <x v="2"/>
    <x v="180"/>
    <d v="2025-10-18T00:00:00"/>
    <d v="2021-04-01T00:00:00"/>
    <x v="1348"/>
    <s v="Toronto"/>
    <x v="2"/>
    <x v="1"/>
  </r>
  <r>
    <x v="1360"/>
    <x v="1347"/>
    <x v="5"/>
    <x v="1"/>
    <x v="3"/>
    <x v="1153"/>
    <d v="2025-12-07T00:00:00"/>
    <d v="2023-07-12T00:00:00"/>
    <x v="1349"/>
    <s v="Toronto"/>
    <x v="4"/>
    <x v="1"/>
  </r>
  <r>
    <x v="1361"/>
    <x v="1348"/>
    <x v="3"/>
    <x v="5"/>
    <x v="2"/>
    <x v="1154"/>
    <d v="2025-03-13T00:00:00"/>
    <d v="2019-01-19T00:00:00"/>
    <x v="1350"/>
    <s v="Singapore"/>
    <x v="2"/>
    <x v="1"/>
  </r>
  <r>
    <x v="1362"/>
    <x v="1349"/>
    <x v="2"/>
    <x v="3"/>
    <x v="3"/>
    <x v="1155"/>
    <d v="2025-05-03T00:00:00"/>
    <d v="2017-04-20T00:00:00"/>
    <x v="1351"/>
    <s v="New York"/>
    <x v="3"/>
    <x v="1"/>
  </r>
  <r>
    <x v="1363"/>
    <x v="368"/>
    <x v="1"/>
    <x v="5"/>
    <x v="3"/>
    <x v="839"/>
    <d v="2025-09-04T00:00:00"/>
    <d v="2021-12-04T00:00:00"/>
    <x v="1352"/>
    <s v="Sydney"/>
    <x v="0"/>
    <x v="0"/>
  </r>
  <r>
    <x v="1364"/>
    <x v="1350"/>
    <x v="1"/>
    <x v="2"/>
    <x v="2"/>
    <x v="1156"/>
    <d v="2025-05-18T00:00:00"/>
    <d v="2023-08-06T00:00:00"/>
    <x v="1353"/>
    <s v="Toronto"/>
    <x v="2"/>
    <x v="1"/>
  </r>
  <r>
    <x v="1365"/>
    <x v="1351"/>
    <x v="0"/>
    <x v="3"/>
    <x v="0"/>
    <x v="1120"/>
    <d v="2025-05-09T00:00:00"/>
    <d v="2023-05-14T00:00:00"/>
    <x v="467"/>
    <s v="Berlin"/>
    <x v="4"/>
    <x v="0"/>
  </r>
  <r>
    <x v="1366"/>
    <x v="1352"/>
    <x v="3"/>
    <x v="5"/>
    <x v="3"/>
    <x v="1157"/>
    <d v="2025-04-11T00:00:00"/>
    <d v="2015-12-09T00:00:00"/>
    <x v="1354"/>
    <s v="Singapore"/>
    <x v="4"/>
    <x v="0"/>
  </r>
  <r>
    <x v="1367"/>
    <x v="1353"/>
    <x v="2"/>
    <x v="5"/>
    <x v="0"/>
    <x v="1158"/>
    <d v="2025-03-18T00:00:00"/>
    <d v="2020-03-07T00:00:00"/>
    <x v="1355"/>
    <s v="London"/>
    <x v="3"/>
    <x v="0"/>
  </r>
  <r>
    <x v="1368"/>
    <x v="1354"/>
    <x v="0"/>
    <x v="5"/>
    <x v="2"/>
    <x v="1000"/>
    <d v="2025-08-18T00:00:00"/>
    <d v="2017-05-05T00:00:00"/>
    <x v="1356"/>
    <s v="Sydney"/>
    <x v="0"/>
    <x v="1"/>
  </r>
  <r>
    <x v="1369"/>
    <x v="1355"/>
    <x v="5"/>
    <x v="4"/>
    <x v="0"/>
    <x v="1159"/>
    <d v="2025-03-08T00:00:00"/>
    <d v="2024-06-02T00:00:00"/>
    <x v="1357"/>
    <s v="Bangalore"/>
    <x v="3"/>
    <x v="0"/>
  </r>
  <r>
    <x v="1370"/>
    <x v="1356"/>
    <x v="5"/>
    <x v="5"/>
    <x v="2"/>
    <x v="1160"/>
    <d v="2025-05-25T00:00:00"/>
    <d v="2016-01-01T00:00:00"/>
    <x v="1358"/>
    <s v="London"/>
    <x v="1"/>
    <x v="1"/>
  </r>
  <r>
    <x v="1371"/>
    <x v="1357"/>
    <x v="6"/>
    <x v="3"/>
    <x v="2"/>
    <x v="791"/>
    <d v="2025-05-07T00:00:00"/>
    <d v="2023-12-08T00:00:00"/>
    <x v="1359"/>
    <s v="Toronto"/>
    <x v="1"/>
    <x v="1"/>
  </r>
  <r>
    <x v="1372"/>
    <x v="1358"/>
    <x v="2"/>
    <x v="0"/>
    <x v="3"/>
    <x v="1161"/>
    <d v="2025-07-07T00:00:00"/>
    <d v="2019-03-04T00:00:00"/>
    <x v="1360"/>
    <s v="Toronto"/>
    <x v="4"/>
    <x v="1"/>
  </r>
  <r>
    <x v="1373"/>
    <x v="1359"/>
    <x v="4"/>
    <x v="1"/>
    <x v="2"/>
    <x v="1162"/>
    <d v="2025-04-08T00:00:00"/>
    <d v="2019-02-16T00:00:00"/>
    <x v="1361"/>
    <s v="London"/>
    <x v="1"/>
    <x v="1"/>
  </r>
  <r>
    <x v="1374"/>
    <x v="1360"/>
    <x v="6"/>
    <x v="0"/>
    <x v="3"/>
    <x v="548"/>
    <d v="2025-06-24T00:00:00"/>
    <d v="2018-04-23T00:00:00"/>
    <x v="1362"/>
    <s v="London"/>
    <x v="1"/>
    <x v="1"/>
  </r>
  <r>
    <x v="1375"/>
    <x v="1361"/>
    <x v="5"/>
    <x v="0"/>
    <x v="3"/>
    <x v="1163"/>
    <d v="2025-08-05T00:00:00"/>
    <d v="2021-10-15T00:00:00"/>
    <x v="1363"/>
    <s v="New York"/>
    <x v="0"/>
    <x v="0"/>
  </r>
  <r>
    <x v="1376"/>
    <x v="1362"/>
    <x v="5"/>
    <x v="2"/>
    <x v="2"/>
    <x v="1164"/>
    <d v="2025-08-18T00:00:00"/>
    <d v="2018-09-12T00:00:00"/>
    <x v="1364"/>
    <s v="London"/>
    <x v="3"/>
    <x v="1"/>
  </r>
  <r>
    <x v="1377"/>
    <x v="1363"/>
    <x v="1"/>
    <x v="5"/>
    <x v="3"/>
    <x v="1165"/>
    <d v="2025-08-04T00:00:00"/>
    <d v="2020-12-25T00:00:00"/>
    <x v="1365"/>
    <s v="Toronto"/>
    <x v="3"/>
    <x v="1"/>
  </r>
  <r>
    <x v="1378"/>
    <x v="1364"/>
    <x v="2"/>
    <x v="0"/>
    <x v="1"/>
    <x v="1166"/>
    <d v="2025-10-12T00:00:00"/>
    <d v="2023-06-18T00:00:00"/>
    <x v="1366"/>
    <s v="Toronto"/>
    <x v="3"/>
    <x v="0"/>
  </r>
  <r>
    <x v="1379"/>
    <x v="1365"/>
    <x v="6"/>
    <x v="4"/>
    <x v="2"/>
    <x v="1167"/>
    <d v="2025-07-22T00:00:00"/>
    <d v="2021-08-13T00:00:00"/>
    <x v="1367"/>
    <s v="Singapore"/>
    <x v="1"/>
    <x v="0"/>
  </r>
  <r>
    <x v="1380"/>
    <x v="1366"/>
    <x v="6"/>
    <x v="3"/>
    <x v="0"/>
    <x v="594"/>
    <d v="2025-06-13T00:00:00"/>
    <d v="2018-01-09T00:00:00"/>
    <x v="55"/>
    <s v="Bangalore"/>
    <x v="2"/>
    <x v="0"/>
  </r>
  <r>
    <x v="1381"/>
    <x v="1367"/>
    <x v="3"/>
    <x v="2"/>
    <x v="1"/>
    <x v="1168"/>
    <d v="2025-07-22T00:00:00"/>
    <d v="2022-12-31T00:00:00"/>
    <x v="1368"/>
    <s v="Sydney"/>
    <x v="0"/>
    <x v="0"/>
  </r>
  <r>
    <x v="1382"/>
    <x v="1368"/>
    <x v="5"/>
    <x v="2"/>
    <x v="0"/>
    <x v="1169"/>
    <d v="2025-07-13T00:00:00"/>
    <d v="2016-03-04T00:00:00"/>
    <x v="1369"/>
    <s v="Sydney"/>
    <x v="4"/>
    <x v="1"/>
  </r>
  <r>
    <x v="1383"/>
    <x v="1369"/>
    <x v="1"/>
    <x v="0"/>
    <x v="3"/>
    <x v="348"/>
    <d v="2025-04-02T00:00:00"/>
    <d v="2016-08-25T00:00:00"/>
    <x v="1370"/>
    <s v="New York"/>
    <x v="3"/>
    <x v="0"/>
  </r>
  <r>
    <x v="1384"/>
    <x v="1370"/>
    <x v="0"/>
    <x v="2"/>
    <x v="3"/>
    <x v="1170"/>
    <d v="2025-08-31T00:00:00"/>
    <d v="2022-07-13T00:00:00"/>
    <x v="1371"/>
    <s v="Berlin"/>
    <x v="3"/>
    <x v="1"/>
  </r>
  <r>
    <x v="1385"/>
    <x v="1371"/>
    <x v="3"/>
    <x v="0"/>
    <x v="2"/>
    <x v="1171"/>
    <d v="2025-08-24T00:00:00"/>
    <d v="2019-06-07T00:00:00"/>
    <x v="1372"/>
    <s v="Toronto"/>
    <x v="4"/>
    <x v="1"/>
  </r>
  <r>
    <x v="1386"/>
    <x v="1372"/>
    <x v="3"/>
    <x v="3"/>
    <x v="3"/>
    <x v="427"/>
    <d v="2025-03-24T00:00:00"/>
    <d v="2024-06-10T00:00:00"/>
    <x v="1373"/>
    <s v="Toronto"/>
    <x v="4"/>
    <x v="1"/>
  </r>
  <r>
    <x v="1387"/>
    <x v="1373"/>
    <x v="6"/>
    <x v="3"/>
    <x v="0"/>
    <x v="1172"/>
    <d v="2026-02-12T00:00:00"/>
    <d v="2024-06-23T00:00:00"/>
    <x v="1374"/>
    <s v="Berlin"/>
    <x v="2"/>
    <x v="0"/>
  </r>
  <r>
    <x v="1388"/>
    <x v="1374"/>
    <x v="0"/>
    <x v="4"/>
    <x v="2"/>
    <x v="288"/>
    <d v="2025-06-15T00:00:00"/>
    <d v="2020-11-07T00:00:00"/>
    <x v="1375"/>
    <s v="Toronto"/>
    <x v="1"/>
    <x v="0"/>
  </r>
  <r>
    <x v="1389"/>
    <x v="1375"/>
    <x v="2"/>
    <x v="2"/>
    <x v="0"/>
    <x v="1173"/>
    <d v="2025-04-23T00:00:00"/>
    <d v="2021-05-13T00:00:00"/>
    <x v="1376"/>
    <s v="Singapore"/>
    <x v="2"/>
    <x v="1"/>
  </r>
  <r>
    <x v="1390"/>
    <x v="1376"/>
    <x v="5"/>
    <x v="1"/>
    <x v="3"/>
    <x v="1174"/>
    <d v="2025-11-01T00:00:00"/>
    <d v="2024-06-01T00:00:00"/>
    <x v="1377"/>
    <s v="London"/>
    <x v="3"/>
    <x v="0"/>
  </r>
  <r>
    <x v="1391"/>
    <x v="1377"/>
    <x v="4"/>
    <x v="2"/>
    <x v="2"/>
    <x v="1175"/>
    <d v="2025-06-26T00:00:00"/>
    <d v="2020-09-10T00:00:00"/>
    <x v="1378"/>
    <s v="New York"/>
    <x v="0"/>
    <x v="0"/>
  </r>
  <r>
    <x v="1392"/>
    <x v="1378"/>
    <x v="2"/>
    <x v="4"/>
    <x v="1"/>
    <x v="132"/>
    <d v="2025-12-09T00:00:00"/>
    <d v="2015-09-09T00:00:00"/>
    <x v="1379"/>
    <s v="Berlin"/>
    <x v="2"/>
    <x v="1"/>
  </r>
  <r>
    <x v="1393"/>
    <x v="1379"/>
    <x v="1"/>
    <x v="3"/>
    <x v="3"/>
    <x v="1176"/>
    <d v="2025-09-21T00:00:00"/>
    <d v="2022-06-22T00:00:00"/>
    <x v="1380"/>
    <s v="Singapore"/>
    <x v="2"/>
    <x v="1"/>
  </r>
  <r>
    <x v="1394"/>
    <x v="1380"/>
    <x v="2"/>
    <x v="0"/>
    <x v="0"/>
    <x v="1177"/>
    <d v="2026-01-07T00:00:00"/>
    <d v="2020-11-24T00:00:00"/>
    <x v="1381"/>
    <s v="Sydney"/>
    <x v="2"/>
    <x v="1"/>
  </r>
  <r>
    <x v="1395"/>
    <x v="1381"/>
    <x v="1"/>
    <x v="2"/>
    <x v="1"/>
    <x v="612"/>
    <d v="2025-06-24T00:00:00"/>
    <d v="2019-10-14T00:00:00"/>
    <x v="1382"/>
    <s v="Singapore"/>
    <x v="2"/>
    <x v="0"/>
  </r>
  <r>
    <x v="1396"/>
    <x v="1382"/>
    <x v="2"/>
    <x v="1"/>
    <x v="1"/>
    <x v="1178"/>
    <d v="2025-08-20T00:00:00"/>
    <d v="2019-12-31T00:00:00"/>
    <x v="1383"/>
    <s v="Berlin"/>
    <x v="2"/>
    <x v="0"/>
  </r>
  <r>
    <x v="1397"/>
    <x v="1383"/>
    <x v="0"/>
    <x v="2"/>
    <x v="2"/>
    <x v="1179"/>
    <d v="2025-03-21T00:00:00"/>
    <d v="2016-02-19T00:00:00"/>
    <x v="1384"/>
    <s v="Toronto"/>
    <x v="4"/>
    <x v="1"/>
  </r>
  <r>
    <x v="1398"/>
    <x v="1384"/>
    <x v="3"/>
    <x v="1"/>
    <x v="2"/>
    <x v="1180"/>
    <d v="2026-01-10T00:00:00"/>
    <d v="2021-08-18T00:00:00"/>
    <x v="792"/>
    <s v="Berlin"/>
    <x v="4"/>
    <x v="0"/>
  </r>
  <r>
    <x v="1399"/>
    <x v="1385"/>
    <x v="3"/>
    <x v="1"/>
    <x v="1"/>
    <x v="1181"/>
    <d v="2025-07-19T00:00:00"/>
    <d v="2022-11-09T00:00:00"/>
    <x v="620"/>
    <s v="New York"/>
    <x v="0"/>
    <x v="1"/>
  </r>
  <r>
    <x v="1400"/>
    <x v="1386"/>
    <x v="0"/>
    <x v="4"/>
    <x v="1"/>
    <x v="289"/>
    <d v="2025-11-16T00:00:00"/>
    <d v="2018-06-13T00:00:00"/>
    <x v="1385"/>
    <s v="London"/>
    <x v="4"/>
    <x v="1"/>
  </r>
  <r>
    <x v="1401"/>
    <x v="1387"/>
    <x v="0"/>
    <x v="3"/>
    <x v="0"/>
    <x v="642"/>
    <d v="2025-05-14T00:00:00"/>
    <d v="2016-10-02T00:00:00"/>
    <x v="1386"/>
    <s v="Sydney"/>
    <x v="1"/>
    <x v="0"/>
  </r>
  <r>
    <x v="1402"/>
    <x v="1388"/>
    <x v="4"/>
    <x v="4"/>
    <x v="0"/>
    <x v="1182"/>
    <d v="2025-10-05T00:00:00"/>
    <d v="2016-05-19T00:00:00"/>
    <x v="1387"/>
    <s v="Sydney"/>
    <x v="0"/>
    <x v="0"/>
  </r>
  <r>
    <x v="1403"/>
    <x v="1389"/>
    <x v="1"/>
    <x v="3"/>
    <x v="1"/>
    <x v="950"/>
    <d v="2025-07-09T00:00:00"/>
    <d v="2018-11-20T00:00:00"/>
    <x v="1388"/>
    <s v="London"/>
    <x v="0"/>
    <x v="0"/>
  </r>
  <r>
    <x v="1404"/>
    <x v="1390"/>
    <x v="5"/>
    <x v="2"/>
    <x v="2"/>
    <x v="1183"/>
    <d v="2025-07-08T00:00:00"/>
    <d v="2022-05-22T00:00:00"/>
    <x v="1389"/>
    <s v="Bangalore"/>
    <x v="3"/>
    <x v="1"/>
  </r>
  <r>
    <x v="1405"/>
    <x v="1391"/>
    <x v="6"/>
    <x v="3"/>
    <x v="0"/>
    <x v="1184"/>
    <d v="2025-04-03T00:00:00"/>
    <d v="2020-10-12T00:00:00"/>
    <x v="1390"/>
    <s v="Singapore"/>
    <x v="0"/>
    <x v="1"/>
  </r>
  <r>
    <x v="1406"/>
    <x v="1392"/>
    <x v="4"/>
    <x v="2"/>
    <x v="0"/>
    <x v="1185"/>
    <d v="2025-06-26T00:00:00"/>
    <d v="2021-01-07T00:00:00"/>
    <x v="1391"/>
    <s v="Berlin"/>
    <x v="0"/>
    <x v="0"/>
  </r>
  <r>
    <x v="1407"/>
    <x v="1393"/>
    <x v="1"/>
    <x v="0"/>
    <x v="1"/>
    <x v="1113"/>
    <d v="2026-01-24T00:00:00"/>
    <d v="2021-03-12T00:00:00"/>
    <x v="1392"/>
    <s v="Bangalore"/>
    <x v="2"/>
    <x v="0"/>
  </r>
  <r>
    <x v="1408"/>
    <x v="1394"/>
    <x v="1"/>
    <x v="1"/>
    <x v="3"/>
    <x v="1186"/>
    <d v="2025-12-01T00:00:00"/>
    <d v="2024-07-23T00:00:00"/>
    <x v="1393"/>
    <s v="Sydney"/>
    <x v="0"/>
    <x v="1"/>
  </r>
  <r>
    <x v="1409"/>
    <x v="1395"/>
    <x v="0"/>
    <x v="5"/>
    <x v="1"/>
    <x v="1187"/>
    <d v="2025-03-30T00:00:00"/>
    <d v="2022-12-27T00:00:00"/>
    <x v="1394"/>
    <s v="London"/>
    <x v="2"/>
    <x v="1"/>
  </r>
  <r>
    <x v="1410"/>
    <x v="1396"/>
    <x v="2"/>
    <x v="2"/>
    <x v="2"/>
    <x v="1188"/>
    <d v="2025-04-11T00:00:00"/>
    <d v="2023-01-27T00:00:00"/>
    <x v="1395"/>
    <s v="Sydney"/>
    <x v="3"/>
    <x v="0"/>
  </r>
  <r>
    <x v="1411"/>
    <x v="1397"/>
    <x v="0"/>
    <x v="3"/>
    <x v="1"/>
    <x v="1189"/>
    <d v="2025-05-02T00:00:00"/>
    <d v="2017-11-23T00:00:00"/>
    <x v="1396"/>
    <s v="Singapore"/>
    <x v="2"/>
    <x v="0"/>
  </r>
  <r>
    <x v="1412"/>
    <x v="1398"/>
    <x v="1"/>
    <x v="5"/>
    <x v="3"/>
    <x v="1190"/>
    <d v="2025-11-02T00:00:00"/>
    <d v="2016-05-01T00:00:00"/>
    <x v="1397"/>
    <s v="Singapore"/>
    <x v="2"/>
    <x v="0"/>
  </r>
  <r>
    <x v="1413"/>
    <x v="1399"/>
    <x v="5"/>
    <x v="4"/>
    <x v="2"/>
    <x v="1191"/>
    <d v="2025-05-14T00:00:00"/>
    <d v="2018-05-14T00:00:00"/>
    <x v="1398"/>
    <s v="Berlin"/>
    <x v="4"/>
    <x v="1"/>
  </r>
  <r>
    <x v="1414"/>
    <x v="1400"/>
    <x v="2"/>
    <x v="1"/>
    <x v="0"/>
    <x v="127"/>
    <d v="2025-07-27T00:00:00"/>
    <d v="2018-05-28T00:00:00"/>
    <x v="1399"/>
    <s v="London"/>
    <x v="2"/>
    <x v="1"/>
  </r>
  <r>
    <x v="1415"/>
    <x v="1401"/>
    <x v="6"/>
    <x v="3"/>
    <x v="2"/>
    <x v="228"/>
    <d v="2025-12-29T00:00:00"/>
    <d v="2021-03-25T00:00:00"/>
    <x v="1400"/>
    <s v="Sydney"/>
    <x v="2"/>
    <x v="0"/>
  </r>
  <r>
    <x v="1416"/>
    <x v="1402"/>
    <x v="5"/>
    <x v="3"/>
    <x v="2"/>
    <x v="1192"/>
    <d v="2025-04-23T00:00:00"/>
    <d v="2018-02-14T00:00:00"/>
    <x v="1401"/>
    <s v="Berlin"/>
    <x v="2"/>
    <x v="1"/>
  </r>
  <r>
    <x v="1417"/>
    <x v="1403"/>
    <x v="1"/>
    <x v="4"/>
    <x v="3"/>
    <x v="1193"/>
    <d v="2025-11-23T00:00:00"/>
    <d v="2021-04-08T00:00:00"/>
    <x v="1402"/>
    <s v="New York"/>
    <x v="0"/>
    <x v="0"/>
  </r>
  <r>
    <x v="1418"/>
    <x v="1404"/>
    <x v="2"/>
    <x v="3"/>
    <x v="2"/>
    <x v="1194"/>
    <d v="2025-06-17T00:00:00"/>
    <d v="2023-05-11T00:00:00"/>
    <x v="1403"/>
    <s v="New York"/>
    <x v="0"/>
    <x v="0"/>
  </r>
  <r>
    <x v="1419"/>
    <x v="1405"/>
    <x v="3"/>
    <x v="4"/>
    <x v="1"/>
    <x v="1195"/>
    <d v="2025-09-11T00:00:00"/>
    <d v="2024-07-16T00:00:00"/>
    <x v="1404"/>
    <s v="Sydney"/>
    <x v="0"/>
    <x v="1"/>
  </r>
  <r>
    <x v="1420"/>
    <x v="1406"/>
    <x v="3"/>
    <x v="1"/>
    <x v="3"/>
    <x v="1196"/>
    <d v="2025-11-14T00:00:00"/>
    <d v="2023-09-02T00:00:00"/>
    <x v="1405"/>
    <s v="Bangalore"/>
    <x v="2"/>
    <x v="1"/>
  </r>
  <r>
    <x v="1421"/>
    <x v="1407"/>
    <x v="2"/>
    <x v="3"/>
    <x v="1"/>
    <x v="1197"/>
    <d v="2025-12-27T00:00:00"/>
    <d v="2020-09-12T00:00:00"/>
    <x v="1406"/>
    <s v="Singapore"/>
    <x v="4"/>
    <x v="1"/>
  </r>
  <r>
    <x v="1422"/>
    <x v="152"/>
    <x v="2"/>
    <x v="1"/>
    <x v="2"/>
    <x v="1198"/>
    <d v="2025-03-25T00:00:00"/>
    <d v="2018-09-17T00:00:00"/>
    <x v="1407"/>
    <s v="London"/>
    <x v="2"/>
    <x v="0"/>
  </r>
  <r>
    <x v="1423"/>
    <x v="1408"/>
    <x v="0"/>
    <x v="1"/>
    <x v="3"/>
    <x v="812"/>
    <d v="2025-07-12T00:00:00"/>
    <d v="2021-11-29T00:00:00"/>
    <x v="1408"/>
    <s v="Sydney"/>
    <x v="1"/>
    <x v="0"/>
  </r>
  <r>
    <x v="1424"/>
    <x v="1409"/>
    <x v="5"/>
    <x v="3"/>
    <x v="3"/>
    <x v="1199"/>
    <d v="2025-03-14T00:00:00"/>
    <d v="2017-03-29T00:00:00"/>
    <x v="1409"/>
    <s v="Toronto"/>
    <x v="1"/>
    <x v="1"/>
  </r>
  <r>
    <x v="1425"/>
    <x v="1410"/>
    <x v="4"/>
    <x v="2"/>
    <x v="1"/>
    <x v="1200"/>
    <d v="2025-05-09T00:00:00"/>
    <d v="2020-03-16T00:00:00"/>
    <x v="1410"/>
    <s v="Sydney"/>
    <x v="1"/>
    <x v="1"/>
  </r>
  <r>
    <x v="1426"/>
    <x v="1411"/>
    <x v="0"/>
    <x v="5"/>
    <x v="2"/>
    <x v="1201"/>
    <d v="2025-08-04T00:00:00"/>
    <d v="2017-05-20T00:00:00"/>
    <x v="1411"/>
    <s v="New York"/>
    <x v="2"/>
    <x v="0"/>
  </r>
  <r>
    <x v="1427"/>
    <x v="1392"/>
    <x v="1"/>
    <x v="2"/>
    <x v="2"/>
    <x v="1202"/>
    <d v="2026-01-28T00:00:00"/>
    <d v="2019-03-11T00:00:00"/>
    <x v="1412"/>
    <s v="Berlin"/>
    <x v="0"/>
    <x v="0"/>
  </r>
  <r>
    <x v="1428"/>
    <x v="1412"/>
    <x v="3"/>
    <x v="5"/>
    <x v="2"/>
    <x v="1203"/>
    <d v="2025-07-24T00:00:00"/>
    <d v="2018-04-14T00:00:00"/>
    <x v="1413"/>
    <s v="Toronto"/>
    <x v="2"/>
    <x v="1"/>
  </r>
  <r>
    <x v="1429"/>
    <x v="1413"/>
    <x v="3"/>
    <x v="3"/>
    <x v="1"/>
    <x v="1204"/>
    <d v="2025-09-09T00:00:00"/>
    <d v="2017-04-25T00:00:00"/>
    <x v="1414"/>
    <s v="Berlin"/>
    <x v="4"/>
    <x v="1"/>
  </r>
  <r>
    <x v="1430"/>
    <x v="1414"/>
    <x v="6"/>
    <x v="2"/>
    <x v="0"/>
    <x v="1205"/>
    <d v="2025-06-17T00:00:00"/>
    <d v="2016-07-13T00:00:00"/>
    <x v="1415"/>
    <s v="Toronto"/>
    <x v="2"/>
    <x v="1"/>
  </r>
  <r>
    <x v="1431"/>
    <x v="1415"/>
    <x v="2"/>
    <x v="3"/>
    <x v="0"/>
    <x v="1206"/>
    <d v="2025-06-12T00:00:00"/>
    <d v="2019-05-18T00:00:00"/>
    <x v="1416"/>
    <s v="London"/>
    <x v="4"/>
    <x v="0"/>
  </r>
  <r>
    <x v="1432"/>
    <x v="1416"/>
    <x v="4"/>
    <x v="3"/>
    <x v="0"/>
    <x v="1207"/>
    <d v="2025-12-20T00:00:00"/>
    <d v="2021-11-23T00:00:00"/>
    <x v="1417"/>
    <s v="Sydney"/>
    <x v="4"/>
    <x v="0"/>
  </r>
  <r>
    <x v="1433"/>
    <x v="1417"/>
    <x v="4"/>
    <x v="5"/>
    <x v="0"/>
    <x v="1028"/>
    <d v="2025-09-22T00:00:00"/>
    <d v="2021-10-03T00:00:00"/>
    <x v="1418"/>
    <s v="New York"/>
    <x v="4"/>
    <x v="1"/>
  </r>
  <r>
    <x v="1434"/>
    <x v="1418"/>
    <x v="2"/>
    <x v="4"/>
    <x v="2"/>
    <x v="836"/>
    <d v="2025-10-27T00:00:00"/>
    <d v="2021-01-08T00:00:00"/>
    <x v="1419"/>
    <s v="New York"/>
    <x v="1"/>
    <x v="0"/>
  </r>
  <r>
    <x v="1435"/>
    <x v="1419"/>
    <x v="0"/>
    <x v="3"/>
    <x v="3"/>
    <x v="1090"/>
    <d v="2025-10-13T00:00:00"/>
    <d v="2021-12-05T00:00:00"/>
    <x v="1420"/>
    <s v="Bangalore"/>
    <x v="1"/>
    <x v="0"/>
  </r>
  <r>
    <x v="1436"/>
    <x v="1420"/>
    <x v="1"/>
    <x v="4"/>
    <x v="1"/>
    <x v="1208"/>
    <d v="2025-07-03T00:00:00"/>
    <d v="2024-01-24T00:00:00"/>
    <x v="1421"/>
    <s v="London"/>
    <x v="1"/>
    <x v="1"/>
  </r>
  <r>
    <x v="1437"/>
    <x v="1421"/>
    <x v="6"/>
    <x v="5"/>
    <x v="3"/>
    <x v="837"/>
    <d v="2025-09-22T00:00:00"/>
    <d v="2021-03-18T00:00:00"/>
    <x v="1422"/>
    <s v="Singapore"/>
    <x v="2"/>
    <x v="0"/>
  </r>
  <r>
    <x v="1438"/>
    <x v="693"/>
    <x v="2"/>
    <x v="3"/>
    <x v="0"/>
    <x v="1209"/>
    <d v="2025-10-02T00:00:00"/>
    <d v="2019-08-27T00:00:00"/>
    <x v="1423"/>
    <s v="Bangalore"/>
    <x v="2"/>
    <x v="0"/>
  </r>
  <r>
    <x v="1439"/>
    <x v="1422"/>
    <x v="0"/>
    <x v="3"/>
    <x v="3"/>
    <x v="1210"/>
    <d v="2025-03-22T00:00:00"/>
    <d v="2024-05-03T00:00:00"/>
    <x v="1424"/>
    <s v="Sydney"/>
    <x v="1"/>
    <x v="0"/>
  </r>
  <r>
    <x v="1440"/>
    <x v="1423"/>
    <x v="0"/>
    <x v="2"/>
    <x v="0"/>
    <x v="503"/>
    <d v="2025-05-12T00:00:00"/>
    <d v="2017-04-01T00:00:00"/>
    <x v="1425"/>
    <s v="New York"/>
    <x v="1"/>
    <x v="0"/>
  </r>
  <r>
    <x v="1441"/>
    <x v="1424"/>
    <x v="4"/>
    <x v="1"/>
    <x v="3"/>
    <x v="1022"/>
    <d v="2025-04-16T00:00:00"/>
    <d v="2016-08-29T00:00:00"/>
    <x v="1426"/>
    <s v="Sydney"/>
    <x v="4"/>
    <x v="1"/>
  </r>
  <r>
    <x v="1442"/>
    <x v="1425"/>
    <x v="3"/>
    <x v="5"/>
    <x v="1"/>
    <x v="844"/>
    <d v="2025-11-26T00:00:00"/>
    <d v="2016-09-23T00:00:00"/>
    <x v="1427"/>
    <s v="Berlin"/>
    <x v="2"/>
    <x v="1"/>
  </r>
  <r>
    <x v="1443"/>
    <x v="1426"/>
    <x v="2"/>
    <x v="2"/>
    <x v="3"/>
    <x v="1211"/>
    <d v="2025-12-27T00:00:00"/>
    <d v="2023-03-12T00:00:00"/>
    <x v="1428"/>
    <s v="Toronto"/>
    <x v="2"/>
    <x v="1"/>
  </r>
  <r>
    <x v="1444"/>
    <x v="1427"/>
    <x v="5"/>
    <x v="3"/>
    <x v="1"/>
    <x v="1212"/>
    <d v="2025-08-02T00:00:00"/>
    <d v="2024-07-25T00:00:00"/>
    <x v="820"/>
    <s v="London"/>
    <x v="3"/>
    <x v="0"/>
  </r>
  <r>
    <x v="1445"/>
    <x v="1428"/>
    <x v="4"/>
    <x v="5"/>
    <x v="1"/>
    <x v="438"/>
    <d v="2025-05-07T00:00:00"/>
    <d v="2018-03-22T00:00:00"/>
    <x v="1429"/>
    <s v="Toronto"/>
    <x v="0"/>
    <x v="0"/>
  </r>
  <r>
    <x v="1446"/>
    <x v="1429"/>
    <x v="1"/>
    <x v="1"/>
    <x v="0"/>
    <x v="196"/>
    <d v="2025-04-14T00:00:00"/>
    <d v="2021-10-10T00:00:00"/>
    <x v="1430"/>
    <s v="Toronto"/>
    <x v="0"/>
    <x v="0"/>
  </r>
  <r>
    <x v="1447"/>
    <x v="1430"/>
    <x v="0"/>
    <x v="5"/>
    <x v="0"/>
    <x v="1213"/>
    <d v="2025-12-26T00:00:00"/>
    <d v="2016-01-10T00:00:00"/>
    <x v="1431"/>
    <s v="Sydney"/>
    <x v="0"/>
    <x v="0"/>
  </r>
  <r>
    <x v="1448"/>
    <x v="1431"/>
    <x v="0"/>
    <x v="4"/>
    <x v="1"/>
    <x v="1214"/>
    <d v="2025-05-28T00:00:00"/>
    <d v="2023-06-11T00:00:00"/>
    <x v="1432"/>
    <s v="Sydney"/>
    <x v="1"/>
    <x v="1"/>
  </r>
  <r>
    <x v="1449"/>
    <x v="1432"/>
    <x v="4"/>
    <x v="1"/>
    <x v="3"/>
    <x v="528"/>
    <d v="2026-02-02T00:00:00"/>
    <d v="2017-11-05T00:00:00"/>
    <x v="1433"/>
    <s v="Berlin"/>
    <x v="3"/>
    <x v="1"/>
  </r>
  <r>
    <x v="1450"/>
    <x v="1433"/>
    <x v="1"/>
    <x v="1"/>
    <x v="1"/>
    <x v="985"/>
    <d v="2025-12-01T00:00:00"/>
    <d v="2020-07-06T00:00:00"/>
    <x v="1434"/>
    <s v="New York"/>
    <x v="2"/>
    <x v="0"/>
  </r>
  <r>
    <x v="1451"/>
    <x v="1434"/>
    <x v="2"/>
    <x v="5"/>
    <x v="3"/>
    <x v="1215"/>
    <d v="2025-10-24T00:00:00"/>
    <d v="2019-08-11T00:00:00"/>
    <x v="1435"/>
    <s v="Berlin"/>
    <x v="0"/>
    <x v="1"/>
  </r>
  <r>
    <x v="1452"/>
    <x v="1435"/>
    <x v="4"/>
    <x v="1"/>
    <x v="0"/>
    <x v="1216"/>
    <d v="2025-11-05T00:00:00"/>
    <d v="2024-05-03T00:00:00"/>
    <x v="1436"/>
    <s v="Sydney"/>
    <x v="1"/>
    <x v="0"/>
  </r>
  <r>
    <x v="1453"/>
    <x v="1436"/>
    <x v="2"/>
    <x v="2"/>
    <x v="1"/>
    <x v="833"/>
    <d v="2025-12-11T00:00:00"/>
    <d v="2019-11-12T00:00:00"/>
    <x v="1437"/>
    <s v="Bangalore"/>
    <x v="1"/>
    <x v="0"/>
  </r>
  <r>
    <x v="1454"/>
    <x v="1437"/>
    <x v="4"/>
    <x v="0"/>
    <x v="3"/>
    <x v="1217"/>
    <d v="2025-10-02T00:00:00"/>
    <d v="2021-10-21T00:00:00"/>
    <x v="1438"/>
    <s v="Bangalore"/>
    <x v="3"/>
    <x v="1"/>
  </r>
  <r>
    <x v="1455"/>
    <x v="1438"/>
    <x v="5"/>
    <x v="4"/>
    <x v="1"/>
    <x v="1218"/>
    <d v="2026-01-16T00:00:00"/>
    <d v="2023-10-19T00:00:00"/>
    <x v="1439"/>
    <s v="London"/>
    <x v="3"/>
    <x v="0"/>
  </r>
  <r>
    <x v="1456"/>
    <x v="1439"/>
    <x v="3"/>
    <x v="5"/>
    <x v="1"/>
    <x v="824"/>
    <d v="2026-02-05T00:00:00"/>
    <d v="2022-05-11T00:00:00"/>
    <x v="1440"/>
    <s v="New York"/>
    <x v="4"/>
    <x v="1"/>
  </r>
  <r>
    <x v="1457"/>
    <x v="1440"/>
    <x v="2"/>
    <x v="3"/>
    <x v="3"/>
    <x v="1219"/>
    <d v="2025-08-30T00:00:00"/>
    <d v="2017-06-08T00:00:00"/>
    <x v="1441"/>
    <s v="Toronto"/>
    <x v="1"/>
    <x v="0"/>
  </r>
  <r>
    <x v="1458"/>
    <x v="1441"/>
    <x v="0"/>
    <x v="1"/>
    <x v="1"/>
    <x v="1220"/>
    <d v="2025-11-27T00:00:00"/>
    <d v="2019-12-08T00:00:00"/>
    <x v="1442"/>
    <s v="Toronto"/>
    <x v="3"/>
    <x v="1"/>
  </r>
  <r>
    <x v="1459"/>
    <x v="1442"/>
    <x v="4"/>
    <x v="0"/>
    <x v="3"/>
    <x v="985"/>
    <d v="2025-07-02T00:00:00"/>
    <d v="2019-08-02T00:00:00"/>
    <x v="1443"/>
    <s v="Bangalore"/>
    <x v="0"/>
    <x v="0"/>
  </r>
  <r>
    <x v="1460"/>
    <x v="1443"/>
    <x v="1"/>
    <x v="2"/>
    <x v="2"/>
    <x v="1221"/>
    <d v="2025-03-16T00:00:00"/>
    <d v="2021-08-18T00:00:00"/>
    <x v="1444"/>
    <s v="Singapore"/>
    <x v="4"/>
    <x v="1"/>
  </r>
  <r>
    <x v="1461"/>
    <x v="1444"/>
    <x v="5"/>
    <x v="4"/>
    <x v="1"/>
    <x v="1222"/>
    <d v="2025-06-12T00:00:00"/>
    <d v="2017-11-30T00:00:00"/>
    <x v="1445"/>
    <s v="Bangalore"/>
    <x v="0"/>
    <x v="1"/>
  </r>
  <r>
    <x v="1462"/>
    <x v="1445"/>
    <x v="3"/>
    <x v="5"/>
    <x v="0"/>
    <x v="1223"/>
    <d v="2025-07-21T00:00:00"/>
    <d v="2017-11-23T00:00:00"/>
    <x v="1446"/>
    <s v="London"/>
    <x v="2"/>
    <x v="1"/>
  </r>
  <r>
    <x v="1463"/>
    <x v="1446"/>
    <x v="0"/>
    <x v="5"/>
    <x v="3"/>
    <x v="528"/>
    <d v="2025-09-04T00:00:00"/>
    <d v="2018-03-30T00:00:00"/>
    <x v="1447"/>
    <s v="Bangalore"/>
    <x v="2"/>
    <x v="0"/>
  </r>
  <r>
    <x v="1464"/>
    <x v="1447"/>
    <x v="3"/>
    <x v="2"/>
    <x v="3"/>
    <x v="385"/>
    <d v="2025-12-31T00:00:00"/>
    <d v="2023-08-17T00:00:00"/>
    <x v="1448"/>
    <s v="Bangalore"/>
    <x v="1"/>
    <x v="1"/>
  </r>
  <r>
    <x v="1465"/>
    <x v="1448"/>
    <x v="0"/>
    <x v="5"/>
    <x v="2"/>
    <x v="1224"/>
    <d v="2025-10-10T00:00:00"/>
    <d v="2021-08-15T00:00:00"/>
    <x v="972"/>
    <s v="Berlin"/>
    <x v="4"/>
    <x v="1"/>
  </r>
  <r>
    <x v="1466"/>
    <x v="1449"/>
    <x v="6"/>
    <x v="0"/>
    <x v="2"/>
    <x v="1225"/>
    <d v="2025-11-16T00:00:00"/>
    <d v="2017-07-07T00:00:00"/>
    <x v="1449"/>
    <s v="London"/>
    <x v="1"/>
    <x v="1"/>
  </r>
  <r>
    <x v="1467"/>
    <x v="1236"/>
    <x v="2"/>
    <x v="3"/>
    <x v="3"/>
    <x v="1226"/>
    <d v="2025-08-19T00:00:00"/>
    <d v="2021-07-31T00:00:00"/>
    <x v="1450"/>
    <s v="London"/>
    <x v="3"/>
    <x v="1"/>
  </r>
  <r>
    <x v="1468"/>
    <x v="1450"/>
    <x v="5"/>
    <x v="2"/>
    <x v="3"/>
    <x v="506"/>
    <d v="2025-11-13T00:00:00"/>
    <d v="2023-02-23T00:00:00"/>
    <x v="1451"/>
    <s v="New York"/>
    <x v="1"/>
    <x v="1"/>
  </r>
  <r>
    <x v="1469"/>
    <x v="1451"/>
    <x v="2"/>
    <x v="0"/>
    <x v="2"/>
    <x v="803"/>
    <d v="2025-07-21T00:00:00"/>
    <d v="2021-08-04T00:00:00"/>
    <x v="1452"/>
    <s v="Toronto"/>
    <x v="1"/>
    <x v="1"/>
  </r>
  <r>
    <x v="1470"/>
    <x v="1452"/>
    <x v="6"/>
    <x v="1"/>
    <x v="2"/>
    <x v="1227"/>
    <d v="2026-01-20T00:00:00"/>
    <d v="2016-08-09T00:00:00"/>
    <x v="1453"/>
    <s v="Sydney"/>
    <x v="2"/>
    <x v="0"/>
  </r>
  <r>
    <x v="1471"/>
    <x v="1453"/>
    <x v="1"/>
    <x v="5"/>
    <x v="3"/>
    <x v="1191"/>
    <d v="2025-05-25T00:00:00"/>
    <d v="2022-09-19T00:00:00"/>
    <x v="1454"/>
    <s v="Bangalore"/>
    <x v="2"/>
    <x v="0"/>
  </r>
  <r>
    <x v="1472"/>
    <x v="1454"/>
    <x v="2"/>
    <x v="2"/>
    <x v="2"/>
    <x v="1228"/>
    <d v="2025-03-26T00:00:00"/>
    <d v="2024-07-17T00:00:00"/>
    <x v="1455"/>
    <s v="Singapore"/>
    <x v="2"/>
    <x v="1"/>
  </r>
  <r>
    <x v="1473"/>
    <x v="1455"/>
    <x v="4"/>
    <x v="5"/>
    <x v="2"/>
    <x v="1229"/>
    <d v="2025-09-05T00:00:00"/>
    <d v="2024-05-27T00:00:00"/>
    <x v="1456"/>
    <s v="Berlin"/>
    <x v="0"/>
    <x v="1"/>
  </r>
  <r>
    <x v="1474"/>
    <x v="1456"/>
    <x v="1"/>
    <x v="1"/>
    <x v="3"/>
    <x v="1230"/>
    <d v="2025-09-13T00:00:00"/>
    <d v="2024-04-12T00:00:00"/>
    <x v="1457"/>
    <s v="Bangalore"/>
    <x v="1"/>
    <x v="1"/>
  </r>
  <r>
    <x v="1475"/>
    <x v="1457"/>
    <x v="1"/>
    <x v="3"/>
    <x v="2"/>
    <x v="1231"/>
    <d v="2025-11-08T00:00:00"/>
    <d v="2020-09-22T00:00:00"/>
    <x v="1458"/>
    <s v="London"/>
    <x v="3"/>
    <x v="1"/>
  </r>
  <r>
    <x v="1476"/>
    <x v="1458"/>
    <x v="6"/>
    <x v="4"/>
    <x v="0"/>
    <x v="1232"/>
    <d v="2025-08-26T00:00:00"/>
    <d v="2022-05-13T00:00:00"/>
    <x v="1459"/>
    <s v="New York"/>
    <x v="0"/>
    <x v="0"/>
  </r>
  <r>
    <x v="1477"/>
    <x v="1459"/>
    <x v="1"/>
    <x v="2"/>
    <x v="3"/>
    <x v="699"/>
    <d v="2025-03-05T00:00:00"/>
    <d v="2016-03-25T00:00:00"/>
    <x v="1460"/>
    <s v="Bangalore"/>
    <x v="2"/>
    <x v="1"/>
  </r>
  <r>
    <x v="1478"/>
    <x v="1460"/>
    <x v="6"/>
    <x v="4"/>
    <x v="3"/>
    <x v="1233"/>
    <d v="2025-10-05T00:00:00"/>
    <d v="2020-12-04T00:00:00"/>
    <x v="1461"/>
    <s v="Bangalore"/>
    <x v="4"/>
    <x v="0"/>
  </r>
  <r>
    <x v="1479"/>
    <x v="1461"/>
    <x v="6"/>
    <x v="5"/>
    <x v="0"/>
    <x v="569"/>
    <d v="2025-12-13T00:00:00"/>
    <d v="2019-09-04T00:00:00"/>
    <x v="1462"/>
    <s v="Singapore"/>
    <x v="3"/>
    <x v="0"/>
  </r>
  <r>
    <x v="1480"/>
    <x v="1462"/>
    <x v="5"/>
    <x v="1"/>
    <x v="1"/>
    <x v="1234"/>
    <d v="2025-06-05T00:00:00"/>
    <d v="2021-03-10T00:00:00"/>
    <x v="1463"/>
    <s v="London"/>
    <x v="4"/>
    <x v="1"/>
  </r>
  <r>
    <x v="1481"/>
    <x v="1463"/>
    <x v="4"/>
    <x v="2"/>
    <x v="0"/>
    <x v="1235"/>
    <d v="2025-05-10T00:00:00"/>
    <d v="2017-12-02T00:00:00"/>
    <x v="1464"/>
    <s v="Singapore"/>
    <x v="0"/>
    <x v="1"/>
  </r>
  <r>
    <x v="1482"/>
    <x v="1464"/>
    <x v="1"/>
    <x v="3"/>
    <x v="1"/>
    <x v="1236"/>
    <d v="2025-05-21T00:00:00"/>
    <d v="2019-12-18T00:00:00"/>
    <x v="1465"/>
    <s v="Sydney"/>
    <x v="0"/>
    <x v="1"/>
  </r>
  <r>
    <x v="1483"/>
    <x v="1465"/>
    <x v="3"/>
    <x v="4"/>
    <x v="3"/>
    <x v="1091"/>
    <d v="2026-01-16T00:00:00"/>
    <d v="2023-03-01T00:00:00"/>
    <x v="1466"/>
    <s v="Berlin"/>
    <x v="1"/>
    <x v="0"/>
  </r>
  <r>
    <x v="1484"/>
    <x v="1466"/>
    <x v="3"/>
    <x v="5"/>
    <x v="3"/>
    <x v="1237"/>
    <d v="2025-09-13T00:00:00"/>
    <d v="2021-11-11T00:00:00"/>
    <x v="1467"/>
    <s v="London"/>
    <x v="2"/>
    <x v="0"/>
  </r>
  <r>
    <x v="1485"/>
    <x v="1467"/>
    <x v="2"/>
    <x v="5"/>
    <x v="2"/>
    <x v="1238"/>
    <d v="2025-08-21T00:00:00"/>
    <d v="2022-04-11T00:00:00"/>
    <x v="1468"/>
    <s v="Singapore"/>
    <x v="1"/>
    <x v="0"/>
  </r>
  <r>
    <x v="1486"/>
    <x v="1468"/>
    <x v="1"/>
    <x v="3"/>
    <x v="0"/>
    <x v="1239"/>
    <d v="2025-07-29T00:00:00"/>
    <d v="2019-02-04T00:00:00"/>
    <x v="1469"/>
    <s v="Singapore"/>
    <x v="1"/>
    <x v="0"/>
  </r>
  <r>
    <x v="1487"/>
    <x v="1469"/>
    <x v="5"/>
    <x v="1"/>
    <x v="1"/>
    <x v="7"/>
    <d v="2025-06-07T00:00:00"/>
    <d v="2016-06-24T00:00:00"/>
    <x v="1470"/>
    <s v="New York"/>
    <x v="1"/>
    <x v="0"/>
  </r>
  <r>
    <x v="1488"/>
    <x v="1470"/>
    <x v="1"/>
    <x v="3"/>
    <x v="3"/>
    <x v="1240"/>
    <d v="2025-07-06T00:00:00"/>
    <d v="2015-08-23T00:00:00"/>
    <x v="1471"/>
    <s v="Bangalore"/>
    <x v="1"/>
    <x v="0"/>
  </r>
  <r>
    <x v="1489"/>
    <x v="1471"/>
    <x v="6"/>
    <x v="4"/>
    <x v="0"/>
    <x v="1241"/>
    <d v="2025-12-21T00:00:00"/>
    <d v="2017-01-18T00:00:00"/>
    <x v="1472"/>
    <s v="Toronto"/>
    <x v="2"/>
    <x v="0"/>
  </r>
  <r>
    <x v="1490"/>
    <x v="1472"/>
    <x v="5"/>
    <x v="3"/>
    <x v="0"/>
    <x v="1242"/>
    <d v="2026-02-14T00:00:00"/>
    <d v="2022-07-10T00:00:00"/>
    <x v="1473"/>
    <s v="Toronto"/>
    <x v="1"/>
    <x v="0"/>
  </r>
  <r>
    <x v="1491"/>
    <x v="1473"/>
    <x v="6"/>
    <x v="1"/>
    <x v="0"/>
    <x v="1243"/>
    <d v="2025-04-10T00:00:00"/>
    <d v="2022-07-02T00:00:00"/>
    <x v="1474"/>
    <s v="Singapore"/>
    <x v="2"/>
    <x v="0"/>
  </r>
  <r>
    <x v="1492"/>
    <x v="1474"/>
    <x v="0"/>
    <x v="1"/>
    <x v="2"/>
    <x v="1244"/>
    <d v="2025-09-22T00:00:00"/>
    <d v="2019-05-05T00:00:00"/>
    <x v="1475"/>
    <s v="Singapore"/>
    <x v="3"/>
    <x v="1"/>
  </r>
  <r>
    <x v="1493"/>
    <x v="1475"/>
    <x v="2"/>
    <x v="5"/>
    <x v="1"/>
    <x v="1245"/>
    <d v="2025-06-24T00:00:00"/>
    <d v="2022-01-20T00:00:00"/>
    <x v="1476"/>
    <s v="Toronto"/>
    <x v="0"/>
    <x v="0"/>
  </r>
  <r>
    <x v="1494"/>
    <x v="1476"/>
    <x v="3"/>
    <x v="0"/>
    <x v="0"/>
    <x v="414"/>
    <d v="2025-08-04T00:00:00"/>
    <d v="2023-11-08T00:00:00"/>
    <x v="1477"/>
    <s v="London"/>
    <x v="0"/>
    <x v="1"/>
  </r>
  <r>
    <x v="1495"/>
    <x v="1477"/>
    <x v="1"/>
    <x v="0"/>
    <x v="3"/>
    <x v="1246"/>
    <d v="2025-04-05T00:00:00"/>
    <d v="2023-12-23T00:00:00"/>
    <x v="1478"/>
    <s v="London"/>
    <x v="0"/>
    <x v="0"/>
  </r>
  <r>
    <x v="1496"/>
    <x v="1478"/>
    <x v="1"/>
    <x v="1"/>
    <x v="1"/>
    <x v="1247"/>
    <d v="2025-04-03T00:00:00"/>
    <d v="2020-05-26T00:00:00"/>
    <x v="1479"/>
    <s v="Singapore"/>
    <x v="0"/>
    <x v="0"/>
  </r>
  <r>
    <x v="1497"/>
    <x v="1479"/>
    <x v="0"/>
    <x v="4"/>
    <x v="2"/>
    <x v="929"/>
    <d v="2025-12-11T00:00:00"/>
    <d v="2018-09-28T00:00:00"/>
    <x v="1480"/>
    <s v="New York"/>
    <x v="2"/>
    <x v="1"/>
  </r>
  <r>
    <x v="1498"/>
    <x v="1480"/>
    <x v="6"/>
    <x v="4"/>
    <x v="3"/>
    <x v="1248"/>
    <d v="2025-03-06T00:00:00"/>
    <d v="2018-10-06T00:00:00"/>
    <x v="1481"/>
    <s v="Toronto"/>
    <x v="0"/>
    <x v="0"/>
  </r>
  <r>
    <x v="1499"/>
    <x v="1481"/>
    <x v="6"/>
    <x v="2"/>
    <x v="3"/>
    <x v="1249"/>
    <d v="2025-05-28T00:00:00"/>
    <d v="2022-12-01T00:00:00"/>
    <x v="1482"/>
    <s v="Sydney"/>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8E216C-C552-40E8-BD0A-2739AB7CDC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2">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axis="axisRow" showAll="0">
      <items count="8">
        <item x="0"/>
        <item x="1"/>
        <item x="5"/>
        <item x="2"/>
        <item x="4"/>
        <item x="6"/>
        <item x="3"/>
        <item t="default"/>
      </items>
    </pivotField>
    <pivotField showAll="0"/>
    <pivotField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showAll="0">
      <items count="6">
        <item x="1"/>
        <item x="2"/>
        <item x="0"/>
        <item x="4"/>
        <item x="3"/>
        <item t="default"/>
      </items>
    </pivotField>
    <pivotField showAll="0">
      <items count="3">
        <item x="1"/>
        <item x="0"/>
        <item t="default"/>
      </items>
    </pivotField>
  </pivotFields>
  <rowFields count="1">
    <field x="2"/>
  </rowFields>
  <rowItems count="7">
    <i>
      <x/>
    </i>
    <i>
      <x v="2"/>
    </i>
    <i>
      <x v="3"/>
    </i>
    <i>
      <x v="4"/>
    </i>
    <i>
      <x v="5"/>
    </i>
    <i>
      <x v="6"/>
    </i>
    <i t="grand">
      <x/>
    </i>
  </rowItems>
  <colItems count="1">
    <i/>
  </colItems>
  <dataFields count="1">
    <dataField name="Count of Employee_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701516-CF34-4E3B-9A25-B4D26F7226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axis="axisRow" showAll="0">
      <items count="8">
        <item x="0"/>
        <item x="1"/>
        <item x="5"/>
        <item x="2"/>
        <item x="4"/>
        <item x="6"/>
        <item x="3"/>
        <item t="default"/>
      </items>
    </pivotField>
    <pivotField showAll="0"/>
    <pivotField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dataField="1" showAll="0">
      <items count="6">
        <item x="1"/>
        <item x="2"/>
        <item x="0"/>
        <item x="4"/>
        <item x="3"/>
        <item t="default"/>
      </items>
    </pivotField>
    <pivotField showAll="0">
      <items count="3">
        <item x="1"/>
        <item x="0"/>
        <item t="default"/>
      </items>
    </pivotField>
  </pivotFields>
  <rowFields count="1">
    <field x="2"/>
  </rowFields>
  <rowItems count="7">
    <i>
      <x/>
    </i>
    <i>
      <x v="2"/>
    </i>
    <i>
      <x v="3"/>
    </i>
    <i>
      <x v="4"/>
    </i>
    <i>
      <x v="5"/>
    </i>
    <i>
      <x v="6"/>
    </i>
    <i t="grand">
      <x/>
    </i>
  </rowItems>
  <colItems count="1">
    <i/>
  </colItems>
  <dataFields count="1">
    <dataField name="Average of Performance_Rating" fld="10" subtotal="average" baseField="2"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E58202-49A6-4E27-9373-E150418DE7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axis="axisRow" showAll="0" sortType="descending">
      <items count="8">
        <item x="0"/>
        <item x="1"/>
        <item x="5"/>
        <item x="2"/>
        <item x="4"/>
        <item x="6"/>
        <item x="3"/>
        <item t="default"/>
      </items>
      <autoSortScope>
        <pivotArea dataOnly="0" outline="0" fieldPosition="0">
          <references count="1">
            <reference field="4294967294" count="1" selected="0">
              <x v="0"/>
            </reference>
          </references>
        </pivotArea>
      </autoSortScope>
    </pivotField>
    <pivotField showAll="0"/>
    <pivotField showAll="0">
      <items count="5">
        <item x="0"/>
        <item x="1"/>
        <item x="3"/>
        <item x="2"/>
        <item t="default"/>
      </items>
    </pivotField>
    <pivotField dataField="1"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showAll="0">
      <items count="6">
        <item x="1"/>
        <item x="2"/>
        <item x="0"/>
        <item x="4"/>
        <item x="3"/>
        <item t="default"/>
      </items>
    </pivotField>
    <pivotField showAll="0">
      <items count="3">
        <item x="1"/>
        <item x="0"/>
        <item t="default"/>
      </items>
    </pivotField>
  </pivotFields>
  <rowFields count="1">
    <field x="2"/>
  </rowFields>
  <rowItems count="7">
    <i>
      <x v="3"/>
    </i>
    <i>
      <x/>
    </i>
    <i>
      <x v="6"/>
    </i>
    <i>
      <x v="4"/>
    </i>
    <i>
      <x v="5"/>
    </i>
    <i>
      <x v="2"/>
    </i>
    <i t="grand">
      <x/>
    </i>
  </rowItems>
  <colItems count="1">
    <i/>
  </colItems>
  <dataFields count="1">
    <dataField name="Average of Hours_Spent" fld="5" subtotal="average" baseField="2"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A0A740-1F9D-43AA-A553-5EC1DB9A507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items count="8">
        <item x="0"/>
        <item x="1"/>
        <item x="5"/>
        <item x="2"/>
        <item x="4"/>
        <item x="6"/>
        <item x="3"/>
        <item t="default"/>
      </items>
    </pivotField>
    <pivotField showAll="0"/>
    <pivotField axis="axisRow" dataField="1"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items count="1484">
        <item x="593"/>
        <item x="954"/>
        <item x="1157"/>
        <item x="354"/>
        <item x="1248"/>
        <item x="132"/>
        <item x="1189"/>
        <item x="1016"/>
        <item x="1244"/>
        <item x="811"/>
        <item x="534"/>
        <item x="233"/>
        <item x="763"/>
        <item x="771"/>
        <item x="1325"/>
        <item x="304"/>
        <item x="1310"/>
        <item x="1230"/>
        <item x="301"/>
        <item x="391"/>
        <item x="105"/>
        <item x="996"/>
        <item x="231"/>
        <item x="418"/>
        <item x="731"/>
        <item x="1456"/>
        <item x="1420"/>
        <item x="495"/>
        <item x="895"/>
        <item x="683"/>
        <item x="1328"/>
        <item x="1070"/>
        <item x="1444"/>
        <item x="1319"/>
        <item x="868"/>
        <item x="1432"/>
        <item x="251"/>
        <item x="118"/>
        <item x="68"/>
        <item x="86"/>
        <item x="856"/>
        <item x="568"/>
        <item x="894"/>
        <item x="91"/>
        <item x="677"/>
        <item x="689"/>
        <item x="931"/>
        <item x="210"/>
        <item x="862"/>
        <item x="930"/>
        <item x="351"/>
        <item x="257"/>
        <item x="1472"/>
        <item x="709"/>
        <item x="708"/>
        <item x="220"/>
        <item x="157"/>
        <item x="241"/>
        <item x="1101"/>
        <item x="782"/>
        <item x="726"/>
        <item x="124"/>
        <item x="340"/>
        <item x="1084"/>
        <item x="204"/>
        <item x="909"/>
        <item x="998"/>
        <item x="1276"/>
        <item x="1172"/>
        <item x="113"/>
        <item x="979"/>
        <item x="1205"/>
        <item x="1078"/>
        <item x="438"/>
        <item x="1032"/>
        <item x="806"/>
        <item x="1375"/>
        <item x="361"/>
        <item x="585"/>
        <item x="960"/>
        <item x="1006"/>
        <item x="799"/>
        <item x="1108"/>
        <item x="1453"/>
        <item x="1111"/>
        <item x="90"/>
        <item x="629"/>
        <item x="421"/>
        <item x="566"/>
        <item x="692"/>
        <item x="687"/>
        <item x="1059"/>
        <item x="707"/>
        <item x="1275"/>
        <item x="1094"/>
        <item x="1245"/>
        <item x="527"/>
        <item x="1095"/>
        <item x="620"/>
        <item x="1301"/>
        <item x="639"/>
        <item x="1434"/>
        <item x="740"/>
        <item x="349"/>
        <item x="29"/>
        <item x="1171"/>
        <item x="1210"/>
        <item x="247"/>
        <item x="250"/>
        <item x="404"/>
        <item x="500"/>
        <item x="238"/>
        <item x="839"/>
        <item x="625"/>
        <item x="87"/>
        <item x="126"/>
        <item x="485"/>
        <item x="459"/>
        <item x="1025"/>
        <item x="1064"/>
        <item x="1142"/>
        <item x="1057"/>
        <item x="287"/>
        <item x="1452"/>
        <item x="684"/>
        <item x="908"/>
        <item x="1114"/>
        <item x="614"/>
        <item x="46"/>
        <item x="262"/>
        <item x="1448"/>
        <item x="727"/>
        <item x="1477"/>
        <item x="1342"/>
        <item x="607"/>
        <item x="720"/>
        <item x="855"/>
        <item x="1107"/>
        <item x="680"/>
        <item x="997"/>
        <item x="658"/>
        <item x="592"/>
        <item x="794"/>
        <item x="886"/>
        <item x="35"/>
        <item x="682"/>
        <item x="345"/>
        <item x="1442"/>
        <item x="406"/>
        <item x="738"/>
        <item x="295"/>
        <item x="729"/>
        <item x="381"/>
        <item x="1007"/>
        <item x="1135"/>
        <item x="1295"/>
        <item x="843"/>
        <item x="755"/>
        <item x="665"/>
        <item x="1214"/>
        <item x="829"/>
        <item x="522"/>
        <item x="93"/>
        <item x="555"/>
        <item x="110"/>
        <item x="1317"/>
        <item x="1187"/>
        <item x="1173"/>
        <item x="191"/>
        <item x="672"/>
        <item x="626"/>
        <item x="887"/>
        <item x="3"/>
        <item x="401"/>
        <item x="1367"/>
        <item x="1418"/>
        <item x="224"/>
        <item x="624"/>
        <item x="1076"/>
        <item x="509"/>
        <item x="1358"/>
        <item x="539"/>
        <item x="554"/>
        <item x="289"/>
        <item x="488"/>
        <item x="143"/>
        <item x="1149"/>
        <item x="397"/>
        <item x="140"/>
        <item x="1054"/>
        <item x="1416"/>
        <item x="697"/>
        <item x="1243"/>
        <item x="643"/>
        <item x="396"/>
        <item x="657"/>
        <item x="1186"/>
        <item x="331"/>
        <item x="1134"/>
        <item x="892"/>
        <item x="945"/>
        <item x="1397"/>
        <item x="114"/>
        <item x="939"/>
        <item x="346"/>
        <item x="1283"/>
        <item x="1053"/>
        <item x="831"/>
        <item x="1201"/>
        <item x="115"/>
        <item x="357"/>
        <item x="1241"/>
        <item x="1274"/>
        <item x="521"/>
        <item x="1337"/>
        <item x="644"/>
        <item x="846"/>
        <item x="458"/>
        <item x="21"/>
        <item x="710"/>
        <item x="474"/>
        <item x="422"/>
        <item x="1050"/>
        <item x="779"/>
        <item x="1042"/>
        <item x="260"/>
        <item x="1092"/>
        <item x="518"/>
        <item x="237"/>
        <item x="111"/>
        <item x="655"/>
        <item x="382"/>
        <item x="99"/>
        <item x="1202"/>
        <item x="1220"/>
        <item x="137"/>
        <item x="1366"/>
        <item x="1413"/>
        <item x="61"/>
        <item x="1391"/>
        <item x="596"/>
        <item x="1441"/>
        <item x="853"/>
        <item x="353"/>
        <item x="1399"/>
        <item x="1045"/>
        <item x="549"/>
        <item x="482"/>
        <item x="526"/>
        <item x="760"/>
        <item x="302"/>
        <item x="393"/>
        <item x="1136"/>
        <item x="403"/>
        <item x="977"/>
        <item x="1001"/>
        <item x="1223"/>
        <item x="405"/>
        <item x="823"/>
        <item x="402"/>
        <item x="394"/>
        <item x="1063"/>
        <item x="529"/>
        <item x="359"/>
        <item x="150"/>
        <item x="1435"/>
        <item x="1256"/>
        <item x="768"/>
        <item x="1122"/>
        <item x="724"/>
        <item x="732"/>
        <item x="1143"/>
        <item x="38"/>
        <item x="483"/>
        <item x="1182"/>
        <item x="1394"/>
        <item x="662"/>
        <item x="221"/>
        <item x="473"/>
        <item x="350"/>
        <item x="142"/>
        <item x="1398"/>
        <item x="1361"/>
        <item x="1305"/>
        <item x="1348"/>
        <item x="1062"/>
        <item x="199"/>
        <item x="196"/>
        <item x="125"/>
        <item x="885"/>
        <item x="1466"/>
        <item x="668"/>
        <item x="411"/>
        <item x="864"/>
        <item x="1474"/>
        <item x="883"/>
        <item x="152"/>
        <item x="60"/>
        <item x="1185"/>
        <item x="800"/>
        <item x="1364"/>
        <item x="901"/>
        <item x="1362"/>
        <item x="5"/>
        <item x="338"/>
        <item x="659"/>
        <item x="45"/>
        <item x="1297"/>
        <item x="884"/>
        <item x="178"/>
        <item x="1081"/>
        <item x="1030"/>
        <item x="1271"/>
        <item x="377"/>
        <item x="564"/>
        <item x="838"/>
        <item x="1031"/>
        <item x="98"/>
        <item x="925"/>
        <item x="321"/>
        <item x="694"/>
        <item x="695"/>
        <item x="442"/>
        <item x="415"/>
        <item x="203"/>
        <item x="489"/>
        <item x="461"/>
        <item x="335"/>
        <item x="50"/>
        <item x="15"/>
        <item x="1468"/>
        <item x="645"/>
        <item x="1233"/>
        <item x="924"/>
        <item x="1091"/>
        <item x="1124"/>
        <item x="455"/>
        <item x="704"/>
        <item x="334"/>
        <item x="267"/>
        <item x="1234"/>
        <item x="466"/>
        <item x="545"/>
        <item x="992"/>
        <item x="949"/>
        <item x="1357"/>
        <item x="798"/>
        <item x="245"/>
        <item x="1146"/>
        <item x="432"/>
        <item x="1479"/>
        <item x="290"/>
        <item x="888"/>
        <item x="308"/>
        <item x="146"/>
        <item x="1417"/>
        <item x="339"/>
        <item x="1080"/>
        <item x="590"/>
        <item x="562"/>
        <item x="1213"/>
        <item x="678"/>
        <item x="950"/>
        <item x="284"/>
        <item x="605"/>
        <item x="342"/>
        <item x="11"/>
        <item x="1255"/>
        <item x="1465"/>
        <item x="802"/>
        <item x="1331"/>
        <item x="830"/>
        <item x="1132"/>
        <item x="1133"/>
        <item x="1037"/>
        <item x="956"/>
        <item x="496"/>
        <item x="617"/>
        <item x="1181"/>
        <item x="530"/>
        <item x="1188"/>
        <item x="836"/>
        <item x="603"/>
        <item x="1068"/>
        <item x="511"/>
        <item x="138"/>
        <item x="1469"/>
        <item x="1370"/>
        <item x="693"/>
        <item x="428"/>
        <item x="1086"/>
        <item x="1203"/>
        <item x="1104"/>
        <item x="598"/>
        <item x="633"/>
        <item x="743"/>
        <item x="1020"/>
        <item x="927"/>
        <item x="1131"/>
        <item x="193"/>
        <item x="1323"/>
        <item x="809"/>
        <item x="399"/>
        <item x="969"/>
        <item x="336"/>
        <item x="1380"/>
        <item x="543"/>
        <item x="198"/>
        <item x="427"/>
        <item x="486"/>
        <item x="112"/>
        <item x="127"/>
        <item x="9"/>
        <item x="785"/>
        <item x="877"/>
        <item x="341"/>
        <item x="226"/>
        <item x="619"/>
        <item x="384"/>
        <item x="718"/>
        <item x="82"/>
        <item x="746"/>
        <item x="246"/>
        <item x="773"/>
        <item x="1028"/>
        <item x="916"/>
        <item x="254"/>
        <item x="1232"/>
        <item x="1439"/>
        <item x="854"/>
        <item x="736"/>
        <item x="285"/>
        <item x="1433"/>
        <item x="215"/>
        <item x="1014"/>
        <item x="135"/>
        <item x="898"/>
        <item x="985"/>
        <item x="880"/>
        <item x="177"/>
        <item x="819"/>
        <item x="1386"/>
        <item x="1002"/>
        <item x="175"/>
        <item x="1463"/>
        <item x="89"/>
        <item x="1083"/>
        <item x="587"/>
        <item x="1329"/>
        <item x="74"/>
        <item x="988"/>
        <item x="499"/>
        <item x="417"/>
        <item x="1270"/>
        <item x="1155"/>
        <item x="1150"/>
        <item x="433"/>
        <item x="1313"/>
        <item x="681"/>
        <item x="234"/>
        <item x="1164"/>
        <item x="356"/>
        <item x="129"/>
        <item x="169"/>
        <item x="703"/>
        <item x="264"/>
        <item x="863"/>
        <item x="515"/>
        <item x="502"/>
        <item x="671"/>
        <item x="741"/>
        <item x="536"/>
        <item x="577"/>
        <item x="205"/>
        <item x="108"/>
        <item x="317"/>
        <item x="298"/>
        <item x="1338"/>
        <item x="80"/>
        <item x="1302"/>
        <item x="1061"/>
        <item x="476"/>
        <item x="667"/>
        <item x="276"/>
        <item x="1231"/>
        <item x="134"/>
        <item x="371"/>
        <item x="67"/>
        <item x="291"/>
        <item x="1041"/>
        <item x="1138"/>
        <item x="627"/>
        <item x="59"/>
        <item x="776"/>
        <item x="1224"/>
        <item x="860"/>
        <item x="1051"/>
        <item x="618"/>
        <item x="783"/>
        <item x="952"/>
        <item x="1198"/>
        <item x="790"/>
        <item x="559"/>
        <item x="550"/>
        <item x="989"/>
        <item x="1437"/>
        <item x="1268"/>
        <item x="533"/>
        <item x="1148"/>
        <item x="1018"/>
        <item x="76"/>
        <item x="34"/>
        <item x="987"/>
        <item x="72"/>
        <item x="272"/>
        <item x="1260"/>
        <item x="12"/>
        <item x="1343"/>
        <item x="1239"/>
        <item x="847"/>
        <item x="651"/>
        <item x="1194"/>
        <item x="1467"/>
        <item x="961"/>
        <item x="189"/>
        <item x="906"/>
        <item x="156"/>
        <item x="921"/>
        <item x="365"/>
        <item x="505"/>
        <item x="769"/>
        <item x="102"/>
        <item x="1215"/>
        <item x="192"/>
        <item x="148"/>
        <item x="270"/>
        <item x="913"/>
        <item x="609"/>
        <item x="1395"/>
        <item x="498"/>
        <item x="293"/>
        <item x="1093"/>
        <item x="766"/>
        <item x="1023"/>
        <item x="375"/>
        <item x="993"/>
        <item x="976"/>
        <item x="858"/>
        <item x="872"/>
        <item x="1160"/>
        <item x="269"/>
        <item x="1390"/>
        <item x="815"/>
        <item x="431"/>
        <item x="1130"/>
        <item x="581"/>
        <item x="1280"/>
        <item x="1336"/>
        <item x="597"/>
        <item x="320"/>
        <item x="1153"/>
        <item x="252"/>
        <item x="513"/>
        <item x="1284"/>
        <item x="379"/>
        <item x="879"/>
        <item x="556"/>
        <item x="861"/>
        <item x="1421"/>
        <item x="1458"/>
        <item x="970"/>
        <item x="174"/>
        <item x="834"/>
        <item x="55"/>
        <item x="1047"/>
        <item x="471"/>
        <item x="1296"/>
        <item x="318"/>
        <item x="591"/>
        <item x="1065"/>
        <item x="910"/>
        <item x="120"/>
        <item x="249"/>
        <item x="1299"/>
        <item x="501"/>
        <item x="792"/>
        <item x="1438"/>
        <item x="940"/>
        <item x="647"/>
        <item x="25"/>
        <item x="1073"/>
        <item x="837"/>
        <item x="583"/>
        <item x="1352"/>
        <item x="1261"/>
        <item x="1404"/>
        <item x="1071"/>
        <item x="1229"/>
        <item x="538"/>
        <item x="71"/>
        <item x="666"/>
        <item x="1110"/>
        <item x="859"/>
        <item x="981"/>
        <item x="540"/>
        <item x="1253"/>
        <item x="787"/>
        <item x="953"/>
        <item x="1303"/>
        <item x="164"/>
        <item x="558"/>
        <item x="1004"/>
        <item x="244"/>
        <item x="161"/>
        <item x="42"/>
        <item x="369"/>
        <item x="95"/>
        <item x="893"/>
        <item x="630"/>
        <item x="1388"/>
        <item x="1126"/>
        <item x="610"/>
        <item x="761"/>
        <item x="1262"/>
        <item x="541"/>
        <item x="49"/>
        <item x="551"/>
        <item x="101"/>
        <item x="460"/>
        <item x="1273"/>
        <item x="582"/>
        <item x="20"/>
        <item x="447"/>
        <item x="8"/>
        <item x="1067"/>
        <item x="1218"/>
        <item x="166"/>
        <item x="1200"/>
        <item x="1368"/>
        <item x="219"/>
        <item x="1401"/>
        <item x="1209"/>
        <item x="171"/>
        <item x="1144"/>
        <item x="628"/>
        <item x="652"/>
        <item x="478"/>
        <item x="935"/>
        <item x="914"/>
        <item x="621"/>
        <item x="1335"/>
        <item x="510"/>
        <item x="713"/>
        <item x="73"/>
        <item x="154"/>
        <item x="1040"/>
        <item x="1180"/>
        <item x="480"/>
        <item x="1292"/>
        <item x="170"/>
        <item x="363"/>
        <item x="691"/>
        <item x="904"/>
        <item x="867"/>
        <item x="1411"/>
        <item x="1168"/>
        <item x="1118"/>
        <item x="1300"/>
        <item x="640"/>
        <item x="611"/>
        <item x="1055"/>
        <item x="1365"/>
        <item x="230"/>
        <item x="1403"/>
        <item x="430"/>
        <item x="32"/>
        <item x="1473"/>
        <item x="812"/>
        <item x="1152"/>
        <item x="1282"/>
        <item x="1069"/>
        <item x="222"/>
        <item x="1227"/>
        <item x="1324"/>
        <item x="1247"/>
        <item x="63"/>
        <item x="1371"/>
        <item x="750"/>
        <item x="57"/>
        <item x="1481"/>
        <item x="370"/>
        <item x="936"/>
        <item x="326"/>
        <item x="1345"/>
        <item x="608"/>
        <item x="896"/>
        <item x="1120"/>
        <item x="167"/>
        <item x="941"/>
        <item x="737"/>
        <item x="10"/>
        <item x="1263"/>
        <item x="79"/>
        <item x="1119"/>
        <item x="986"/>
        <item x="1249"/>
        <item x="1156"/>
        <item x="209"/>
        <item x="821"/>
        <item x="801"/>
        <item x="1212"/>
        <item x="1425"/>
        <item x="570"/>
        <item x="553"/>
        <item x="1191"/>
        <item x="654"/>
        <item x="378"/>
        <item x="517"/>
        <item x="107"/>
        <item x="1377"/>
        <item x="973"/>
        <item x="330"/>
        <item x="37"/>
        <item x="216"/>
        <item x="810"/>
        <item x="1431"/>
        <item x="1378"/>
        <item x="1085"/>
        <item x="1196"/>
        <item x="1123"/>
        <item x="1096"/>
        <item x="999"/>
        <item x="243"/>
        <item x="1389"/>
        <item x="40"/>
        <item x="188"/>
        <item x="1208"/>
        <item x="1269"/>
        <item x="429"/>
        <item x="1141"/>
        <item x="1423"/>
        <item x="451"/>
        <item x="816"/>
        <item x="759"/>
        <item x="1460"/>
        <item x="919"/>
        <item x="2"/>
        <item x="825"/>
        <item x="1309"/>
        <item x="714"/>
        <item x="28"/>
        <item x="1259"/>
        <item x="18"/>
        <item x="186"/>
        <item x="967"/>
        <item x="793"/>
        <item x="1392"/>
        <item x="784"/>
        <item x="948"/>
        <item x="1140"/>
        <item x="141"/>
        <item x="1315"/>
        <item x="23"/>
        <item x="1019"/>
        <item x="470"/>
        <item x="144"/>
        <item x="774"/>
        <item x="1012"/>
        <item x="767"/>
        <item x="228"/>
        <item x="636"/>
        <item x="117"/>
        <item x="1382"/>
        <item x="1402"/>
        <item x="24"/>
        <item x="1298"/>
        <item x="1066"/>
        <item x="943"/>
        <item x="1291"/>
        <item x="255"/>
        <item x="358"/>
        <item x="1035"/>
        <item x="1334"/>
        <item x="481"/>
        <item x="796"/>
        <item x="1350"/>
        <item x="410"/>
        <item x="475"/>
        <item x="820"/>
        <item x="1154"/>
        <item x="1410"/>
        <item x="1267"/>
        <item x="650"/>
        <item x="1290"/>
        <item x="848"/>
        <item x="937"/>
        <item x="374"/>
        <item x="1075"/>
        <item x="62"/>
        <item x="531"/>
        <item x="153"/>
        <item x="41"/>
        <item x="218"/>
        <item x="85"/>
        <item x="994"/>
        <item x="17"/>
        <item x="670"/>
        <item x="441"/>
        <item x="535"/>
        <item x="1029"/>
        <item x="364"/>
        <item x="22"/>
        <item x="874"/>
        <item x="261"/>
        <item x="187"/>
        <item x="434"/>
        <item x="227"/>
        <item x="1381"/>
        <item x="14"/>
        <item x="573"/>
        <item x="419"/>
        <item x="88"/>
        <item x="176"/>
        <item x="980"/>
        <item x="588"/>
        <item x="1312"/>
        <item x="1246"/>
        <item x="781"/>
        <item x="1221"/>
        <item x="1347"/>
        <item x="27"/>
        <item x="1162"/>
        <item x="984"/>
        <item x="1440"/>
        <item x="702"/>
        <item x="1099"/>
        <item x="923"/>
        <item x="386"/>
        <item x="1304"/>
        <item x="1225"/>
        <item x="841"/>
        <item x="322"/>
        <item x="788"/>
        <item x="1294"/>
        <item x="343"/>
        <item x="1427"/>
        <item x="507"/>
        <item x="579"/>
        <item x="1316"/>
        <item x="328"/>
        <item x="915"/>
        <item x="147"/>
        <item x="1125"/>
        <item x="601"/>
        <item x="844"/>
        <item x="532"/>
        <item x="311"/>
        <item x="265"/>
        <item x="185"/>
        <item x="878"/>
        <item x="649"/>
        <item x="604"/>
        <item x="696"/>
        <item x="537"/>
        <item x="1102"/>
        <item x="348"/>
        <item x="229"/>
        <item x="1195"/>
        <item x="786"/>
        <item x="1252"/>
        <item x="730"/>
        <item x="1056"/>
        <item x="1369"/>
        <item x="373"/>
        <item x="1027"/>
        <item x="613"/>
        <item x="36"/>
        <item x="602"/>
        <item x="711"/>
        <item x="1009"/>
        <item x="450"/>
        <item x="97"/>
        <item x="259"/>
        <item x="456"/>
        <item x="699"/>
        <item x="891"/>
        <item x="449"/>
        <item x="1320"/>
        <item x="1204"/>
        <item x="380"/>
        <item x="305"/>
        <item x="94"/>
        <item x="190"/>
        <item x="957"/>
        <item x="804"/>
        <item x="716"/>
        <item x="637"/>
        <item x="1277"/>
        <item x="103"/>
        <item x="857"/>
        <item x="929"/>
        <item x="1242"/>
        <item x="1072"/>
        <item x="679"/>
        <item x="64"/>
        <item x="66"/>
        <item x="207"/>
        <item x="1008"/>
        <item x="1177"/>
        <item x="69"/>
        <item x="1163"/>
        <item x="1330"/>
        <item x="698"/>
        <item x="1174"/>
        <item x="842"/>
        <item x="77"/>
        <item x="968"/>
        <item x="832"/>
        <item x="875"/>
        <item x="1013"/>
        <item x="565"/>
        <item x="635"/>
        <item x="256"/>
        <item x="109"/>
        <item x="503"/>
        <item x="1428"/>
        <item x="642"/>
        <item x="268"/>
        <item x="1278"/>
        <item x="426"/>
        <item x="390"/>
        <item x="653"/>
        <item x="1406"/>
        <item x="1184"/>
        <item x="805"/>
        <item x="493"/>
        <item x="833"/>
        <item x="437"/>
        <item x="1355"/>
        <item x="669"/>
        <item x="1356"/>
        <item x="1024"/>
        <item x="145"/>
        <item x="1179"/>
        <item x="1021"/>
        <item x="19"/>
        <item x="560"/>
        <item x="211"/>
        <item x="744"/>
        <item x="983"/>
        <item x="452"/>
        <item x="444"/>
        <item x="889"/>
        <item x="1089"/>
        <item x="314"/>
        <item x="623"/>
        <item x="133"/>
        <item x="297"/>
        <item x="376"/>
        <item x="871"/>
        <item x="333"/>
        <item x="162"/>
        <item x="7"/>
        <item x="232"/>
        <item x="1387"/>
        <item x="770"/>
        <item x="890"/>
        <item x="155"/>
        <item x="1258"/>
        <item x="525"/>
        <item x="586"/>
        <item x="1226"/>
        <item x="1482"/>
        <item x="739"/>
        <item x="273"/>
        <item x="1097"/>
        <item x="468"/>
        <item x="547"/>
        <item x="745"/>
        <item x="1419"/>
        <item x="1217"/>
        <item x="462"/>
        <item x="958"/>
        <item x="197"/>
        <item x="1176"/>
        <item x="705"/>
        <item x="972"/>
        <item x="1151"/>
        <item x="1480"/>
        <item x="253"/>
        <item x="1254"/>
        <item x="519"/>
        <item x="808"/>
        <item x="822"/>
        <item x="1471"/>
        <item x="1272"/>
        <item x="852"/>
        <item x="123"/>
        <item x="656"/>
        <item x="544"/>
        <item x="561"/>
        <item x="1237"/>
        <item x="600"/>
        <item x="674"/>
        <item x="1250"/>
        <item x="572"/>
        <item x="1318"/>
        <item x="580"/>
        <item x="1043"/>
        <item x="1461"/>
        <item x="1206"/>
        <item x="1207"/>
        <item x="615"/>
        <item x="1039"/>
        <item x="327"/>
        <item x="933"/>
        <item x="1408"/>
        <item x="467"/>
        <item x="797"/>
        <item x="239"/>
        <item x="121"/>
        <item x="31"/>
        <item x="53"/>
        <item x="548"/>
        <item x="775"/>
        <item x="789"/>
        <item x="735"/>
        <item x="100"/>
        <item x="1385"/>
        <item x="1405"/>
        <item x="263"/>
        <item x="83"/>
        <item x="1326"/>
        <item x="1005"/>
        <item x="492"/>
        <item x="873"/>
        <item x="1314"/>
        <item x="712"/>
        <item x="686"/>
        <item x="1052"/>
        <item x="506"/>
        <item x="828"/>
        <item x="206"/>
        <item x="48"/>
        <item x="803"/>
        <item x="721"/>
        <item x="813"/>
        <item x="385"/>
        <item x="387"/>
        <item x="54"/>
        <item x="599"/>
        <item x="1211"/>
        <item x="575"/>
        <item x="1216"/>
        <item x="700"/>
        <item x="283"/>
        <item x="282"/>
        <item x="1311"/>
        <item x="440"/>
        <item x="1121"/>
        <item x="849"/>
        <item x="497"/>
        <item x="932"/>
        <item x="928"/>
        <item x="882"/>
        <item x="313"/>
        <item x="1183"/>
        <item x="1457"/>
        <item x="1451"/>
        <item x="81"/>
        <item x="1219"/>
        <item x="300"/>
        <item x="576"/>
        <item x="457"/>
        <item x="312"/>
        <item x="236"/>
        <item x="663"/>
        <item x="1363"/>
        <item x="1424"/>
        <item x="1454"/>
        <item x="641"/>
        <item x="664"/>
        <item x="749"/>
        <item x="424"/>
        <item x="1396"/>
        <item x="870"/>
        <item x="1175"/>
        <item x="757"/>
        <item x="1022"/>
        <item x="584"/>
        <item x="912"/>
        <item x="818"/>
        <item x="845"/>
        <item x="409"/>
        <item x="172"/>
        <item x="631"/>
        <item x="514"/>
        <item x="1190"/>
        <item x="168"/>
        <item x="294"/>
        <item x="758"/>
        <item x="106"/>
        <item x="463"/>
        <item x="116"/>
        <item x="324"/>
        <item x="212"/>
        <item x="634"/>
        <item x="1116"/>
        <item x="477"/>
        <item x="217"/>
        <item x="13"/>
        <item x="1077"/>
        <item x="752"/>
        <item x="274"/>
        <item x="194"/>
        <item x="1353"/>
        <item x="33"/>
        <item x="182"/>
        <item x="1429"/>
        <item x="43"/>
        <item x="487"/>
        <item x="329"/>
        <item x="400"/>
        <item x="278"/>
        <item x="1251"/>
        <item x="1165"/>
        <item x="1109"/>
        <item x="389"/>
        <item x="974"/>
        <item x="814"/>
        <item x="638"/>
        <item x="266"/>
        <item x="723"/>
        <item x="472"/>
        <item x="824"/>
        <item x="676"/>
        <item x="1235"/>
        <item x="905"/>
        <item x="648"/>
        <item x="159"/>
        <item x="1098"/>
        <item x="1307"/>
        <item x="606"/>
        <item x="546"/>
        <item x="30"/>
        <item x="1339"/>
        <item x="1455"/>
        <item x="1407"/>
        <item x="1340"/>
        <item x="309"/>
        <item x="571"/>
        <item x="325"/>
        <item x="1470"/>
        <item x="701"/>
        <item x="332"/>
        <item x="1443"/>
        <item x="567"/>
        <item x="897"/>
        <item x="1422"/>
        <item x="1074"/>
        <item x="1445"/>
        <item x="51"/>
        <item x="512"/>
        <item x="1426"/>
        <item x="795"/>
        <item x="443"/>
        <item x="58"/>
        <item x="1344"/>
        <item x="622"/>
        <item x="347"/>
        <item x="1288"/>
        <item x="1462"/>
        <item x="490"/>
        <item x="944"/>
        <item x="1459"/>
        <item x="777"/>
        <item x="1373"/>
        <item x="214"/>
        <item x="1169"/>
        <item x="955"/>
        <item x="1236"/>
        <item x="26"/>
        <item x="1044"/>
        <item x="717"/>
        <item x="288"/>
        <item x="869"/>
        <item x="281"/>
        <item x="372"/>
        <item x="464"/>
        <item x="569"/>
        <item x="817"/>
        <item x="1414"/>
        <item x="412"/>
        <item x="183"/>
        <item x="1322"/>
        <item x="1105"/>
        <item x="173"/>
        <item x="1112"/>
        <item x="180"/>
        <item x="1346"/>
        <item x="96"/>
        <item x="1036"/>
        <item x="508"/>
        <item x="242"/>
        <item x="1374"/>
        <item x="807"/>
        <item x="840"/>
        <item x="1475"/>
        <item x="388"/>
        <item x="1115"/>
        <item x="589"/>
        <item x="1015"/>
        <item x="1100"/>
        <item x="1476"/>
        <item x="995"/>
        <item x="1060"/>
        <item x="951"/>
        <item x="851"/>
        <item x="223"/>
        <item x="1166"/>
        <item x="1446"/>
        <item x="1170"/>
        <item x="448"/>
        <item x="413"/>
        <item x="1228"/>
        <item x="344"/>
        <item x="926"/>
        <item x="1147"/>
        <item x="765"/>
        <item x="1393"/>
        <item x="688"/>
        <item x="307"/>
        <item x="435"/>
        <item x="661"/>
        <item x="16"/>
        <item x="248"/>
        <item x="392"/>
        <item x="722"/>
        <item x="516"/>
        <item x="395"/>
        <item x="1306"/>
        <item x="1178"/>
        <item x="195"/>
        <item x="524"/>
        <item x="764"/>
        <item x="1349"/>
        <item x="1003"/>
        <item x="52"/>
        <item x="352"/>
        <item x="574"/>
        <item x="383"/>
        <item x="368"/>
        <item x="104"/>
        <item x="1293"/>
        <item x="1113"/>
        <item x="279"/>
        <item x="780"/>
        <item x="690"/>
        <item x="139"/>
        <item x="1088"/>
        <item x="1287"/>
        <item x="491"/>
        <item x="1257"/>
        <item x="225"/>
        <item x="1087"/>
        <item x="1333"/>
        <item x="306"/>
        <item x="337"/>
        <item x="990"/>
        <item x="277"/>
        <item x="1011"/>
        <item x="938"/>
        <item x="56"/>
        <item x="1117"/>
        <item x="453"/>
        <item x="366"/>
        <item x="131"/>
        <item x="362"/>
        <item x="1360"/>
        <item x="1376"/>
        <item x="208"/>
        <item x="922"/>
        <item x="917"/>
        <item x="1048"/>
        <item x="1038"/>
        <item x="446"/>
        <item x="130"/>
        <item x="1192"/>
        <item x="959"/>
        <item x="962"/>
        <item x="1351"/>
        <item x="578"/>
        <item x="1279"/>
        <item x="1139"/>
        <item x="1354"/>
        <item x="900"/>
        <item x="1359"/>
        <item x="673"/>
        <item x="1409"/>
        <item x="728"/>
        <item x="963"/>
        <item x="494"/>
        <item x="1285"/>
        <item x="296"/>
        <item x="866"/>
        <item x="504"/>
        <item x="39"/>
        <item x="865"/>
        <item x="271"/>
        <item x="706"/>
        <item x="200"/>
        <item x="1222"/>
        <item x="733"/>
        <item x="1127"/>
        <item x="965"/>
        <item x="465"/>
        <item x="47"/>
        <item x="201"/>
        <item x="151"/>
        <item x="966"/>
        <item x="907"/>
        <item x="1412"/>
        <item x="1308"/>
        <item x="65"/>
        <item x="165"/>
        <item x="748"/>
        <item x="1372"/>
        <item x="557"/>
        <item x="1450"/>
        <item x="850"/>
        <item x="316"/>
        <item x="1289"/>
        <item x="594"/>
        <item x="323"/>
        <item x="280"/>
        <item x="734"/>
        <item x="1383"/>
        <item x="632"/>
        <item x="646"/>
        <item x="1447"/>
        <item x="756"/>
        <item x="398"/>
        <item x="1079"/>
        <item x="136"/>
        <item x="934"/>
        <item x="70"/>
        <item x="1281"/>
        <item x="1128"/>
        <item x="762"/>
        <item x="420"/>
        <item x="160"/>
        <item x="163"/>
        <item x="1415"/>
        <item x="1158"/>
        <item x="240"/>
        <item x="408"/>
        <item x="1090"/>
        <item x="75"/>
        <item x="1058"/>
        <item x="685"/>
        <item x="78"/>
        <item x="319"/>
        <item x="660"/>
        <item x="715"/>
        <item x="978"/>
        <item x="484"/>
        <item x="469"/>
        <item x="675"/>
        <item x="742"/>
        <item x="595"/>
        <item x="6"/>
        <item x="414"/>
        <item x="1082"/>
        <item x="1000"/>
        <item x="202"/>
        <item x="899"/>
        <item x="523"/>
        <item x="1449"/>
        <item x="902"/>
        <item x="1033"/>
        <item x="725"/>
        <item x="436"/>
        <item x="975"/>
        <item x="303"/>
        <item x="179"/>
        <item x="1129"/>
        <item x="1265"/>
        <item x="367"/>
        <item x="1161"/>
        <item x="982"/>
        <item x="772"/>
        <item x="791"/>
        <item x="1145"/>
        <item x="552"/>
        <item x="542"/>
        <item x="612"/>
        <item x="416"/>
        <item x="1327"/>
        <item x="1017"/>
        <item x="563"/>
        <item x="158"/>
        <item x="778"/>
        <item x="1384"/>
        <item x="1341"/>
        <item x="1197"/>
        <item x="1430"/>
        <item x="1238"/>
        <item x="454"/>
        <item x="881"/>
        <item x="903"/>
        <item x="1266"/>
        <item x="92"/>
        <item x="1400"/>
        <item x="1046"/>
        <item x="128"/>
        <item x="1103"/>
        <item x="184"/>
        <item x="1286"/>
        <item x="754"/>
        <item x="911"/>
        <item x="942"/>
        <item x="616"/>
        <item x="275"/>
        <item x="835"/>
        <item x="964"/>
        <item x="520"/>
        <item x="292"/>
        <item x="119"/>
        <item x="149"/>
        <item x="44"/>
        <item x="1332"/>
        <item x="310"/>
        <item x="407"/>
        <item x="0"/>
        <item x="528"/>
        <item x="1"/>
        <item x="1240"/>
        <item x="84"/>
        <item x="1106"/>
        <item x="753"/>
        <item x="827"/>
        <item x="360"/>
        <item x="479"/>
        <item x="439"/>
        <item x="355"/>
        <item x="751"/>
        <item x="1049"/>
        <item x="122"/>
        <item x="1193"/>
        <item x="286"/>
        <item x="258"/>
        <item x="1026"/>
        <item x="1264"/>
        <item x="1436"/>
        <item x="947"/>
        <item x="181"/>
        <item x="4"/>
        <item x="1199"/>
        <item x="1478"/>
        <item x="425"/>
        <item x="1010"/>
        <item x="719"/>
        <item x="235"/>
        <item x="826"/>
        <item x="423"/>
        <item x="213"/>
        <item x="299"/>
        <item x="1464"/>
        <item x="971"/>
        <item x="1137"/>
        <item x="1159"/>
        <item x="946"/>
        <item x="445"/>
        <item x="747"/>
        <item x="1034"/>
        <item x="918"/>
        <item x="1379"/>
        <item x="1167"/>
        <item x="991"/>
        <item x="876"/>
        <item x="1321"/>
        <item x="920"/>
        <item x="315"/>
        <item t="default"/>
      </items>
    </pivotField>
    <pivotField showAll="0"/>
    <pivotField showAll="0">
      <items count="6">
        <item x="1"/>
        <item x="2"/>
        <item x="0"/>
        <item x="4"/>
        <item x="3"/>
        <item t="default"/>
      </items>
    </pivotField>
    <pivotField showAll="0">
      <items count="3">
        <item x="1"/>
        <item x="0"/>
        <item t="default"/>
      </items>
    </pivotField>
  </pivotFields>
  <rowFields count="1">
    <field x="4"/>
  </rowFields>
  <rowItems count="5">
    <i>
      <x/>
    </i>
    <i>
      <x v="1"/>
    </i>
    <i>
      <x v="2"/>
    </i>
    <i>
      <x v="3"/>
    </i>
    <i t="grand">
      <x/>
    </i>
  </rowItems>
  <colItems count="1">
    <i/>
  </colItems>
  <dataFields count="1">
    <dataField name="Count of Task_Status" fld="4" subtotal="count" showDataAs="percentOfTotal" baseField="4" baseItem="0" numFmtId="10"/>
  </dataFields>
  <chartFormats count="11">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 chart="8" format="7">
      <pivotArea type="data" outline="0" fieldPosition="0">
        <references count="2">
          <reference field="4294967294" count="1" selected="0">
            <x v="0"/>
          </reference>
          <reference field="4" count="1" selected="0">
            <x v="2"/>
          </reference>
        </references>
      </pivotArea>
    </chartFormat>
    <chartFormat chart="8" format="8">
      <pivotArea type="data" outline="0" fieldPosition="0">
        <references count="2">
          <reference field="4294967294" count="1" selected="0">
            <x v="0"/>
          </reference>
          <reference field="4" count="1" selected="0">
            <x v="3"/>
          </reference>
        </references>
      </pivotArea>
    </chartFormat>
    <chartFormat chart="8"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B47D6B-6446-47DE-971A-2210872D5A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items count="8">
        <item x="0"/>
        <item x="1"/>
        <item x="5"/>
        <item x="2"/>
        <item x="4"/>
        <item x="6"/>
        <item x="3"/>
        <item t="default"/>
      </items>
    </pivotField>
    <pivotField showAll="0"/>
    <pivotField axis="axisRow" dataField="1"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showAll="0">
      <items count="6">
        <item x="1"/>
        <item x="2"/>
        <item x="0"/>
        <item x="4"/>
        <item x="3"/>
        <item t="default"/>
      </items>
    </pivotField>
    <pivotField showAll="0">
      <items count="3">
        <item x="1"/>
        <item x="0"/>
        <item t="default"/>
      </items>
    </pivotField>
  </pivotFields>
  <rowFields count="1">
    <field x="4"/>
  </rowFields>
  <rowItems count="5">
    <i>
      <x/>
    </i>
    <i>
      <x v="1"/>
    </i>
    <i>
      <x v="2"/>
    </i>
    <i>
      <x v="3"/>
    </i>
    <i t="grand">
      <x/>
    </i>
  </rowItems>
  <colItems count="1">
    <i/>
  </colItems>
  <dataFields count="1">
    <dataField name="Count of Task_Status" fld="4" subtotal="count" baseField="0" baseItem="0"/>
  </dataFields>
  <chartFormats count="11">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 chart="5" format="7">
      <pivotArea type="data" outline="0" fieldPosition="0">
        <references count="2">
          <reference field="4294967294" count="1" selected="0">
            <x v="0"/>
          </reference>
          <reference field="4" count="1" selected="0">
            <x v="2"/>
          </reference>
        </references>
      </pivotArea>
    </chartFormat>
    <chartFormat chart="5" format="8">
      <pivotArea type="data" outline="0" fieldPosition="0">
        <references count="2">
          <reference field="4294967294" count="1" selected="0">
            <x v="0"/>
          </reference>
          <reference field="4" count="1" selected="0">
            <x v="3"/>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 chart="3" format="8">
      <pivotArea type="data" outline="0" fieldPosition="0">
        <references count="2">
          <reference field="4294967294" count="1" selected="0">
            <x v="0"/>
          </reference>
          <reference field="4" count="1" selected="0">
            <x v="3"/>
          </reference>
        </references>
      </pivotArea>
    </chartFormat>
    <chartFormat chart="3"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117FD4-FFF3-49EB-8217-B9B9F5202F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12">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items count="8">
        <item x="0"/>
        <item x="1"/>
        <item x="5"/>
        <item x="2"/>
        <item x="4"/>
        <item x="6"/>
        <item x="3"/>
        <item t="default"/>
      </items>
    </pivotField>
    <pivotField showAll="0"/>
    <pivotField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axis="axisRow" showAll="0" sortType="descending">
      <items count="1484">
        <item x="593"/>
        <item x="954"/>
        <item x="1157"/>
        <item x="354"/>
        <item x="1248"/>
        <item x="132"/>
        <item x="1189"/>
        <item x="1016"/>
        <item x="1244"/>
        <item x="811"/>
        <item x="534"/>
        <item x="233"/>
        <item x="763"/>
        <item x="771"/>
        <item x="1325"/>
        <item x="304"/>
        <item x="1310"/>
        <item x="1230"/>
        <item x="301"/>
        <item x="391"/>
        <item x="105"/>
        <item x="996"/>
        <item x="231"/>
        <item x="418"/>
        <item x="731"/>
        <item x="1456"/>
        <item x="1420"/>
        <item x="495"/>
        <item x="895"/>
        <item x="683"/>
        <item x="1328"/>
        <item x="1070"/>
        <item x="1444"/>
        <item x="1319"/>
        <item x="868"/>
        <item x="1432"/>
        <item x="251"/>
        <item x="118"/>
        <item x="68"/>
        <item x="86"/>
        <item x="856"/>
        <item x="568"/>
        <item x="894"/>
        <item x="91"/>
        <item x="677"/>
        <item x="689"/>
        <item x="931"/>
        <item x="210"/>
        <item x="862"/>
        <item x="930"/>
        <item x="351"/>
        <item x="257"/>
        <item x="1472"/>
        <item x="709"/>
        <item x="708"/>
        <item x="220"/>
        <item x="157"/>
        <item x="241"/>
        <item x="1101"/>
        <item x="782"/>
        <item x="726"/>
        <item x="124"/>
        <item x="340"/>
        <item x="1084"/>
        <item x="204"/>
        <item x="909"/>
        <item x="998"/>
        <item x="1276"/>
        <item x="1172"/>
        <item x="113"/>
        <item x="979"/>
        <item x="1205"/>
        <item x="1078"/>
        <item x="438"/>
        <item x="1032"/>
        <item x="806"/>
        <item x="1375"/>
        <item x="361"/>
        <item x="585"/>
        <item x="960"/>
        <item x="1006"/>
        <item x="799"/>
        <item x="1108"/>
        <item x="1453"/>
        <item x="1111"/>
        <item x="90"/>
        <item x="629"/>
        <item x="421"/>
        <item x="566"/>
        <item x="692"/>
        <item x="687"/>
        <item x="1059"/>
        <item x="707"/>
        <item x="1275"/>
        <item x="1094"/>
        <item x="1245"/>
        <item x="527"/>
        <item x="1095"/>
        <item x="620"/>
        <item x="1301"/>
        <item x="639"/>
        <item x="1434"/>
        <item x="740"/>
        <item x="349"/>
        <item x="29"/>
        <item x="1171"/>
        <item x="1210"/>
        <item x="247"/>
        <item x="250"/>
        <item x="404"/>
        <item x="500"/>
        <item x="238"/>
        <item x="839"/>
        <item x="625"/>
        <item x="87"/>
        <item x="126"/>
        <item x="485"/>
        <item x="459"/>
        <item x="1025"/>
        <item x="1064"/>
        <item x="1142"/>
        <item x="1057"/>
        <item x="287"/>
        <item x="1452"/>
        <item x="684"/>
        <item x="908"/>
        <item x="1114"/>
        <item x="614"/>
        <item x="46"/>
        <item x="262"/>
        <item x="1448"/>
        <item x="727"/>
        <item x="1477"/>
        <item x="1342"/>
        <item x="607"/>
        <item x="720"/>
        <item x="855"/>
        <item x="1107"/>
        <item x="680"/>
        <item x="997"/>
        <item x="658"/>
        <item x="592"/>
        <item x="794"/>
        <item x="886"/>
        <item x="35"/>
        <item x="682"/>
        <item x="345"/>
        <item x="1442"/>
        <item x="406"/>
        <item x="738"/>
        <item x="295"/>
        <item x="729"/>
        <item x="381"/>
        <item x="1007"/>
        <item x="1135"/>
        <item x="1295"/>
        <item x="843"/>
        <item x="755"/>
        <item x="665"/>
        <item x="1214"/>
        <item x="829"/>
        <item x="522"/>
        <item x="93"/>
        <item x="555"/>
        <item x="110"/>
        <item x="1317"/>
        <item x="1187"/>
        <item x="1173"/>
        <item x="191"/>
        <item x="672"/>
        <item x="626"/>
        <item x="887"/>
        <item x="3"/>
        <item x="401"/>
        <item x="1367"/>
        <item x="1418"/>
        <item x="224"/>
        <item x="624"/>
        <item x="1076"/>
        <item x="509"/>
        <item x="1358"/>
        <item x="539"/>
        <item x="554"/>
        <item x="289"/>
        <item x="488"/>
        <item x="143"/>
        <item x="1149"/>
        <item x="397"/>
        <item x="140"/>
        <item x="1054"/>
        <item x="1416"/>
        <item x="697"/>
        <item x="1243"/>
        <item x="643"/>
        <item x="396"/>
        <item x="657"/>
        <item x="1186"/>
        <item x="331"/>
        <item x="1134"/>
        <item x="892"/>
        <item x="945"/>
        <item x="1397"/>
        <item x="114"/>
        <item x="939"/>
        <item x="346"/>
        <item x="1283"/>
        <item x="1053"/>
        <item x="831"/>
        <item x="1201"/>
        <item x="115"/>
        <item x="357"/>
        <item x="1241"/>
        <item x="1274"/>
        <item x="521"/>
        <item x="1337"/>
        <item x="644"/>
        <item x="846"/>
        <item x="458"/>
        <item x="21"/>
        <item x="710"/>
        <item x="474"/>
        <item x="422"/>
        <item x="1050"/>
        <item x="779"/>
        <item x="1042"/>
        <item x="260"/>
        <item x="1092"/>
        <item x="518"/>
        <item x="237"/>
        <item x="111"/>
        <item x="655"/>
        <item x="382"/>
        <item x="99"/>
        <item x="1202"/>
        <item x="1220"/>
        <item x="137"/>
        <item x="1366"/>
        <item x="1413"/>
        <item x="61"/>
        <item x="1391"/>
        <item x="596"/>
        <item x="1441"/>
        <item x="853"/>
        <item x="353"/>
        <item x="1399"/>
        <item x="1045"/>
        <item x="549"/>
        <item x="482"/>
        <item x="526"/>
        <item x="760"/>
        <item x="302"/>
        <item x="393"/>
        <item x="1136"/>
        <item x="403"/>
        <item x="977"/>
        <item x="1001"/>
        <item x="1223"/>
        <item x="405"/>
        <item x="823"/>
        <item x="402"/>
        <item x="394"/>
        <item x="1063"/>
        <item x="529"/>
        <item x="359"/>
        <item x="150"/>
        <item x="1435"/>
        <item x="1256"/>
        <item x="768"/>
        <item x="1122"/>
        <item x="724"/>
        <item x="732"/>
        <item x="1143"/>
        <item x="38"/>
        <item x="483"/>
        <item x="1182"/>
        <item x="1394"/>
        <item x="662"/>
        <item x="221"/>
        <item x="473"/>
        <item x="350"/>
        <item x="142"/>
        <item x="1398"/>
        <item x="1361"/>
        <item x="1305"/>
        <item x="1348"/>
        <item x="1062"/>
        <item x="199"/>
        <item x="196"/>
        <item x="125"/>
        <item x="885"/>
        <item x="1466"/>
        <item x="668"/>
        <item x="411"/>
        <item x="864"/>
        <item x="1474"/>
        <item x="883"/>
        <item x="152"/>
        <item x="60"/>
        <item x="1185"/>
        <item x="800"/>
        <item x="1364"/>
        <item x="901"/>
        <item x="1362"/>
        <item x="5"/>
        <item x="338"/>
        <item x="659"/>
        <item x="45"/>
        <item x="1297"/>
        <item x="884"/>
        <item x="178"/>
        <item x="1081"/>
        <item x="1030"/>
        <item x="1271"/>
        <item x="377"/>
        <item x="564"/>
        <item x="838"/>
        <item x="1031"/>
        <item x="98"/>
        <item x="925"/>
        <item x="321"/>
        <item x="694"/>
        <item x="695"/>
        <item x="442"/>
        <item x="415"/>
        <item x="203"/>
        <item x="489"/>
        <item x="461"/>
        <item x="335"/>
        <item x="50"/>
        <item x="15"/>
        <item x="1468"/>
        <item x="645"/>
        <item x="1233"/>
        <item x="924"/>
        <item x="1091"/>
        <item x="1124"/>
        <item x="455"/>
        <item x="704"/>
        <item x="334"/>
        <item x="267"/>
        <item x="1234"/>
        <item x="466"/>
        <item x="545"/>
        <item x="992"/>
        <item x="949"/>
        <item x="1357"/>
        <item x="798"/>
        <item x="245"/>
        <item x="1146"/>
        <item x="432"/>
        <item x="1479"/>
        <item x="290"/>
        <item x="888"/>
        <item x="308"/>
        <item x="146"/>
        <item x="1417"/>
        <item x="339"/>
        <item x="1080"/>
        <item x="590"/>
        <item x="562"/>
        <item x="1213"/>
        <item x="678"/>
        <item x="950"/>
        <item x="284"/>
        <item x="605"/>
        <item x="342"/>
        <item x="11"/>
        <item x="1255"/>
        <item x="1465"/>
        <item x="802"/>
        <item x="1331"/>
        <item x="830"/>
        <item x="1132"/>
        <item x="1133"/>
        <item x="1037"/>
        <item x="956"/>
        <item x="496"/>
        <item x="617"/>
        <item x="1181"/>
        <item x="530"/>
        <item x="1188"/>
        <item x="836"/>
        <item x="603"/>
        <item x="1068"/>
        <item x="511"/>
        <item x="138"/>
        <item x="1469"/>
        <item x="1370"/>
        <item x="693"/>
        <item x="428"/>
        <item x="1086"/>
        <item x="1203"/>
        <item x="1104"/>
        <item x="598"/>
        <item x="633"/>
        <item x="743"/>
        <item x="1020"/>
        <item x="927"/>
        <item x="1131"/>
        <item x="193"/>
        <item x="1323"/>
        <item x="809"/>
        <item x="399"/>
        <item x="969"/>
        <item x="336"/>
        <item x="1380"/>
        <item x="543"/>
        <item x="198"/>
        <item x="427"/>
        <item x="486"/>
        <item x="112"/>
        <item x="127"/>
        <item x="9"/>
        <item x="785"/>
        <item x="877"/>
        <item x="341"/>
        <item x="226"/>
        <item x="619"/>
        <item x="384"/>
        <item x="718"/>
        <item x="82"/>
        <item x="746"/>
        <item x="246"/>
        <item x="773"/>
        <item x="1028"/>
        <item x="916"/>
        <item x="254"/>
        <item x="1232"/>
        <item x="1439"/>
        <item x="854"/>
        <item x="736"/>
        <item x="285"/>
        <item x="1433"/>
        <item x="215"/>
        <item x="1014"/>
        <item x="135"/>
        <item x="898"/>
        <item x="985"/>
        <item x="880"/>
        <item x="177"/>
        <item x="819"/>
        <item x="1386"/>
        <item x="1002"/>
        <item x="175"/>
        <item x="1463"/>
        <item x="89"/>
        <item x="1083"/>
        <item x="587"/>
        <item x="1329"/>
        <item x="74"/>
        <item x="988"/>
        <item x="499"/>
        <item x="417"/>
        <item x="1270"/>
        <item x="1155"/>
        <item x="1150"/>
        <item x="433"/>
        <item x="1313"/>
        <item x="681"/>
        <item x="234"/>
        <item x="1164"/>
        <item x="356"/>
        <item x="129"/>
        <item x="169"/>
        <item x="703"/>
        <item x="264"/>
        <item x="863"/>
        <item x="515"/>
        <item x="502"/>
        <item x="671"/>
        <item x="741"/>
        <item x="536"/>
        <item x="577"/>
        <item x="205"/>
        <item x="108"/>
        <item x="317"/>
        <item x="298"/>
        <item x="1338"/>
        <item x="80"/>
        <item x="1302"/>
        <item x="1061"/>
        <item x="476"/>
        <item x="667"/>
        <item x="276"/>
        <item x="1231"/>
        <item x="134"/>
        <item x="371"/>
        <item x="67"/>
        <item x="291"/>
        <item x="1041"/>
        <item x="1138"/>
        <item x="627"/>
        <item x="59"/>
        <item x="776"/>
        <item x="1224"/>
        <item x="860"/>
        <item x="1051"/>
        <item x="618"/>
        <item x="783"/>
        <item x="952"/>
        <item x="1198"/>
        <item x="790"/>
        <item x="559"/>
        <item x="550"/>
        <item x="989"/>
        <item x="1437"/>
        <item x="1268"/>
        <item x="533"/>
        <item x="1148"/>
        <item x="1018"/>
        <item x="76"/>
        <item x="34"/>
        <item x="987"/>
        <item x="72"/>
        <item x="272"/>
        <item x="1260"/>
        <item x="12"/>
        <item x="1343"/>
        <item x="1239"/>
        <item x="847"/>
        <item x="651"/>
        <item x="1194"/>
        <item x="1467"/>
        <item x="961"/>
        <item x="189"/>
        <item x="906"/>
        <item x="156"/>
        <item x="921"/>
        <item x="365"/>
        <item x="505"/>
        <item x="769"/>
        <item x="102"/>
        <item x="1215"/>
        <item x="192"/>
        <item x="148"/>
        <item x="270"/>
        <item x="913"/>
        <item x="609"/>
        <item x="1395"/>
        <item x="498"/>
        <item x="293"/>
        <item x="1093"/>
        <item x="766"/>
        <item x="1023"/>
        <item x="375"/>
        <item x="993"/>
        <item x="976"/>
        <item x="858"/>
        <item x="872"/>
        <item x="1160"/>
        <item x="269"/>
        <item x="1390"/>
        <item x="815"/>
        <item x="431"/>
        <item x="1130"/>
        <item x="581"/>
        <item x="1280"/>
        <item x="1336"/>
        <item x="597"/>
        <item x="320"/>
        <item x="1153"/>
        <item x="252"/>
        <item x="513"/>
        <item x="1284"/>
        <item x="379"/>
        <item x="879"/>
        <item x="556"/>
        <item x="861"/>
        <item x="1421"/>
        <item x="1458"/>
        <item x="970"/>
        <item x="174"/>
        <item x="834"/>
        <item x="55"/>
        <item x="1047"/>
        <item x="471"/>
        <item x="1296"/>
        <item x="318"/>
        <item x="591"/>
        <item x="1065"/>
        <item x="910"/>
        <item x="120"/>
        <item x="249"/>
        <item x="1299"/>
        <item x="501"/>
        <item x="792"/>
        <item x="1438"/>
        <item x="940"/>
        <item x="647"/>
        <item x="25"/>
        <item x="1073"/>
        <item x="837"/>
        <item x="583"/>
        <item x="1352"/>
        <item x="1261"/>
        <item x="1404"/>
        <item x="1071"/>
        <item x="1229"/>
        <item x="538"/>
        <item x="71"/>
        <item x="666"/>
        <item x="1110"/>
        <item x="859"/>
        <item x="981"/>
        <item x="540"/>
        <item x="1253"/>
        <item x="787"/>
        <item x="953"/>
        <item x="1303"/>
        <item x="164"/>
        <item x="558"/>
        <item x="1004"/>
        <item x="244"/>
        <item x="161"/>
        <item x="42"/>
        <item x="369"/>
        <item x="95"/>
        <item x="893"/>
        <item x="630"/>
        <item x="1388"/>
        <item x="1126"/>
        <item x="610"/>
        <item x="761"/>
        <item x="1262"/>
        <item x="541"/>
        <item x="49"/>
        <item x="551"/>
        <item x="101"/>
        <item x="460"/>
        <item x="1273"/>
        <item x="582"/>
        <item x="20"/>
        <item x="447"/>
        <item x="8"/>
        <item x="1067"/>
        <item x="1218"/>
        <item x="166"/>
        <item x="1200"/>
        <item x="1368"/>
        <item x="219"/>
        <item x="1401"/>
        <item x="1209"/>
        <item x="171"/>
        <item x="1144"/>
        <item x="628"/>
        <item x="652"/>
        <item x="478"/>
        <item x="935"/>
        <item x="914"/>
        <item x="621"/>
        <item x="1335"/>
        <item x="510"/>
        <item x="713"/>
        <item x="73"/>
        <item x="154"/>
        <item x="1040"/>
        <item x="1180"/>
        <item x="480"/>
        <item x="1292"/>
        <item x="170"/>
        <item x="363"/>
        <item x="691"/>
        <item x="904"/>
        <item x="867"/>
        <item x="1411"/>
        <item x="1168"/>
        <item x="1118"/>
        <item x="1300"/>
        <item x="640"/>
        <item x="611"/>
        <item x="1055"/>
        <item x="1365"/>
        <item x="230"/>
        <item x="1403"/>
        <item x="430"/>
        <item x="32"/>
        <item x="1473"/>
        <item x="812"/>
        <item x="1152"/>
        <item x="1282"/>
        <item x="1069"/>
        <item x="222"/>
        <item x="1227"/>
        <item x="1324"/>
        <item x="1247"/>
        <item x="63"/>
        <item x="1371"/>
        <item x="750"/>
        <item x="57"/>
        <item x="1481"/>
        <item x="370"/>
        <item x="936"/>
        <item x="326"/>
        <item x="1345"/>
        <item x="608"/>
        <item x="896"/>
        <item x="1120"/>
        <item x="167"/>
        <item x="941"/>
        <item x="737"/>
        <item x="10"/>
        <item x="1263"/>
        <item x="79"/>
        <item x="1119"/>
        <item x="986"/>
        <item x="1249"/>
        <item x="1156"/>
        <item x="209"/>
        <item x="821"/>
        <item x="801"/>
        <item x="1212"/>
        <item x="1425"/>
        <item x="570"/>
        <item x="553"/>
        <item x="1191"/>
        <item x="654"/>
        <item x="378"/>
        <item x="517"/>
        <item x="107"/>
        <item x="1377"/>
        <item x="973"/>
        <item x="330"/>
        <item x="37"/>
        <item x="216"/>
        <item x="810"/>
        <item x="1431"/>
        <item x="1378"/>
        <item x="1085"/>
        <item x="1196"/>
        <item x="1123"/>
        <item x="1096"/>
        <item x="999"/>
        <item x="243"/>
        <item x="1389"/>
        <item x="40"/>
        <item x="188"/>
        <item x="1208"/>
        <item x="1269"/>
        <item x="429"/>
        <item x="1141"/>
        <item x="1423"/>
        <item x="451"/>
        <item x="816"/>
        <item x="759"/>
        <item x="1460"/>
        <item x="919"/>
        <item x="2"/>
        <item x="825"/>
        <item x="1309"/>
        <item x="714"/>
        <item x="28"/>
        <item x="1259"/>
        <item x="18"/>
        <item x="186"/>
        <item x="967"/>
        <item x="793"/>
        <item x="1392"/>
        <item x="784"/>
        <item x="948"/>
        <item x="1140"/>
        <item x="141"/>
        <item x="1315"/>
        <item x="23"/>
        <item x="1019"/>
        <item x="470"/>
        <item x="144"/>
        <item x="774"/>
        <item x="1012"/>
        <item x="767"/>
        <item x="228"/>
        <item x="636"/>
        <item x="117"/>
        <item x="1382"/>
        <item x="1402"/>
        <item x="24"/>
        <item x="1298"/>
        <item x="1066"/>
        <item x="943"/>
        <item x="1291"/>
        <item x="255"/>
        <item x="358"/>
        <item x="1035"/>
        <item x="1334"/>
        <item x="481"/>
        <item x="796"/>
        <item x="1350"/>
        <item x="410"/>
        <item x="475"/>
        <item x="820"/>
        <item x="1154"/>
        <item x="1410"/>
        <item x="1267"/>
        <item x="650"/>
        <item x="1290"/>
        <item x="848"/>
        <item x="937"/>
        <item x="374"/>
        <item x="1075"/>
        <item x="62"/>
        <item x="531"/>
        <item x="153"/>
        <item x="41"/>
        <item x="218"/>
        <item x="85"/>
        <item x="994"/>
        <item x="17"/>
        <item x="670"/>
        <item x="441"/>
        <item x="535"/>
        <item x="1029"/>
        <item x="364"/>
        <item x="22"/>
        <item x="874"/>
        <item x="261"/>
        <item x="187"/>
        <item x="434"/>
        <item x="227"/>
        <item x="1381"/>
        <item x="14"/>
        <item x="573"/>
        <item x="419"/>
        <item x="88"/>
        <item x="176"/>
        <item x="980"/>
        <item x="588"/>
        <item x="1312"/>
        <item x="1246"/>
        <item x="781"/>
        <item x="1221"/>
        <item x="1347"/>
        <item x="27"/>
        <item x="1162"/>
        <item x="984"/>
        <item x="1440"/>
        <item x="702"/>
        <item x="1099"/>
        <item x="923"/>
        <item x="386"/>
        <item x="1304"/>
        <item x="1225"/>
        <item x="841"/>
        <item x="322"/>
        <item x="788"/>
        <item x="1294"/>
        <item x="343"/>
        <item x="1427"/>
        <item x="507"/>
        <item x="579"/>
        <item x="1316"/>
        <item x="328"/>
        <item x="915"/>
        <item x="147"/>
        <item x="1125"/>
        <item x="601"/>
        <item x="844"/>
        <item x="532"/>
        <item x="311"/>
        <item x="265"/>
        <item x="185"/>
        <item x="878"/>
        <item x="649"/>
        <item x="604"/>
        <item x="696"/>
        <item x="537"/>
        <item x="1102"/>
        <item x="348"/>
        <item x="229"/>
        <item x="1195"/>
        <item x="786"/>
        <item x="1252"/>
        <item x="730"/>
        <item x="1056"/>
        <item x="1369"/>
        <item x="373"/>
        <item x="1027"/>
        <item x="613"/>
        <item x="36"/>
        <item x="602"/>
        <item x="711"/>
        <item x="1009"/>
        <item x="450"/>
        <item x="97"/>
        <item x="259"/>
        <item x="456"/>
        <item x="699"/>
        <item x="891"/>
        <item x="449"/>
        <item x="1320"/>
        <item x="1204"/>
        <item x="380"/>
        <item x="305"/>
        <item x="94"/>
        <item x="190"/>
        <item x="957"/>
        <item x="804"/>
        <item x="716"/>
        <item x="637"/>
        <item x="1277"/>
        <item x="103"/>
        <item x="857"/>
        <item x="929"/>
        <item x="1242"/>
        <item x="1072"/>
        <item x="679"/>
        <item x="64"/>
        <item x="66"/>
        <item x="207"/>
        <item x="1008"/>
        <item x="1177"/>
        <item x="69"/>
        <item x="1163"/>
        <item x="1330"/>
        <item x="698"/>
        <item x="1174"/>
        <item x="842"/>
        <item x="77"/>
        <item x="968"/>
        <item x="832"/>
        <item x="875"/>
        <item x="1013"/>
        <item x="565"/>
        <item x="635"/>
        <item x="256"/>
        <item x="109"/>
        <item x="503"/>
        <item x="1428"/>
        <item x="642"/>
        <item x="268"/>
        <item x="1278"/>
        <item x="426"/>
        <item x="390"/>
        <item x="653"/>
        <item x="1406"/>
        <item x="1184"/>
        <item x="805"/>
        <item x="493"/>
        <item x="833"/>
        <item x="437"/>
        <item x="1355"/>
        <item x="669"/>
        <item x="1356"/>
        <item x="1024"/>
        <item x="145"/>
        <item x="1179"/>
        <item x="1021"/>
        <item x="19"/>
        <item x="560"/>
        <item x="211"/>
        <item x="744"/>
        <item x="983"/>
        <item x="452"/>
        <item x="444"/>
        <item x="889"/>
        <item x="1089"/>
        <item x="314"/>
        <item x="623"/>
        <item x="133"/>
        <item x="297"/>
        <item x="376"/>
        <item x="871"/>
        <item x="333"/>
        <item x="162"/>
        <item x="7"/>
        <item x="232"/>
        <item x="1387"/>
        <item x="770"/>
        <item x="890"/>
        <item x="155"/>
        <item x="1258"/>
        <item x="525"/>
        <item x="586"/>
        <item x="1226"/>
        <item x="1482"/>
        <item x="739"/>
        <item x="273"/>
        <item x="1097"/>
        <item x="468"/>
        <item x="547"/>
        <item x="745"/>
        <item x="1419"/>
        <item x="1217"/>
        <item x="462"/>
        <item x="958"/>
        <item x="197"/>
        <item x="1176"/>
        <item x="705"/>
        <item x="972"/>
        <item x="1151"/>
        <item x="1480"/>
        <item x="253"/>
        <item x="1254"/>
        <item x="519"/>
        <item x="808"/>
        <item x="822"/>
        <item x="1471"/>
        <item x="1272"/>
        <item x="852"/>
        <item x="123"/>
        <item x="656"/>
        <item x="544"/>
        <item x="561"/>
        <item x="1237"/>
        <item x="600"/>
        <item x="674"/>
        <item x="1250"/>
        <item x="572"/>
        <item x="1318"/>
        <item x="580"/>
        <item x="1043"/>
        <item x="1461"/>
        <item x="1206"/>
        <item x="1207"/>
        <item x="615"/>
        <item x="1039"/>
        <item x="327"/>
        <item x="933"/>
        <item x="1408"/>
        <item x="467"/>
        <item x="797"/>
        <item x="239"/>
        <item x="121"/>
        <item x="31"/>
        <item x="53"/>
        <item x="548"/>
        <item x="775"/>
        <item x="789"/>
        <item x="735"/>
        <item x="100"/>
        <item x="1385"/>
        <item x="1405"/>
        <item x="263"/>
        <item x="83"/>
        <item x="1326"/>
        <item x="1005"/>
        <item x="492"/>
        <item x="873"/>
        <item x="1314"/>
        <item x="712"/>
        <item x="686"/>
        <item x="1052"/>
        <item x="506"/>
        <item x="828"/>
        <item x="206"/>
        <item x="48"/>
        <item x="803"/>
        <item x="721"/>
        <item x="813"/>
        <item x="385"/>
        <item x="387"/>
        <item x="54"/>
        <item x="599"/>
        <item x="1211"/>
        <item x="575"/>
        <item x="1216"/>
        <item x="700"/>
        <item x="283"/>
        <item x="282"/>
        <item x="1311"/>
        <item x="440"/>
        <item x="1121"/>
        <item x="849"/>
        <item x="497"/>
        <item x="932"/>
        <item x="928"/>
        <item x="882"/>
        <item x="313"/>
        <item x="1183"/>
        <item x="1457"/>
        <item x="1451"/>
        <item x="81"/>
        <item x="1219"/>
        <item x="300"/>
        <item x="576"/>
        <item x="457"/>
        <item x="312"/>
        <item x="236"/>
        <item x="663"/>
        <item x="1363"/>
        <item x="1424"/>
        <item x="1454"/>
        <item x="641"/>
        <item x="664"/>
        <item x="749"/>
        <item x="424"/>
        <item x="1396"/>
        <item x="870"/>
        <item x="1175"/>
        <item x="757"/>
        <item x="1022"/>
        <item x="584"/>
        <item x="912"/>
        <item x="818"/>
        <item x="845"/>
        <item x="409"/>
        <item x="172"/>
        <item x="631"/>
        <item x="514"/>
        <item x="1190"/>
        <item x="168"/>
        <item x="294"/>
        <item x="758"/>
        <item x="106"/>
        <item x="463"/>
        <item x="116"/>
        <item x="324"/>
        <item x="212"/>
        <item x="634"/>
        <item x="1116"/>
        <item x="477"/>
        <item x="217"/>
        <item x="13"/>
        <item x="1077"/>
        <item x="752"/>
        <item x="274"/>
        <item x="194"/>
        <item x="1353"/>
        <item x="33"/>
        <item x="182"/>
        <item x="1429"/>
        <item x="43"/>
        <item x="487"/>
        <item x="329"/>
        <item x="400"/>
        <item x="278"/>
        <item x="1251"/>
        <item x="1165"/>
        <item x="1109"/>
        <item x="389"/>
        <item x="974"/>
        <item x="814"/>
        <item x="638"/>
        <item x="266"/>
        <item x="723"/>
        <item x="472"/>
        <item x="824"/>
        <item x="676"/>
        <item x="1235"/>
        <item x="905"/>
        <item x="648"/>
        <item x="159"/>
        <item x="1098"/>
        <item x="1307"/>
        <item x="606"/>
        <item x="546"/>
        <item x="30"/>
        <item x="1339"/>
        <item x="1455"/>
        <item x="1407"/>
        <item x="1340"/>
        <item x="309"/>
        <item x="571"/>
        <item x="325"/>
        <item x="1470"/>
        <item x="701"/>
        <item x="332"/>
        <item x="1443"/>
        <item x="567"/>
        <item x="897"/>
        <item x="1422"/>
        <item x="1074"/>
        <item x="1445"/>
        <item x="51"/>
        <item x="512"/>
        <item x="1426"/>
        <item x="795"/>
        <item x="443"/>
        <item x="58"/>
        <item x="1344"/>
        <item x="622"/>
        <item x="347"/>
        <item x="1288"/>
        <item x="1462"/>
        <item x="490"/>
        <item x="944"/>
        <item x="1459"/>
        <item x="777"/>
        <item x="1373"/>
        <item x="214"/>
        <item x="1169"/>
        <item x="955"/>
        <item x="1236"/>
        <item x="26"/>
        <item x="1044"/>
        <item x="717"/>
        <item x="288"/>
        <item x="869"/>
        <item x="281"/>
        <item x="372"/>
        <item x="464"/>
        <item x="569"/>
        <item x="817"/>
        <item x="1414"/>
        <item x="412"/>
        <item x="183"/>
        <item x="1322"/>
        <item x="1105"/>
        <item x="173"/>
        <item x="1112"/>
        <item x="180"/>
        <item x="1346"/>
        <item x="96"/>
        <item x="1036"/>
        <item x="508"/>
        <item x="242"/>
        <item x="1374"/>
        <item x="807"/>
        <item x="840"/>
        <item x="1475"/>
        <item x="388"/>
        <item x="1115"/>
        <item x="589"/>
        <item x="1015"/>
        <item x="1100"/>
        <item x="1476"/>
        <item x="995"/>
        <item x="1060"/>
        <item x="951"/>
        <item x="851"/>
        <item x="223"/>
        <item x="1166"/>
        <item x="1446"/>
        <item x="1170"/>
        <item x="448"/>
        <item x="413"/>
        <item x="1228"/>
        <item x="344"/>
        <item x="926"/>
        <item x="1147"/>
        <item x="765"/>
        <item x="1393"/>
        <item x="688"/>
        <item x="307"/>
        <item x="435"/>
        <item x="661"/>
        <item x="16"/>
        <item x="248"/>
        <item x="392"/>
        <item x="722"/>
        <item x="516"/>
        <item x="395"/>
        <item x="1306"/>
        <item x="1178"/>
        <item x="195"/>
        <item x="524"/>
        <item x="764"/>
        <item x="1349"/>
        <item x="1003"/>
        <item x="52"/>
        <item x="352"/>
        <item x="574"/>
        <item x="383"/>
        <item x="368"/>
        <item x="104"/>
        <item x="1293"/>
        <item x="1113"/>
        <item x="279"/>
        <item x="780"/>
        <item x="690"/>
        <item x="139"/>
        <item x="1088"/>
        <item x="1287"/>
        <item x="491"/>
        <item x="1257"/>
        <item x="225"/>
        <item x="1087"/>
        <item x="1333"/>
        <item x="306"/>
        <item x="337"/>
        <item x="990"/>
        <item x="277"/>
        <item x="1011"/>
        <item x="938"/>
        <item x="56"/>
        <item x="1117"/>
        <item x="453"/>
        <item x="366"/>
        <item x="131"/>
        <item x="362"/>
        <item x="1360"/>
        <item x="1376"/>
        <item x="208"/>
        <item x="922"/>
        <item x="917"/>
        <item x="1048"/>
        <item x="1038"/>
        <item x="446"/>
        <item x="130"/>
        <item x="1192"/>
        <item x="959"/>
        <item x="962"/>
        <item x="1351"/>
        <item x="578"/>
        <item x="1279"/>
        <item x="1139"/>
        <item x="1354"/>
        <item x="900"/>
        <item x="1359"/>
        <item x="673"/>
        <item x="1409"/>
        <item x="728"/>
        <item x="963"/>
        <item x="494"/>
        <item x="1285"/>
        <item x="296"/>
        <item x="866"/>
        <item x="504"/>
        <item x="39"/>
        <item x="865"/>
        <item x="271"/>
        <item x="706"/>
        <item x="200"/>
        <item x="1222"/>
        <item x="733"/>
        <item x="1127"/>
        <item x="965"/>
        <item x="465"/>
        <item x="47"/>
        <item x="201"/>
        <item x="151"/>
        <item x="966"/>
        <item x="907"/>
        <item x="1412"/>
        <item x="1308"/>
        <item x="65"/>
        <item x="165"/>
        <item x="748"/>
        <item x="1372"/>
        <item x="557"/>
        <item x="1450"/>
        <item x="850"/>
        <item x="316"/>
        <item x="1289"/>
        <item x="594"/>
        <item x="323"/>
        <item x="280"/>
        <item x="734"/>
        <item x="1383"/>
        <item x="632"/>
        <item x="646"/>
        <item x="1447"/>
        <item x="756"/>
        <item x="398"/>
        <item x="1079"/>
        <item x="136"/>
        <item x="934"/>
        <item x="70"/>
        <item x="1281"/>
        <item x="1128"/>
        <item x="762"/>
        <item x="420"/>
        <item x="160"/>
        <item x="163"/>
        <item x="1415"/>
        <item x="1158"/>
        <item x="240"/>
        <item x="408"/>
        <item x="1090"/>
        <item x="75"/>
        <item x="1058"/>
        <item x="685"/>
        <item x="78"/>
        <item x="319"/>
        <item x="660"/>
        <item x="715"/>
        <item x="978"/>
        <item x="484"/>
        <item x="469"/>
        <item x="675"/>
        <item x="742"/>
        <item x="595"/>
        <item x="6"/>
        <item x="414"/>
        <item x="1082"/>
        <item x="1000"/>
        <item x="202"/>
        <item x="899"/>
        <item x="523"/>
        <item x="1449"/>
        <item x="902"/>
        <item x="1033"/>
        <item x="725"/>
        <item x="436"/>
        <item x="975"/>
        <item x="303"/>
        <item x="179"/>
        <item x="1129"/>
        <item x="1265"/>
        <item x="367"/>
        <item x="1161"/>
        <item x="982"/>
        <item x="772"/>
        <item x="791"/>
        <item x="1145"/>
        <item x="552"/>
        <item x="542"/>
        <item x="612"/>
        <item x="416"/>
        <item x="1327"/>
        <item x="1017"/>
        <item x="563"/>
        <item x="158"/>
        <item x="778"/>
        <item x="1384"/>
        <item x="1341"/>
        <item x="1197"/>
        <item x="1430"/>
        <item x="1238"/>
        <item x="454"/>
        <item x="881"/>
        <item x="903"/>
        <item x="1266"/>
        <item x="92"/>
        <item x="1400"/>
        <item x="1046"/>
        <item x="128"/>
        <item x="1103"/>
        <item x="184"/>
        <item x="1286"/>
        <item x="754"/>
        <item x="911"/>
        <item x="942"/>
        <item x="616"/>
        <item x="275"/>
        <item x="835"/>
        <item x="964"/>
        <item x="520"/>
        <item x="292"/>
        <item x="119"/>
        <item x="149"/>
        <item x="44"/>
        <item x="1332"/>
        <item x="310"/>
        <item x="407"/>
        <item x="0"/>
        <item x="528"/>
        <item x="1"/>
        <item x="1240"/>
        <item x="84"/>
        <item x="1106"/>
        <item x="753"/>
        <item x="827"/>
        <item x="360"/>
        <item x="479"/>
        <item x="439"/>
        <item x="355"/>
        <item x="751"/>
        <item x="1049"/>
        <item x="122"/>
        <item x="1193"/>
        <item x="286"/>
        <item x="258"/>
        <item x="1026"/>
        <item x="1264"/>
        <item x="1436"/>
        <item x="947"/>
        <item x="181"/>
        <item x="4"/>
        <item x="1199"/>
        <item x="1478"/>
        <item x="425"/>
        <item x="1010"/>
        <item x="719"/>
        <item x="235"/>
        <item x="826"/>
        <item x="423"/>
        <item x="213"/>
        <item x="299"/>
        <item x="1464"/>
        <item x="971"/>
        <item x="1137"/>
        <item x="1159"/>
        <item x="946"/>
        <item x="445"/>
        <item x="747"/>
        <item x="1034"/>
        <item x="918"/>
        <item x="1379"/>
        <item x="1167"/>
        <item x="991"/>
        <item x="876"/>
        <item x="1321"/>
        <item x="920"/>
        <item x="315"/>
        <item t="default"/>
      </items>
      <autoSortScope>
        <pivotArea dataOnly="0" outline="0" fieldPosition="0">
          <references count="1">
            <reference field="4294967294" count="1" selected="0">
              <x v="0"/>
            </reference>
          </references>
        </pivotArea>
      </autoSortScope>
    </pivotField>
    <pivotField showAll="0"/>
    <pivotField showAll="0">
      <items count="6">
        <item x="1"/>
        <item x="2"/>
        <item x="0"/>
        <item x="4"/>
        <item x="3"/>
        <item t="default"/>
      </items>
    </pivotField>
    <pivotField showAll="0">
      <items count="3">
        <item x="1"/>
        <item x="0"/>
        <item t="default"/>
      </items>
    </pivotField>
  </pivotFields>
  <rowFields count="1">
    <field x="8"/>
  </rowFields>
  <rowItems count="10">
    <i>
      <x v="1222"/>
    </i>
    <i>
      <x v="1186"/>
    </i>
    <i>
      <x v="373"/>
    </i>
    <i>
      <x v="509"/>
    </i>
    <i>
      <x v="1196"/>
    </i>
    <i>
      <x v="522"/>
    </i>
    <i>
      <x v="1242"/>
    </i>
    <i>
      <x v="533"/>
    </i>
    <i>
      <x v="1051"/>
    </i>
    <i t="grand">
      <x/>
    </i>
  </rowItems>
  <colItems count="1">
    <i/>
  </colItems>
  <dataFields count="1">
    <dataField name="Count of Employee_ID" fld="0" subtotal="count"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3E2EB2-1A14-4021-A2BC-68510F2479B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items count="8">
        <item x="0"/>
        <item x="1"/>
        <item x="5"/>
        <item x="2"/>
        <item x="4"/>
        <item x="6"/>
        <item x="3"/>
        <item t="default"/>
      </items>
    </pivotField>
    <pivotField showAll="0"/>
    <pivotField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showAll="0">
      <items count="6">
        <item x="1"/>
        <item x="2"/>
        <item x="0"/>
        <item x="4"/>
        <item x="3"/>
        <item t="default"/>
      </items>
    </pivotField>
    <pivotField axis="axisRow" dataField="1" showAll="0">
      <items count="3">
        <item x="1"/>
        <item x="0"/>
        <item t="default"/>
      </items>
    </pivotField>
  </pivotFields>
  <rowFields count="1">
    <field x="11"/>
  </rowFields>
  <rowItems count="3">
    <i>
      <x/>
    </i>
    <i>
      <x v="1"/>
    </i>
    <i t="grand">
      <x/>
    </i>
  </rowItems>
  <colItems count="1">
    <i/>
  </colItems>
  <dataFields count="1">
    <dataField name="Count of Remote_Work" fld="11" subtotal="count" showDataAs="percentOfTotal" baseField="11" baseItem="0" numFmtId="10"/>
  </dataFields>
  <chartFormats count="7">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0"/>
          </reference>
        </references>
      </pivotArea>
    </chartFormat>
    <chartFormat chart="1" format="4">
      <pivotArea type="data" outline="0" fieldPosition="0">
        <references count="2">
          <reference field="4294967294" count="1" selected="0">
            <x v="0"/>
          </reference>
          <reference field="11" count="1" selected="0">
            <x v="1"/>
          </reference>
        </references>
      </pivotArea>
    </chartFormat>
    <chartFormat chart="1"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7C1288-D911-46F2-8854-8CE6E8C44E4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items count="8">
        <item x="0"/>
        <item x="1"/>
        <item x="5"/>
        <item x="2"/>
        <item x="4"/>
        <item x="6"/>
        <item x="3"/>
        <item t="default"/>
      </items>
    </pivotField>
    <pivotField showAll="0"/>
    <pivotField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dataField="1" showAll="0">
      <items count="6">
        <item x="1"/>
        <item x="2"/>
        <item x="0"/>
        <item x="4"/>
        <item x="3"/>
        <item t="default"/>
      </items>
    </pivotField>
    <pivotField axis="axisRow" showAll="0">
      <items count="3">
        <item x="1"/>
        <item x="0"/>
        <item t="default"/>
      </items>
    </pivotField>
  </pivotFields>
  <rowFields count="1">
    <field x="11"/>
  </rowFields>
  <rowItems count="3">
    <i>
      <x/>
    </i>
    <i>
      <x v="1"/>
    </i>
    <i t="grand">
      <x/>
    </i>
  </rowItems>
  <colItems count="1">
    <i/>
  </colItems>
  <dataFields count="1">
    <dataField name="Average of Performance_Rating" fld="10" subtotal="average" baseField="11"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598B74-4B2A-481C-8246-45740CE3397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items count="8">
        <item x="0"/>
        <item x="1"/>
        <item x="5"/>
        <item x="2"/>
        <item x="4"/>
        <item x="6"/>
        <item x="3"/>
        <item t="default"/>
      </items>
    </pivotField>
    <pivotField axis="axisRow" showAll="0">
      <items count="7">
        <item x="2"/>
        <item x="4"/>
        <item x="0"/>
        <item x="3"/>
        <item x="1"/>
        <item x="5"/>
        <item t="default"/>
      </items>
    </pivotField>
    <pivotField axis="axisCol" dataField="1"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showAll="0">
      <items count="6">
        <item x="1"/>
        <item x="2"/>
        <item x="0"/>
        <item x="4"/>
        <item x="3"/>
        <item t="default"/>
      </items>
    </pivotField>
    <pivotField showAll="0">
      <items count="3">
        <item x="1"/>
        <item x="0"/>
        <item t="default"/>
      </items>
    </pivotField>
  </pivotFields>
  <rowFields count="1">
    <field x="3"/>
  </rowFields>
  <rowItems count="5">
    <i>
      <x/>
    </i>
    <i>
      <x v="2"/>
    </i>
    <i>
      <x v="3"/>
    </i>
    <i>
      <x v="5"/>
    </i>
    <i t="grand">
      <x/>
    </i>
  </rowItems>
  <colFields count="1">
    <field x="4"/>
  </colFields>
  <colItems count="5">
    <i>
      <x/>
    </i>
    <i>
      <x v="1"/>
    </i>
    <i>
      <x v="2"/>
    </i>
    <i>
      <x v="3"/>
    </i>
    <i t="grand">
      <x/>
    </i>
  </colItems>
  <dataFields count="1">
    <dataField name="Count of Task_Status" fld="4" subtotal="count" baseField="0" baseItem="0"/>
  </dataFields>
  <conditionalFormats count="1">
    <conditionalFormat type="all" priority="1">
      <pivotAreas count="1">
        <pivotArea type="data" collapsedLevelsAreSubtotals="1" fieldPosition="0">
          <references count="3">
            <reference field="4294967294" count="1" selected="0">
              <x v="0"/>
            </reference>
            <reference field="3" count="6">
              <x v="0"/>
              <x v="1"/>
              <x v="2"/>
              <x v="3"/>
              <x v="4"/>
              <x v="5"/>
            </reference>
            <reference field="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04DA00-CA27-43C7-A568-E6C1A1F0DC0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items count="8">
        <item x="0"/>
        <item x="1"/>
        <item x="5"/>
        <item x="2"/>
        <item x="4"/>
        <item x="6"/>
        <item x="3"/>
        <item t="default"/>
      </items>
    </pivotField>
    <pivotField axis="axisRow" showAll="0">
      <items count="7">
        <item x="2"/>
        <item x="4"/>
        <item x="0"/>
        <item x="3"/>
        <item x="1"/>
        <item x="5"/>
        <item t="default"/>
      </items>
    </pivotField>
    <pivotField showAll="0">
      <items count="5">
        <item x="0"/>
        <item x="1"/>
        <item x="3"/>
        <item x="2"/>
        <item t="default"/>
      </items>
    </pivotField>
    <pivotField dataField="1"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showAll="0">
      <items count="6">
        <item x="1"/>
        <item x="2"/>
        <item x="0"/>
        <item x="4"/>
        <item x="3"/>
        <item t="default"/>
      </items>
    </pivotField>
    <pivotField showAll="0">
      <items count="3">
        <item x="1"/>
        <item x="0"/>
        <item t="default"/>
      </items>
    </pivotField>
  </pivotFields>
  <rowFields count="1">
    <field x="3"/>
  </rowFields>
  <rowItems count="5">
    <i>
      <x/>
    </i>
    <i>
      <x v="2"/>
    </i>
    <i>
      <x v="3"/>
    </i>
    <i>
      <x v="5"/>
    </i>
    <i t="grand">
      <x/>
    </i>
  </rowItems>
  <colItems count="1">
    <i/>
  </colItems>
  <dataFields count="1">
    <dataField name="Average of Hours_Spent" fld="5" subtotal="average" baseField="3"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001F6F-9DE5-48BA-ADE4-C997B01600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items count="8">
        <item x="0"/>
        <item x="1"/>
        <item x="5"/>
        <item x="2"/>
        <item x="4"/>
        <item x="6"/>
        <item x="3"/>
        <item t="default"/>
      </items>
    </pivotField>
    <pivotField axis="axisRow" showAll="0" measureFilter="1">
      <items count="7">
        <item x="2"/>
        <item x="4"/>
        <item x="0"/>
        <item x="3"/>
        <item x="1"/>
        <item x="5"/>
        <item t="default"/>
      </items>
    </pivotField>
    <pivotField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dataField="1" showAll="0">
      <items count="6">
        <item x="1"/>
        <item x="2"/>
        <item x="0"/>
        <item x="4"/>
        <item x="3"/>
        <item t="default"/>
      </items>
    </pivotField>
    <pivotField showAll="0">
      <items count="3">
        <item x="1"/>
        <item x="0"/>
        <item t="default"/>
      </items>
    </pivotField>
  </pivotFields>
  <rowFields count="1">
    <field x="3"/>
  </rowFields>
  <rowItems count="5">
    <i>
      <x/>
    </i>
    <i>
      <x v="2"/>
    </i>
    <i>
      <x v="3"/>
    </i>
    <i>
      <x v="5"/>
    </i>
    <i t="grand">
      <x/>
    </i>
  </rowItems>
  <colItems count="1">
    <i/>
  </colItems>
  <dataFields count="1">
    <dataField name="Sum of Performance_Rating" fld="10" baseField="0" baseItem="0"/>
  </dataFields>
  <chartFormats count="12">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4" format="11">
      <pivotArea type="data" outline="0" fieldPosition="0">
        <references count="2">
          <reference field="4294967294" count="1" selected="0">
            <x v="0"/>
          </reference>
          <reference field="3" count="1" selected="0">
            <x v="4"/>
          </reference>
        </references>
      </pivotArea>
    </chartFormat>
    <chartFormat chart="4" format="12">
      <pivotArea type="data" outline="0" fieldPosition="0">
        <references count="2">
          <reference field="4294967294" count="1" selected="0">
            <x v="0"/>
          </reference>
          <reference field="3" count="1" selected="0">
            <x v="5"/>
          </reference>
        </references>
      </pivotArea>
    </chartFormat>
    <chartFormat chart="2" format="6">
      <pivotArea type="data" outline="0" fieldPosition="0">
        <references count="2">
          <reference field="4294967294" count="1" selected="0">
            <x v="0"/>
          </reference>
          <reference field="3" count="1" selected="0">
            <x v="2"/>
          </reference>
        </references>
      </pivotArea>
    </chartFormat>
    <chartFormat chart="2" format="7">
      <pivotArea type="data" outline="0" fieldPosition="0">
        <references count="2">
          <reference field="4294967294" count="1" selected="0">
            <x v="0"/>
          </reference>
          <reference field="3" count="1" selected="0">
            <x v="3"/>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5"/>
          </reference>
        </references>
      </pivotArea>
    </chartFormat>
    <chartFormat chart="2" format="10">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979BD4-3BC9-4575-8B2E-C1FFBF36D4B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items count="8">
        <item x="0"/>
        <item x="1"/>
        <item x="5"/>
        <item x="2"/>
        <item x="4"/>
        <item x="6"/>
        <item x="3"/>
        <item t="default"/>
      </items>
    </pivotField>
    <pivotField axis="axisRow" showAll="0">
      <items count="7">
        <item x="2"/>
        <item x="4"/>
        <item x="0"/>
        <item x="3"/>
        <item x="1"/>
        <item x="5"/>
        <item t="default"/>
      </items>
    </pivotField>
    <pivotField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dataField="1" showAll="0">
      <items count="6">
        <item x="1"/>
        <item x="2"/>
        <item x="0"/>
        <item x="4"/>
        <item x="3"/>
        <item t="default"/>
      </items>
    </pivotField>
    <pivotField showAll="0"/>
  </pivotFields>
  <rowFields count="1">
    <field x="3"/>
  </rowFields>
  <rowItems count="5">
    <i>
      <x/>
    </i>
    <i>
      <x v="2"/>
    </i>
    <i>
      <x v="3"/>
    </i>
    <i>
      <x v="5"/>
    </i>
    <i t="grand">
      <x/>
    </i>
  </rowItems>
  <colItems count="1">
    <i/>
  </colItems>
  <dataFields count="1">
    <dataField name="Sum of Performance_Rating" fld="10" showDataAs="percentOfTotal" baseField="10" baseItem="0" numFmtId="10"/>
  </dataFields>
  <chartFormats count="13">
    <chartFormat chart="1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 count="1" selected="0">
            <x v="0"/>
          </reference>
        </references>
      </pivotArea>
    </chartFormat>
    <chartFormat chart="12" format="10">
      <pivotArea type="data" outline="0" fieldPosition="0">
        <references count="2">
          <reference field="4294967294" count="1" selected="0">
            <x v="0"/>
          </reference>
          <reference field="3" count="1" selected="0">
            <x v="1"/>
          </reference>
        </references>
      </pivotArea>
    </chartFormat>
    <chartFormat chart="12" format="11">
      <pivotArea type="data" outline="0" fieldPosition="0">
        <references count="2">
          <reference field="4294967294" count="1" selected="0">
            <x v="0"/>
          </reference>
          <reference field="3" count="1" selected="0">
            <x v="2"/>
          </reference>
        </references>
      </pivotArea>
    </chartFormat>
    <chartFormat chart="12" format="12">
      <pivotArea type="data" outline="0" fieldPosition="0">
        <references count="2">
          <reference field="4294967294" count="1" selected="0">
            <x v="0"/>
          </reference>
          <reference field="3" count="1" selected="0">
            <x v="3"/>
          </reference>
        </references>
      </pivotArea>
    </chartFormat>
    <chartFormat chart="12" format="13">
      <pivotArea type="data" outline="0" fieldPosition="0">
        <references count="2">
          <reference field="4294967294" count="1" selected="0">
            <x v="0"/>
          </reference>
          <reference field="3" count="1" selected="0">
            <x v="4"/>
          </reference>
        </references>
      </pivotArea>
    </chartFormat>
    <chartFormat chart="12" format="14">
      <pivotArea type="data" outline="0" fieldPosition="0">
        <references count="2">
          <reference field="4294967294" count="1" selected="0">
            <x v="0"/>
          </reference>
          <reference field="3" count="1" selected="0">
            <x v="5"/>
          </reference>
        </references>
      </pivotArea>
    </chartFormat>
    <chartFormat chart="10" format="7">
      <pivotArea type="data" outline="0" fieldPosition="0">
        <references count="2">
          <reference field="4294967294" count="1" selected="0">
            <x v="0"/>
          </reference>
          <reference field="3" count="1" selected="0">
            <x v="2"/>
          </reference>
        </references>
      </pivotArea>
    </chartFormat>
    <chartFormat chart="10" format="8">
      <pivotArea type="data" outline="0" fieldPosition="0">
        <references count="2">
          <reference field="4294967294" count="1" selected="0">
            <x v="0"/>
          </reference>
          <reference field="3" count="1" selected="0">
            <x v="3"/>
          </reference>
        </references>
      </pivotArea>
    </chartFormat>
    <chartFormat chart="10" format="9">
      <pivotArea type="data" outline="0" fieldPosition="0">
        <references count="2">
          <reference field="4294967294" count="1" selected="0">
            <x v="0"/>
          </reference>
          <reference field="3" count="1" selected="0">
            <x v="0"/>
          </reference>
        </references>
      </pivotArea>
    </chartFormat>
    <chartFormat chart="10" format="10">
      <pivotArea type="data" outline="0" fieldPosition="0">
        <references count="2">
          <reference field="4294967294" count="1" selected="0">
            <x v="0"/>
          </reference>
          <reference field="3" count="1" selected="0">
            <x v="5"/>
          </reference>
        </references>
      </pivotArea>
    </chartFormat>
    <chartFormat chart="10"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637A70F-28FC-4C67-B4BD-5884D3941C4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1483">
        <item x="460"/>
        <item x="1197"/>
        <item x="806"/>
        <item x="493"/>
        <item x="265"/>
        <item x="1371"/>
        <item x="380"/>
        <item x="1064"/>
        <item x="1201"/>
        <item x="1236"/>
        <item x="929"/>
        <item x="21"/>
        <item x="1233"/>
        <item x="1112"/>
        <item x="118"/>
        <item x="923"/>
        <item x="1379"/>
        <item x="727"/>
        <item x="1254"/>
        <item x="1319"/>
        <item x="1309"/>
        <item x="1360"/>
        <item x="926"/>
        <item x="714"/>
        <item x="617"/>
        <item x="661"/>
        <item x="820"/>
        <item x="1207"/>
        <item x="1059"/>
        <item x="471"/>
        <item x="982"/>
        <item x="634"/>
        <item x="223"/>
        <item x="1209"/>
        <item x="472"/>
        <item x="654"/>
        <item x="1189"/>
        <item x="363"/>
        <item x="1010"/>
        <item x="1411"/>
        <item x="560"/>
        <item x="1436"/>
        <item x="511"/>
        <item x="28"/>
        <item x="435"/>
        <item x="1421"/>
        <item x="1244"/>
        <item x="73"/>
        <item x="456"/>
        <item x="659"/>
        <item x="1386"/>
        <item x="1071"/>
        <item x="994"/>
        <item x="827"/>
        <item x="93"/>
        <item x="1128"/>
        <item x="961"/>
        <item x="543"/>
        <item x="284"/>
        <item x="126"/>
        <item x="1311"/>
        <item x="1390"/>
        <item x="1260"/>
        <item x="498"/>
        <item x="1047"/>
        <item x="339"/>
        <item x="794"/>
        <item x="1050"/>
        <item x="355"/>
        <item x="739"/>
        <item x="825"/>
        <item x="529"/>
        <item x="55"/>
        <item x="485"/>
        <item x="1323"/>
        <item x="430"/>
        <item x="331"/>
        <item x="1261"/>
        <item x="368"/>
        <item x="772"/>
        <item x="338"/>
        <item x="723"/>
        <item x="887"/>
        <item x="359"/>
        <item x="1160"/>
        <item x="233"/>
        <item x="322"/>
        <item x="970"/>
        <item x="1446"/>
        <item x="1153"/>
        <item x="937"/>
        <item x="811"/>
        <item x="92"/>
        <item x="1091"/>
        <item x="1292"/>
        <item x="1094"/>
        <item x="205"/>
        <item x="821"/>
        <item x="514"/>
        <item x="135"/>
        <item x="547"/>
        <item x="455"/>
        <item x="1448"/>
        <item x="1295"/>
        <item x="1469"/>
        <item x="840"/>
        <item x="1241"/>
        <item x="987"/>
        <item x="1023"/>
        <item x="668"/>
        <item x="817"/>
        <item x="1232"/>
        <item x="1125"/>
        <item x="1054"/>
        <item x="378"/>
        <item x="39"/>
        <item x="959"/>
        <item x="554"/>
        <item x="971"/>
        <item x="798"/>
        <item x="558"/>
        <item x="593"/>
        <item x="311"/>
        <item x="171"/>
        <item x="525"/>
        <item x="832"/>
        <item x="405"/>
        <item x="1462"/>
        <item x="780"/>
        <item x="882"/>
        <item x="1148"/>
        <item x="993"/>
        <item x="100"/>
        <item x="574"/>
        <item x="497"/>
        <item x="706"/>
        <item x="1428"/>
        <item x="77"/>
        <item x="231"/>
        <item x="445"/>
        <item x="1262"/>
        <item x="1138"/>
        <item x="1285"/>
        <item x="1437"/>
        <item x="532"/>
        <item x="571"/>
        <item x="938"/>
        <item x="367"/>
        <item x="613"/>
        <item x="468"/>
        <item x="304"/>
        <item x="290"/>
        <item x="1181"/>
        <item x="371"/>
        <item x="576"/>
        <item x="522"/>
        <item x="857"/>
        <item x="404"/>
        <item x="91"/>
        <item x="716"/>
        <item x="188"/>
        <item x="67"/>
        <item x="744"/>
        <item x="1331"/>
        <item x="1361"/>
        <item x="138"/>
        <item x="1338"/>
        <item x="18"/>
        <item x="122"/>
        <item x="1384"/>
        <item x="390"/>
        <item x="847"/>
        <item x="1118"/>
        <item x="1120"/>
        <item x="1104"/>
        <item x="1089"/>
        <item x="225"/>
        <item x="1470"/>
        <item x="1225"/>
        <item x="976"/>
        <item x="713"/>
        <item x="736"/>
        <item x="1163"/>
        <item x="1266"/>
        <item x="1420"/>
        <item x="734"/>
        <item x="179"/>
        <item x="232"/>
        <item x="1130"/>
        <item x="799"/>
        <item x="936"/>
        <item x="447"/>
        <item x="1269"/>
        <item x="793"/>
        <item x="1022"/>
        <item x="434"/>
        <item x="1227"/>
        <item x="22"/>
        <item x="903"/>
        <item x="480"/>
        <item x="1276"/>
        <item x="248"/>
        <item x="665"/>
        <item x="1239"/>
        <item x="983"/>
        <item x="1185"/>
        <item x="986"/>
        <item x="1137"/>
        <item x="623"/>
        <item x="709"/>
        <item x="1151"/>
        <item x="662"/>
        <item x="360"/>
        <item x="951"/>
        <item x="1186"/>
        <item x="286"/>
        <item x="822"/>
        <item x="901"/>
        <item x="5"/>
        <item x="1320"/>
        <item x="1000"/>
        <item x="678"/>
        <item x="128"/>
        <item x="753"/>
        <item x="781"/>
        <item x="1247"/>
        <item x="1226"/>
        <item x="1114"/>
        <item x="381"/>
        <item x="1478"/>
        <item x="69"/>
        <item x="1013"/>
        <item x="660"/>
        <item x="267"/>
        <item x="650"/>
        <item x="969"/>
        <item x="442"/>
        <item x="732"/>
        <item x="1193"/>
        <item x="546"/>
        <item x="935"/>
        <item x="283"/>
        <item x="763"/>
        <item x="1452"/>
        <item x="346"/>
        <item x="1171"/>
        <item x="219"/>
        <item x="1374"/>
        <item x="481"/>
        <item x="181"/>
        <item x="1031"/>
        <item x="559"/>
        <item x="1430"/>
        <item x="657"/>
        <item x="1335"/>
        <item x="968"/>
        <item x="578"/>
        <item x="102"/>
        <item x="1167"/>
        <item x="912"/>
        <item x="1348"/>
        <item x="1029"/>
        <item x="855"/>
        <item x="409"/>
        <item x="402"/>
        <item x="642"/>
        <item x="1021"/>
        <item x="470"/>
        <item x="788"/>
        <item x="305"/>
        <item x="319"/>
        <item x="366"/>
        <item x="652"/>
        <item x="422"/>
        <item x="357"/>
        <item x="516"/>
        <item x="1438"/>
        <item x="1353"/>
        <item x="431"/>
        <item x="538"/>
        <item x="47"/>
        <item x="592"/>
        <item x="743"/>
        <item x="249"/>
        <item x="1459"/>
        <item x="1313"/>
        <item x="271"/>
        <item x="979"/>
        <item x="953"/>
        <item x="1175"/>
        <item x="824"/>
        <item x="555"/>
        <item x="1443"/>
        <item x="441"/>
        <item x="663"/>
        <item x="1451"/>
        <item x="849"/>
        <item x="46"/>
        <item x="491"/>
        <item x="429"/>
        <item x="235"/>
        <item x="155"/>
        <item x="1052"/>
        <item x="1102"/>
        <item x="636"/>
        <item x="1032"/>
        <item x="626"/>
        <item x="947"/>
        <item x="110"/>
        <item x="174"/>
        <item x="536"/>
        <item x="159"/>
        <item x="1081"/>
        <item x="677"/>
        <item x="87"/>
        <item x="1461"/>
        <item x="1215"/>
        <item x="906"/>
        <item x="10"/>
        <item x="1302"/>
        <item x="656"/>
        <item x="523"/>
        <item x="1310"/>
        <item x="1039"/>
        <item x="804"/>
        <item x="1132"/>
        <item x="539"/>
        <item x="684"/>
        <item x="632"/>
        <item x="579"/>
        <item x="1439"/>
        <item x="419"/>
        <item x="463"/>
        <item x="816"/>
        <item x="700"/>
        <item x="224"/>
        <item x="1308"/>
        <item x="1086"/>
        <item x="648"/>
        <item x="352"/>
        <item x="1321"/>
        <item x="326"/>
        <item x="295"/>
        <item x="163"/>
        <item x="1190"/>
        <item x="1131"/>
        <item x="602"/>
        <item x="1389"/>
        <item x="276"/>
        <item x="666"/>
        <item x="1329"/>
        <item x="217"/>
        <item x="1147"/>
        <item x="550"/>
        <item x="1155"/>
        <item x="1188"/>
        <item x="97"/>
        <item x="1008"/>
        <item x="838"/>
        <item x="507"/>
        <item x="42"/>
        <item x="946"/>
        <item x="1208"/>
        <item x="645"/>
        <item x="618"/>
        <item x="1109"/>
        <item x="697"/>
        <item x="619"/>
        <item x="111"/>
        <item x="1100"/>
        <item x="477"/>
        <item x="1067"/>
        <item x="956"/>
        <item x="629"/>
        <item x="805"/>
        <item x="1349"/>
        <item x="177"/>
        <item x="1068"/>
        <item x="771"/>
        <item x="62"/>
        <item x="1179"/>
        <item x="54"/>
        <item x="1350"/>
        <item x="955"/>
        <item x="469"/>
        <item x="452"/>
        <item x="1337"/>
        <item x="843"/>
        <item x="580"/>
        <item x="36"/>
        <item x="1279"/>
        <item x="109"/>
        <item x="153"/>
        <item x="943"/>
        <item x="853"/>
        <item x="37"/>
        <item x="757"/>
        <item x="212"/>
        <item x="717"/>
        <item x="1426"/>
        <item x="501"/>
        <item x="895"/>
        <item x="1107"/>
        <item x="257"/>
        <item x="904"/>
        <item x="1088"/>
        <item x="27"/>
        <item x="1294"/>
        <item x="932"/>
        <item x="15"/>
        <item x="324"/>
        <item x="756"/>
        <item x="1363"/>
        <item x="1246"/>
        <item x="1122"/>
        <item x="362"/>
        <item x="750"/>
        <item x="376"/>
        <item x="990"/>
        <item x="1253"/>
        <item x="458"/>
        <item x="1099"/>
        <item x="747"/>
        <item x="1256"/>
        <item x="496"/>
        <item x="45"/>
        <item x="1136"/>
        <item x="1373"/>
        <item x="524"/>
        <item x="1076"/>
        <item x="553"/>
        <item x="630"/>
        <item x="1255"/>
        <item x="686"/>
        <item x="1075"/>
        <item x="581"/>
        <item x="136"/>
        <item x="408"/>
        <item x="407"/>
        <item x="393"/>
        <item x="1063"/>
        <item x="1424"/>
        <item x="406"/>
        <item x="312"/>
        <item x="115"/>
        <item x="255"/>
        <item x="742"/>
        <item x="38"/>
        <item x="99"/>
        <item x="1242"/>
        <item x="966"/>
        <item x="415"/>
        <item x="1251"/>
        <item x="1222"/>
        <item x="1019"/>
        <item x="569"/>
        <item x="1440"/>
        <item x="288"/>
        <item x="1275"/>
        <item x="0"/>
        <item x="261"/>
        <item x="187"/>
        <item x="1115"/>
        <item x="254"/>
        <item x="280"/>
        <item x="202"/>
        <item x="587"/>
        <item x="534"/>
        <item x="1135"/>
        <item x="1334"/>
        <item x="1333"/>
        <item x="939"/>
        <item x="1369"/>
        <item x="50"/>
        <item x="1002"/>
        <item x="500"/>
        <item x="810"/>
        <item x="1357"/>
        <item x="1402"/>
        <item x="396"/>
        <item x="1184"/>
        <item x="176"/>
        <item x="476"/>
        <item x="952"/>
        <item x="1264"/>
        <item x="294"/>
        <item x="392"/>
        <item x="143"/>
        <item x="1061"/>
        <item x="48"/>
        <item x="973"/>
        <item x="457"/>
        <item x="313"/>
        <item x="1387"/>
        <item x="1150"/>
        <item x="84"/>
        <item x="934"/>
        <item x="1044"/>
        <item x="251"/>
        <item x="166"/>
        <item x="260"/>
        <item x="1471"/>
        <item x="800"/>
        <item x="813"/>
        <item x="1231"/>
        <item x="738"/>
        <item x="1403"/>
        <item x="720"/>
        <item x="424"/>
        <item x="1286"/>
        <item x="1053"/>
        <item x="33"/>
        <item x="604"/>
        <item x="676"/>
        <item x="1026"/>
        <item x="928"/>
        <item x="599"/>
        <item x="568"/>
        <item x="1221"/>
        <item x="624"/>
        <item x="182"/>
        <item x="526"/>
        <item x="848"/>
        <item x="945"/>
        <item x="635"/>
        <item x="1263"/>
        <item x="1126"/>
        <item x="504"/>
        <item x="1325"/>
        <item x="132"/>
        <item x="1339"/>
        <item x="154"/>
        <item x="162"/>
        <item x="1344"/>
        <item x="981"/>
        <item x="1277"/>
        <item x="1270"/>
        <item x="489"/>
        <item x="373"/>
        <item x="1304"/>
        <item x="194"/>
        <item x="787"/>
        <item x="741"/>
        <item x="1417"/>
        <item x="141"/>
        <item x="397"/>
        <item x="8"/>
        <item x="765"/>
        <item x="266"/>
        <item x="761"/>
        <item x="1454"/>
        <item x="14"/>
        <item x="379"/>
        <item x="439"/>
        <item x="1326"/>
        <item x="1409"/>
        <item x="160"/>
        <item x="589"/>
        <item x="113"/>
        <item x="1121"/>
        <item x="432"/>
        <item x="1134"/>
        <item x="259"/>
        <item x="16"/>
        <item x="1468"/>
        <item x="309"/>
        <item x="185"/>
        <item x="627"/>
        <item x="1027"/>
        <item x="1087"/>
        <item x="779"/>
        <item x="1431"/>
        <item x="762"/>
        <item x="341"/>
        <item x="302"/>
        <item x="597"/>
        <item x="1396"/>
        <item x="1474"/>
        <item x="1217"/>
        <item x="436"/>
        <item x="1358"/>
        <item x="70"/>
        <item x="989"/>
        <item x="759"/>
        <item x="1477"/>
        <item x="769"/>
        <item x="1450"/>
        <item x="1162"/>
        <item x="653"/>
        <item x="1445"/>
        <item x="528"/>
        <item x="1174"/>
        <item x="748"/>
        <item x="127"/>
        <item x="893"/>
        <item x="1240"/>
        <item x="394"/>
        <item x="164"/>
        <item x="520"/>
        <item x="1479"/>
        <item x="873"/>
        <item x="974"/>
        <item x="877"/>
        <item x="1356"/>
        <item x="711"/>
        <item x="193"/>
        <item x="1156"/>
        <item x="880"/>
        <item x="703"/>
        <item x="1289"/>
        <item x="562"/>
        <item x="1427"/>
        <item x="68"/>
        <item x="854"/>
        <item x="226"/>
        <item x="98"/>
        <item x="11"/>
        <item x="1259"/>
        <item x="349"/>
        <item x="999"/>
        <item x="301"/>
        <item x="861"/>
        <item x="673"/>
        <item x="195"/>
        <item x="533"/>
        <item x="1314"/>
        <item x="26"/>
        <item x="735"/>
        <item x="317"/>
        <item x="1457"/>
        <item x="649"/>
        <item x="218"/>
        <item x="826"/>
        <item x="596"/>
        <item x="941"/>
        <item x="1123"/>
        <item x="499"/>
        <item x="1042"/>
        <item x="158"/>
        <item x="1400"/>
        <item x="1214"/>
        <item x="809"/>
        <item x="238"/>
        <item x="184"/>
        <item x="1191"/>
        <item x="950"/>
        <item x="790"/>
        <item x="1158"/>
        <item x="342"/>
        <item x="1364"/>
        <item x="688"/>
        <item x="897"/>
        <item x="776"/>
        <item x="200"/>
        <item x="670"/>
        <item x="51"/>
        <item x="1429"/>
        <item x="482"/>
        <item x="807"/>
        <item x="891"/>
        <item x="247"/>
        <item x="279"/>
        <item x="856"/>
        <item x="197"/>
        <item x="239"/>
        <item x="858"/>
        <item x="474"/>
        <item x="892"/>
        <item x="354"/>
        <item x="1306"/>
        <item x="1129"/>
        <item x="1352"/>
        <item x="1425"/>
        <item x="510"/>
        <item x="812"/>
        <item x="121"/>
        <item x="1476"/>
        <item x="1183"/>
        <item x="802"/>
        <item x="819"/>
        <item x="487"/>
        <item x="75"/>
        <item x="1077"/>
        <item x="308"/>
        <item x="905"/>
        <item x="583"/>
        <item x="851"/>
        <item x="1330"/>
        <item x="1206"/>
        <item x="90"/>
        <item x="230"/>
        <item x="377"/>
        <item x="898"/>
        <item x="273"/>
        <item x="1442"/>
        <item x="213"/>
        <item x="437"/>
        <item x="988"/>
        <item x="462"/>
        <item x="142"/>
        <item x="803"/>
        <item x="1149"/>
        <item x="991"/>
        <item x="655"/>
        <item x="1169"/>
        <item x="1391"/>
        <item x="35"/>
        <item x="808"/>
        <item x="1073"/>
        <item x="1370"/>
        <item x="1085"/>
        <item x="1090"/>
        <item x="479"/>
        <item x="1143"/>
        <item x="198"/>
        <item x="1433"/>
        <item x="146"/>
        <item x="1006"/>
        <item x="1298"/>
        <item x="1346"/>
        <item x="298"/>
        <item x="134"/>
        <item x="871"/>
        <item x="1252"/>
        <item x="611"/>
        <item x="400"/>
        <item x="1404"/>
        <item x="1273"/>
        <item x="190"/>
        <item x="517"/>
        <item x="152"/>
        <item x="1301"/>
        <item x="549"/>
        <item x="29"/>
        <item x="1196"/>
        <item x="1368"/>
        <item x="815"/>
        <item x="521"/>
        <item x="403"/>
        <item x="834"/>
        <item x="473"/>
        <item x="262"/>
        <item x="1043"/>
        <item x="754"/>
        <item x="605"/>
        <item x="751"/>
        <item x="910"/>
        <item x="196"/>
        <item x="1220"/>
        <item x="220"/>
        <item x="846"/>
        <item x="1084"/>
        <item x="701"/>
        <item x="1415"/>
        <item x="722"/>
        <item x="1154"/>
        <item x="900"/>
        <item x="243"/>
        <item x="707"/>
        <item x="207"/>
        <item x="215"/>
        <item x="1116"/>
        <item x="641"/>
        <item x="20"/>
        <item x="124"/>
        <item x="515"/>
        <item x="890"/>
        <item x="784"/>
        <item x="444"/>
        <item x="1395"/>
        <item x="883"/>
        <item x="644"/>
        <item x="1051"/>
        <item x="1380"/>
        <item x="575"/>
        <item x="1212"/>
        <item x="234"/>
        <item x="323"/>
        <item x="712"/>
        <item x="931"/>
        <item x="228"/>
        <item x="773"/>
        <item x="1009"/>
        <item x="1224"/>
        <item x="1199"/>
        <item x="375"/>
        <item x="1045"/>
        <item x="692"/>
        <item x="1408"/>
        <item x="801"/>
        <item x="461"/>
        <item x="1340"/>
        <item x="1095"/>
        <item x="1316"/>
        <item x="859"/>
        <item x="1074"/>
        <item x="1082"/>
        <item x="192"/>
        <item x="767"/>
        <item x="370"/>
        <item x="985"/>
        <item x="679"/>
        <item x="872"/>
        <item x="1005"/>
        <item x="34"/>
        <item x="1159"/>
        <item x="277"/>
        <item x="372"/>
        <item x="1315"/>
        <item x="108"/>
        <item x="878"/>
        <item x="335"/>
        <item x="201"/>
        <item x="702"/>
        <item x="1278"/>
        <item x="696"/>
        <item x="6"/>
        <item x="1422"/>
        <item x="216"/>
        <item x="1307"/>
        <item x="1419"/>
        <item x="997"/>
        <item x="85"/>
        <item x="244"/>
        <item x="206"/>
        <item x="191"/>
        <item x="833"/>
        <item x="336"/>
        <item x="1401"/>
        <item x="1198"/>
        <item x="972"/>
        <item x="740"/>
        <item x="513"/>
        <item x="465"/>
        <item x="25"/>
        <item x="133"/>
        <item x="1202"/>
        <item x="246"/>
        <item x="264"/>
        <item x="1055"/>
        <item x="1248"/>
        <item x="922"/>
        <item x="770"/>
        <item x="614"/>
        <item x="486"/>
        <item x="888"/>
        <item x="915"/>
        <item x="704"/>
        <item x="777"/>
        <item x="1200"/>
        <item x="306"/>
        <item x="112"/>
        <item x="52"/>
        <item x="957"/>
        <item x="9"/>
        <item x="1287"/>
        <item x="332"/>
        <item x="426"/>
        <item x="1237"/>
        <item x="1243"/>
        <item x="204"/>
        <item x="518"/>
        <item x="1447"/>
        <item x="144"/>
        <item x="256"/>
        <item x="44"/>
        <item x="76"/>
        <item x="1127"/>
        <item x="924"/>
        <item x="1178"/>
        <item x="1079"/>
        <item x="719"/>
        <item x="948"/>
        <item x="165"/>
        <item x="285"/>
        <item x="506"/>
        <item x="1416"/>
        <item x="1441"/>
        <item x="1365"/>
        <item x="818"/>
        <item x="1028"/>
        <item x="1003"/>
        <item x="454"/>
        <item x="1432"/>
        <item x="1393"/>
        <item x="467"/>
        <item x="252"/>
        <item x="391"/>
        <item x="552"/>
        <item x="1213"/>
        <item x="269"/>
        <item x="1119"/>
        <item x="612"/>
        <item x="345"/>
        <item x="420"/>
        <item x="123"/>
        <item x="399"/>
        <item x="755"/>
        <item x="222"/>
        <item x="954"/>
        <item x="940"/>
        <item x="1180"/>
        <item x="296"/>
        <item x="478"/>
        <item x="417"/>
        <item x="1157"/>
        <item x="573"/>
        <item x="229"/>
        <item x="1453"/>
        <item x="401"/>
        <item x="418"/>
        <item x="1211"/>
        <item x="831"/>
        <item x="1012"/>
        <item x="625"/>
        <item x="1465"/>
        <item x="1176"/>
        <item x="1"/>
        <item x="1229"/>
        <item x="631"/>
        <item x="1106"/>
        <item x="1341"/>
        <item x="548"/>
        <item x="628"/>
        <item x="169"/>
        <item x="563"/>
        <item x="1456"/>
        <item x="797"/>
        <item x="386"/>
        <item x="1418"/>
        <item x="414"/>
        <item x="672"/>
        <item x="667"/>
        <item x="119"/>
        <item x="1399"/>
        <item x="992"/>
        <item x="760"/>
        <item x="96"/>
        <item x="237"/>
        <item x="1271"/>
        <item x="775"/>
        <item x="129"/>
        <item x="334"/>
        <item x="1113"/>
        <item x="792"/>
        <item x="494"/>
        <item x="23"/>
        <item x="567"/>
        <item x="1463"/>
        <item x="170"/>
        <item x="1018"/>
        <item x="1205"/>
        <item x="450"/>
        <item x="590"/>
        <item x="1354"/>
        <item x="189"/>
        <item x="236"/>
        <item x="173"/>
        <item x="960"/>
        <item x="594"/>
        <item x="387"/>
        <item x="214"/>
        <item x="1299"/>
        <item x="930"/>
        <item x="911"/>
        <item x="782"/>
        <item x="535"/>
        <item x="1455"/>
        <item x="53"/>
        <item x="868"/>
        <item x="140"/>
        <item x="275"/>
        <item x="1234"/>
        <item x="829"/>
        <item x="839"/>
        <item x="300"/>
        <item x="1288"/>
        <item x="107"/>
        <item x="715"/>
        <item x="698"/>
        <item x="106"/>
        <item x="749"/>
        <item x="1020"/>
        <item x="884"/>
        <item x="389"/>
        <item x="17"/>
        <item x="975"/>
        <item x="1108"/>
        <item x="869"/>
        <item x="921"/>
        <item x="1362"/>
        <item x="728"/>
        <item x="616"/>
        <item x="1385"/>
        <item x="1103"/>
        <item x="13"/>
        <item x="451"/>
        <item x="886"/>
        <item x="364"/>
        <item x="874"/>
        <item x="150"/>
        <item x="603"/>
        <item x="1015"/>
        <item x="151"/>
        <item x="1007"/>
        <item x="828"/>
        <item x="448"/>
        <item x="823"/>
        <item x="1056"/>
        <item x="894"/>
        <item x="586"/>
        <item x="327"/>
        <item x="909"/>
        <item x="1165"/>
        <item x="1048"/>
        <item x="640"/>
        <item x="1274"/>
        <item x="1182"/>
        <item x="1057"/>
        <item x="423"/>
        <item x="791"/>
        <item x="57"/>
        <item x="1001"/>
        <item x="1375"/>
        <item x="598"/>
        <item x="1392"/>
        <item x="351"/>
        <item x="1040"/>
        <item x="1303"/>
        <item x="687"/>
        <item x="412"/>
        <item x="1166"/>
        <item x="836"/>
        <item x="1342"/>
        <item x="718"/>
        <item x="293"/>
        <item x="591"/>
        <item x="1066"/>
        <item x="19"/>
        <item x="601"/>
        <item x="862"/>
        <item x="1297"/>
        <item x="1366"/>
        <item x="916"/>
        <item x="1161"/>
        <item x="1410"/>
        <item x="925"/>
        <item x="508"/>
        <item x="382"/>
        <item x="737"/>
        <item x="841"/>
        <item x="203"/>
        <item x="117"/>
        <item x="615"/>
        <item x="459"/>
        <item x="490"/>
        <item x="680"/>
        <item x="1065"/>
        <item x="595"/>
        <item x="1305"/>
        <item x="638"/>
        <item x="137"/>
        <item x="1293"/>
        <item x="963"/>
        <item x="4"/>
        <item x="1291"/>
        <item x="95"/>
        <item x="885"/>
        <item x="318"/>
        <item x="83"/>
        <item x="967"/>
        <item x="1144"/>
        <item x="796"/>
        <item x="582"/>
        <item x="130"/>
        <item x="211"/>
        <item x="531"/>
        <item x="731"/>
        <item x="685"/>
        <item x="81"/>
        <item x="1355"/>
        <item x="64"/>
        <item x="172"/>
        <item x="863"/>
        <item x="609"/>
        <item x="944"/>
        <item x="949"/>
        <item x="348"/>
        <item x="168"/>
        <item x="103"/>
        <item x="566"/>
        <item x="289"/>
        <item x="962"/>
        <item x="1312"/>
        <item x="600"/>
        <item x="691"/>
        <item x="682"/>
        <item x="1250"/>
        <item x="221"/>
        <item x="1192"/>
        <item x="577"/>
        <item x="1111"/>
        <item x="830"/>
        <item x="1080"/>
        <item x="608"/>
        <item x="40"/>
        <item x="837"/>
        <item x="383"/>
        <item x="1072"/>
        <item x="1187"/>
        <item x="344"/>
        <item x="1060"/>
        <item x="1033"/>
        <item x="671"/>
        <item x="865"/>
        <item x="147"/>
        <item x="1172"/>
        <item x="1146"/>
        <item x="1336"/>
        <item x="315"/>
        <item x="1097"/>
        <item x="984"/>
        <item x="82"/>
        <item x="527"/>
        <item x="789"/>
        <item x="1098"/>
        <item x="337"/>
        <item x="208"/>
        <item x="1466"/>
        <item x="1083"/>
        <item x="842"/>
        <item x="1347"/>
        <item x="347"/>
        <item x="710"/>
        <item x="690"/>
        <item x="570"/>
        <item x="917"/>
        <item x="1398"/>
        <item x="416"/>
        <item x="365"/>
        <item x="483"/>
        <item x="814"/>
        <item x="307"/>
        <item x="647"/>
        <item x="1372"/>
        <item x="241"/>
        <item x="729"/>
        <item x="785"/>
        <item x="1058"/>
        <item x="66"/>
        <item x="978"/>
        <item x="1041"/>
        <item x="1168"/>
        <item x="1282"/>
        <item x="427"/>
        <item x="540"/>
        <item x="1376"/>
        <item x="385"/>
        <item x="1377"/>
        <item x="1434"/>
        <item x="425"/>
        <item x="1034"/>
        <item x="1317"/>
        <item x="1152"/>
        <item x="1230"/>
        <item x="316"/>
        <item x="726"/>
        <item x="410"/>
        <item x="864"/>
        <item x="867"/>
        <item x="1145"/>
        <item x="1238"/>
        <item x="325"/>
        <item x="1300"/>
        <item x="156"/>
        <item x="633"/>
        <item x="572"/>
        <item x="607"/>
        <item x="1110"/>
        <item x="12"/>
        <item x="637"/>
        <item x="340"/>
        <item x="369"/>
        <item x="475"/>
        <item x="139"/>
        <item x="1378"/>
        <item x="453"/>
        <item x="65"/>
        <item x="1046"/>
        <item x="292"/>
        <item x="658"/>
        <item x="148"/>
        <item x="1267"/>
        <item x="998"/>
        <item x="651"/>
        <item x="1024"/>
        <item x="1194"/>
        <item x="695"/>
        <item x="564"/>
        <item x="505"/>
        <item x="920"/>
        <item x="105"/>
        <item x="675"/>
        <item x="1210"/>
        <item x="1265"/>
        <item x="1405"/>
        <item x="78"/>
        <item x="1343"/>
        <item x="1464"/>
        <item x="730"/>
        <item x="588"/>
        <item x="530"/>
        <item x="149"/>
        <item x="3"/>
        <item x="1223"/>
        <item x="881"/>
        <item x="1204"/>
        <item x="1014"/>
        <item x="1173"/>
        <item x="1164"/>
        <item x="565"/>
        <item x="852"/>
        <item x="333"/>
        <item x="2"/>
        <item x="281"/>
        <item x="1324"/>
        <item x="1345"/>
        <item x="1257"/>
        <item x="1381"/>
        <item x="965"/>
        <item x="746"/>
        <item x="1096"/>
        <item x="725"/>
        <item x="227"/>
        <item x="1092"/>
        <item x="80"/>
        <item x="320"/>
        <item x="1133"/>
        <item x="681"/>
        <item x="449"/>
        <item x="1117"/>
        <item x="398"/>
        <item x="1328"/>
        <item x="1101"/>
        <item x="512"/>
        <item x="242"/>
        <item x="175"/>
        <item x="866"/>
        <item x="297"/>
        <item x="561"/>
        <item x="443"/>
        <item x="24"/>
        <item x="384"/>
        <item x="1016"/>
        <item x="1359"/>
        <item x="1351"/>
        <item x="1177"/>
        <item x="942"/>
        <item x="1284"/>
        <item x="724"/>
        <item x="274"/>
        <item x="835"/>
        <item x="466"/>
        <item x="927"/>
        <item x="330"/>
        <item x="694"/>
        <item x="41"/>
        <item x="1435"/>
        <item x="32"/>
        <item x="428"/>
        <item x="411"/>
        <item x="116"/>
        <item x="774"/>
        <item x="63"/>
        <item x="361"/>
        <item x="519"/>
        <item x="413"/>
        <item x="1473"/>
        <item x="620"/>
        <item x="395"/>
        <item x="918"/>
        <item x="287"/>
        <item x="1235"/>
        <item x="161"/>
        <item x="1017"/>
        <item x="889"/>
        <item x="1258"/>
        <item x="86"/>
        <item x="1388"/>
        <item x="1036"/>
        <item x="1480"/>
        <item x="114"/>
        <item x="899"/>
        <item x="502"/>
        <item x="245"/>
        <item x="120"/>
        <item x="1412"/>
        <item x="250"/>
        <item x="693"/>
        <item x="914"/>
        <item x="321"/>
        <item x="303"/>
        <item x="56"/>
        <item x="733"/>
        <item x="544"/>
        <item x="907"/>
        <item x="896"/>
        <item x="1268"/>
        <item x="639"/>
        <item x="1423"/>
        <item x="1062"/>
        <item x="291"/>
        <item x="186"/>
        <item x="674"/>
        <item x="1142"/>
        <item x="89"/>
        <item x="622"/>
        <item x="299"/>
        <item x="258"/>
        <item x="1382"/>
        <item x="795"/>
        <item x="1139"/>
        <item x="545"/>
        <item x="610"/>
        <item x="689"/>
        <item x="1406"/>
        <item x="537"/>
        <item x="764"/>
        <item x="1228"/>
        <item x="1281"/>
        <item x="786"/>
        <item x="875"/>
        <item x="125"/>
        <item x="1038"/>
        <item x="1397"/>
        <item x="253"/>
        <item x="708"/>
        <item x="933"/>
        <item x="1296"/>
        <item x="919"/>
        <item x="209"/>
        <item x="1472"/>
        <item x="758"/>
        <item x="210"/>
        <item x="1037"/>
        <item x="850"/>
        <item x="270"/>
        <item x="1245"/>
        <item x="328"/>
        <item x="664"/>
        <item x="902"/>
        <item x="1332"/>
        <item x="464"/>
        <item x="58"/>
        <item x="1413"/>
        <item x="870"/>
        <item x="643"/>
        <item x="1216"/>
        <item x="977"/>
        <item x="1367"/>
        <item x="7"/>
        <item x="72"/>
        <item x="1414"/>
        <item x="964"/>
        <item x="745"/>
        <item x="980"/>
        <item x="503"/>
        <item x="1475"/>
        <item x="199"/>
        <item x="1004"/>
        <item x="1035"/>
        <item x="1140"/>
        <item x="440"/>
        <item x="495"/>
        <item x="1272"/>
        <item x="438"/>
        <item x="272"/>
        <item x="778"/>
        <item x="1105"/>
        <item x="240"/>
        <item x="353"/>
        <item x="1407"/>
        <item x="541"/>
        <item x="1070"/>
        <item x="1449"/>
        <item x="721"/>
        <item x="908"/>
        <item x="358"/>
        <item x="606"/>
        <item x="446"/>
        <item x="433"/>
        <item x="350"/>
        <item x="79"/>
        <item x="314"/>
        <item x="699"/>
        <item x="1318"/>
        <item x="492"/>
        <item x="183"/>
        <item x="1170"/>
        <item x="1283"/>
        <item x="1218"/>
        <item x="178"/>
        <item x="1025"/>
        <item x="1011"/>
        <item x="88"/>
        <item x="1203"/>
        <item x="374"/>
        <item x="705"/>
        <item x="310"/>
        <item x="646"/>
        <item x="61"/>
        <item x="768"/>
        <item x="1195"/>
        <item x="1322"/>
        <item x="1030"/>
        <item x="1069"/>
        <item x="1444"/>
        <item x="1078"/>
        <item x="388"/>
        <item x="31"/>
        <item x="1467"/>
        <item x="30"/>
        <item x="1290"/>
        <item x="844"/>
        <item x="766"/>
        <item x="484"/>
        <item x="1124"/>
        <item x="1460"/>
        <item x="879"/>
        <item x="556"/>
        <item x="1141"/>
        <item x="1280"/>
        <item x="278"/>
        <item x="94"/>
        <item x="1093"/>
        <item x="43"/>
        <item x="268"/>
        <item x="860"/>
        <item x="996"/>
        <item x="1049"/>
        <item x="509"/>
        <item x="421"/>
        <item x="131"/>
        <item x="104"/>
        <item x="621"/>
        <item x="282"/>
        <item x="585"/>
        <item x="1458"/>
        <item x="157"/>
        <item x="913"/>
        <item x="329"/>
        <item x="783"/>
        <item x="551"/>
        <item x="49"/>
        <item x="263"/>
        <item x="584"/>
        <item x="343"/>
        <item x="845"/>
        <item x="167"/>
        <item x="1383"/>
        <item x="669"/>
        <item x="876"/>
        <item x="1394"/>
        <item x="1249"/>
        <item x="683"/>
        <item x="74"/>
        <item x="145"/>
        <item x="1219"/>
        <item x="60"/>
        <item x="488"/>
        <item x="1327"/>
        <item x="356"/>
        <item x="995"/>
        <item x="71"/>
        <item x="59"/>
        <item x="752"/>
        <item x="557"/>
        <item x="542"/>
        <item x="101"/>
        <item x="958"/>
        <item x="1481"/>
        <item x="180"/>
        <item t="default"/>
      </items>
    </pivotField>
    <pivotField showAll="0">
      <items count="8">
        <item x="0"/>
        <item x="1"/>
        <item x="5"/>
        <item x="2"/>
        <item x="4"/>
        <item x="6"/>
        <item x="3"/>
        <item t="default"/>
      </items>
    </pivotField>
    <pivotField dataField="1" showAll="0">
      <items count="7">
        <item x="2"/>
        <item x="4"/>
        <item x="0"/>
        <item x="3"/>
        <item x="1"/>
        <item x="5"/>
        <item t="default"/>
      </items>
    </pivotField>
    <pivotField axis="axisRow" showAll="0">
      <items count="5">
        <item x="0"/>
        <item x="1"/>
        <item x="3"/>
        <item x="2"/>
        <item t="default"/>
      </items>
    </pivotField>
    <pivotField showAll="0"/>
    <pivotField numFmtId="14" showAll="0"/>
    <pivotField numFmtId="14" showAll="0"/>
    <pivotField showAll="0"/>
    <pivotField showAll="0"/>
    <pivotField showAll="0">
      <items count="6">
        <item x="1"/>
        <item x="2"/>
        <item x="0"/>
        <item x="4"/>
        <item x="3"/>
        <item t="default"/>
      </items>
    </pivotField>
    <pivotField showAll="0"/>
  </pivotFields>
  <rowFields count="1">
    <field x="4"/>
  </rowFields>
  <rowItems count="5">
    <i>
      <x/>
    </i>
    <i>
      <x v="1"/>
    </i>
    <i>
      <x v="2"/>
    </i>
    <i>
      <x v="3"/>
    </i>
    <i t="grand">
      <x/>
    </i>
  </rowItems>
  <colItems count="1">
    <i/>
  </colItems>
  <dataFields count="1">
    <dataField name="Count of Project_Name" fld="3"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8964E3-1D1D-4E04-82F7-67F336BDABF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items count="5">
        <item x="0"/>
        <item x="1"/>
        <item x="3"/>
        <item x="2"/>
        <item t="default"/>
      </items>
    </pivotField>
    <pivotField showAll="0"/>
    <pivotField numFmtId="14" showAll="0"/>
    <pivotField numFmtId="14" showAll="0"/>
    <pivotField showAll="0"/>
    <pivotField showAll="0"/>
    <pivotField axis="axisRow" dataField="1" showAll="0">
      <items count="6">
        <item x="1"/>
        <item x="2"/>
        <item x="0"/>
        <item x="4"/>
        <item x="3"/>
        <item t="default"/>
      </items>
    </pivotField>
    <pivotField showAll="0"/>
  </pivotFields>
  <rowFields count="1">
    <field x="10"/>
  </rowFields>
  <rowItems count="6">
    <i>
      <x/>
    </i>
    <i>
      <x v="1"/>
    </i>
    <i>
      <x v="2"/>
    </i>
    <i>
      <x v="3"/>
    </i>
    <i>
      <x v="4"/>
    </i>
    <i t="grand">
      <x/>
    </i>
  </rowItems>
  <colItems count="1">
    <i/>
  </colItems>
  <dataFields count="1">
    <dataField name="Sum of Performance_Rating" fld="10" showDataAs="percentOfTotal" baseField="10" baseItem="0" numFmtId="10"/>
  </dataFields>
  <chartFormats count="12">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 chart="3" format="9">
      <pivotArea type="data" outline="0" fieldPosition="0">
        <references count="2">
          <reference field="4294967294" count="1" selected="0">
            <x v="0"/>
          </reference>
          <reference field="10" count="1" selected="0">
            <x v="1"/>
          </reference>
        </references>
      </pivotArea>
    </chartFormat>
    <chartFormat chart="3" format="10">
      <pivotArea type="data" outline="0" fieldPosition="0">
        <references count="2">
          <reference field="4294967294" count="1" selected="0">
            <x v="0"/>
          </reference>
          <reference field="10" count="1" selected="0">
            <x v="2"/>
          </reference>
        </references>
      </pivotArea>
    </chartFormat>
    <chartFormat chart="3" format="11">
      <pivotArea type="data" outline="0" fieldPosition="0">
        <references count="2">
          <reference field="4294967294" count="1" selected="0">
            <x v="0"/>
          </reference>
          <reference field="10" count="1" selected="0">
            <x v="3"/>
          </reference>
        </references>
      </pivotArea>
    </chartFormat>
    <chartFormat chart="3" format="12">
      <pivotArea type="data" outline="0" fieldPosition="0">
        <references count="2">
          <reference field="4294967294" count="1" selected="0">
            <x v="0"/>
          </reference>
          <reference field="10" count="1" selected="0">
            <x v="4"/>
          </reference>
        </references>
      </pivotArea>
    </chartFormat>
    <chartFormat chart="1" format="6">
      <pivotArea type="data" outline="0" fieldPosition="0">
        <references count="2">
          <reference field="4294967294" count="1" selected="0">
            <x v="0"/>
          </reference>
          <reference field="10" count="1" selected="0">
            <x v="0"/>
          </reference>
        </references>
      </pivotArea>
    </chartFormat>
    <chartFormat chart="1" format="7">
      <pivotArea type="data" outline="0" fieldPosition="0">
        <references count="2">
          <reference field="4294967294" count="1" selected="0">
            <x v="0"/>
          </reference>
          <reference field="10" count="1" selected="0">
            <x v="1"/>
          </reference>
        </references>
      </pivotArea>
    </chartFormat>
    <chartFormat chart="1" format="8">
      <pivotArea type="data" outline="0" fieldPosition="0">
        <references count="2">
          <reference field="4294967294" count="1" selected="0">
            <x v="0"/>
          </reference>
          <reference field="10" count="1" selected="0">
            <x v="2"/>
          </reference>
        </references>
      </pivotArea>
    </chartFormat>
    <chartFormat chart="1" format="9">
      <pivotArea type="data" outline="0" fieldPosition="0">
        <references count="2">
          <reference field="4294967294" count="1" selected="0">
            <x v="0"/>
          </reference>
          <reference field="10" count="1" selected="0">
            <x v="3"/>
          </reference>
        </references>
      </pivotArea>
    </chartFormat>
    <chartFormat chart="1" format="10">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2C5DE0-2856-453A-8358-90B777AB96F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2">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axis="axisRow" dataField="1" showAll="0">
      <items count="5">
        <item x="0"/>
        <item x="1"/>
        <item x="3"/>
        <item x="2"/>
        <item t="default"/>
      </items>
    </pivotField>
    <pivotField showAll="0">
      <items count="1251">
        <item x="429"/>
        <item x="1060"/>
        <item x="915"/>
        <item x="1237"/>
        <item x="190"/>
        <item x="272"/>
        <item x="171"/>
        <item x="193"/>
        <item h="1" x="577"/>
        <item h="1" x="699"/>
        <item h="1" x="958"/>
        <item h="1" x="247"/>
        <item h="1" x="266"/>
        <item h="1" x="1097"/>
        <item h="1" x="689"/>
        <item h="1" x="321"/>
        <item h="1" x="1180"/>
        <item h="1" x="605"/>
        <item h="1" x="1135"/>
        <item h="1" x="460"/>
        <item h="1" x="661"/>
        <item h="1" x="74"/>
        <item h="1" x="627"/>
        <item h="1" x="653"/>
        <item h="1" x="270"/>
        <item h="1" x="459"/>
        <item h="1" x="150"/>
        <item h="1" x="584"/>
        <item h="1" x="392"/>
        <item h="1" x="556"/>
        <item h="1" x="542"/>
        <item h="1" x="886"/>
        <item h="1" x="1119"/>
        <item h="1" x="894"/>
        <item h="1" x="662"/>
        <item h="1" x="301"/>
        <item h="1" x="541"/>
        <item h="1" x="127"/>
        <item h="1" x="461"/>
        <item h="1" x="597"/>
        <item h="1" x="1122"/>
        <item h="1" x="396"/>
        <item h="1" x="119"/>
        <item h="1" x="97"/>
        <item h="1" x="183"/>
        <item h="1" x="1066"/>
        <item h="1" x="129"/>
        <item h="1" x="175"/>
        <item h="1" x="1048"/>
        <item h="1" x="223"/>
        <item h="1" x="668"/>
        <item h="1" x="972"/>
        <item h="1" x="259"/>
        <item h="1" x="1236"/>
        <item h="1" x="399"/>
        <item h="1" x="745"/>
        <item h="1" x="693"/>
        <item h="1" x="1176"/>
        <item h="1" x="273"/>
        <item h="1" x="260"/>
        <item h="1" x="401"/>
        <item h="1" x="1202"/>
        <item h="1" x="1114"/>
        <item h="1" x="826"/>
        <item h="1" x="17"/>
        <item h="1" x="985"/>
        <item h="1" x="194"/>
        <item h="1" x="55"/>
        <item h="1" x="982"/>
        <item h="1" x="85"/>
        <item h="1" x="966"/>
        <item h="1" x="146"/>
        <item h="1" x="326"/>
        <item h="1" x="505"/>
        <item h="1" x="92"/>
        <item h="1" x="524"/>
        <item h="1" x="616"/>
        <item h="1" x="231"/>
        <item h="1" x="528"/>
        <item h="1" x="296"/>
        <item h="1" x="1190"/>
        <item h="1" x="1062"/>
        <item h="1" x="518"/>
        <item h="1" x="360"/>
        <item h="1" x="379"/>
        <item h="1" x="1166"/>
        <item h="1" x="102"/>
        <item h="1" x="869"/>
        <item h="1" x="153"/>
        <item h="1" x="365"/>
        <item h="1" x="40"/>
        <item h="1" x="841"/>
        <item h="1" x="828"/>
        <item h="1" x="539"/>
        <item h="1" x="1191"/>
        <item h="1" x="663"/>
        <item h="1" x="198"/>
        <item h="1" x="959"/>
        <item h="1" x="174"/>
        <item h="1" x="225"/>
        <item h="1" x="1006"/>
        <item h="1" x="968"/>
        <item h="1" x="937"/>
        <item h="1" x="1074"/>
        <item h="1" x="667"/>
        <item h="1" x="754"/>
        <item h="1" x="1087"/>
        <item h="1" x="332"/>
        <item h="1" x="51"/>
        <item h="1" x="786"/>
        <item h="1" x="446"/>
        <item h="1" x="468"/>
        <item h="1" x="546"/>
        <item h="1" x="356"/>
        <item h="1" x="934"/>
        <item h="1" x="352"/>
        <item h="1" x="216"/>
        <item h="1" x="1008"/>
        <item h="1" x="596"/>
        <item h="1" x="228"/>
        <item h="1" x="503"/>
        <item h="1" x="1004"/>
        <item h="1" x="620"/>
        <item h="1" x="1183"/>
        <item h="1" x="384"/>
        <item h="1" x="64"/>
        <item h="1" x="83"/>
        <item h="1" x="88"/>
        <item h="1" x="217"/>
        <item h="1" x="766"/>
        <item h="1" x="199"/>
        <item h="1" x="486"/>
        <item h="1" x="526"/>
        <item h="1" x="1052"/>
        <item h="1" x="263"/>
        <item h="1" x="35"/>
        <item h="1" x="651"/>
        <item h="1" x="1018"/>
        <item h="1" x="825"/>
        <item h="1" x="378"/>
        <item h="1" x="94"/>
        <item h="1" x="226"/>
        <item h="1" x="907"/>
        <item h="1" x="162"/>
        <item h="1" x="1042"/>
        <item h="1" x="765"/>
        <item h="1" x="527"/>
        <item h="1" x="764"/>
        <item h="1" x="303"/>
        <item h="1" x="942"/>
        <item h="1" x="78"/>
        <item h="1" x="697"/>
        <item h="1" x="830"/>
        <item h="1" x="441"/>
        <item h="1" x="480"/>
        <item h="1" x="147"/>
        <item h="1" x="960"/>
        <item h="1" x="903"/>
        <item h="1" x="654"/>
        <item h="1" x="394"/>
        <item h="1" x="170"/>
        <item h="1" x="424"/>
        <item h="1" x="578"/>
        <item h="1" x="87"/>
        <item h="1" x="105"/>
        <item h="1" x="1118"/>
        <item h="1" x="769"/>
        <item h="1" x="192"/>
        <item h="1" x="60"/>
        <item h="1" x="322"/>
        <item h="1" x="1235"/>
        <item h="1" x="373"/>
        <item h="1" x="43"/>
        <item h="1" x="248"/>
        <item h="1" x="91"/>
        <item h="1" x="1210"/>
        <item h="1" x="414"/>
        <item h="1" x="506"/>
        <item h="1" x="408"/>
        <item h="1" x="1204"/>
        <item h="1" x="640"/>
        <item h="1" x="137"/>
        <item h="1" x="465"/>
        <item h="1" x="214"/>
        <item h="1" x="291"/>
        <item h="1" x="955"/>
        <item h="1" x="1007"/>
        <item h="1" x="334"/>
        <item h="1" x="522"/>
        <item h="1" x="380"/>
        <item h="1" x="335"/>
        <item h="1" x="233"/>
        <item h="1" x="938"/>
        <item h="1" x="442"/>
        <item h="1" x="34"/>
        <item h="1" x="913"/>
        <item h="1" x="680"/>
        <item h="1" x="421"/>
        <item h="1" x="1032"/>
        <item h="1" x="66"/>
        <item h="1" x="538"/>
        <item h="1" x="1143"/>
        <item h="1" x="924"/>
        <item h="1" x="643"/>
        <item h="1" x="912"/>
        <item h="1" x="1150"/>
        <item h="1" x="604"/>
        <item h="1" x="1186"/>
        <item h="1" x="33"/>
        <item h="1" x="1188"/>
        <item h="1" x="897"/>
        <item h="1" x="848"/>
        <item h="1" x="861"/>
        <item h="1" x="400"/>
        <item h="1" x="1159"/>
        <item h="1" x="593"/>
        <item h="1" x="1016"/>
        <item h="1" x="84"/>
        <item h="1" x="571"/>
        <item h="1" x="1199"/>
        <item h="1" x="351"/>
        <item h="1" x="348"/>
        <item h="1" x="346"/>
        <item h="1" x="158"/>
        <item h="1" x="1111"/>
        <item h="1" x="706"/>
        <item h="1" x="545"/>
        <item h="1" x="118"/>
        <item h="1" x="712"/>
        <item h="1" x="75"/>
        <item h="1" x="851"/>
        <item h="1" x="678"/>
        <item h="1" x="388"/>
        <item h="1" x="775"/>
        <item h="1" x="491"/>
        <item h="1" x="20"/>
        <item h="1" x="15"/>
        <item h="1" x="1021"/>
        <item h="1" x="813"/>
        <item h="1" x="1047"/>
        <item h="1" x="800"/>
        <item h="1" x="642"/>
        <item h="1" x="860"/>
        <item h="1" x="684"/>
        <item h="1" x="274"/>
        <item h="1" x="316"/>
        <item h="1" x="1012"/>
        <item h="1" x="337"/>
        <item h="1" x="573"/>
        <item h="1" x="691"/>
        <item h="1" x="203"/>
        <item h="1" x="1151"/>
        <item h="1" x="244"/>
        <item h="1" x="120"/>
        <item h="1" x="838"/>
        <item h="1" x="169"/>
        <item h="1" x="1037"/>
        <item h="1" x="1160"/>
        <item h="1" x="779"/>
        <item h="1" x="1208"/>
        <item h="1" x="935"/>
        <item h="1" x="711"/>
        <item h="1" x="307"/>
        <item h="1" x="803"/>
        <item h="1" x="635"/>
        <item h="1" x="1102"/>
        <item h="1" x="1179"/>
        <item h="1" x="1110"/>
        <item h="1" x="431"/>
        <item h="1" x="206"/>
        <item h="1" x="658"/>
        <item h="1" x="862"/>
        <item h="1" x="403"/>
        <item h="1" x="1141"/>
        <item h="1" x="1227"/>
        <item h="1" x="887"/>
        <item h="1" x="721"/>
        <item h="1" x="536"/>
        <item h="1" x="398"/>
        <item h="1" x="54"/>
        <item h="1" x="1238"/>
        <item h="1" x="879"/>
        <item h="1" x="1154"/>
        <item h="1" x="318"/>
        <item h="1" x="1104"/>
        <item h="1" x="218"/>
        <item h="1" x="777"/>
        <item h="1" x="1193"/>
        <item h="1" x="853"/>
        <item h="1" x="48"/>
        <item h="1" x="419"/>
        <item h="1" x="499"/>
        <item h="1" x="42"/>
        <item h="1" x="558"/>
        <item h="1" x="1207"/>
        <item h="1" x="180"/>
        <item h="1" x="241"/>
        <item h="1" x="619"/>
        <item h="1" x="703"/>
        <item h="1" x="139"/>
        <item h="1" x="540"/>
        <item h="1" x="135"/>
        <item h="1" x="845"/>
        <item h="1" x="482"/>
        <item h="1" x="382"/>
        <item h="1" x="411"/>
        <item h="1" x="327"/>
        <item h="1" x="406"/>
        <item h="1" x="390"/>
        <item h="1" x="99"/>
        <item h="1" x="156"/>
        <item h="1" x="759"/>
        <item h="1" x="738"/>
        <item h="1" x="628"/>
        <item h="1" x="770"/>
        <item h="1" x="427"/>
        <item h="1" x="747"/>
        <item h="1" x="787"/>
        <item h="1" x="755"/>
        <item h="1" x="513"/>
        <item h="1" x="1017"/>
        <item h="1" x="607"/>
        <item h="1" x="173"/>
        <item h="1" x="720"/>
        <item h="1" x="329"/>
        <item h="1" x="867"/>
        <item h="1" x="1028"/>
        <item h="1" x="1121"/>
        <item h="1" x="928"/>
        <item h="1" x="294"/>
        <item h="1" x="698"/>
        <item h="1" x="1011"/>
        <item h="1" x="797"/>
        <item h="1" x="633"/>
        <item h="1" x="1072"/>
        <item h="1" x="728"/>
        <item h="1" x="205"/>
        <item h="1" x="111"/>
        <item h="1" x="1219"/>
        <item h="1" x="947"/>
        <item h="1" x="782"/>
        <item h="1" x="268"/>
        <item h="1" x="632"/>
        <item h="1" x="1130"/>
        <item h="1" x="287"/>
        <item h="1" x="1163"/>
        <item h="1" x="345"/>
        <item h="1" x="1123"/>
        <item h="1" x="1043"/>
        <item h="1" x="28"/>
        <item h="1" x="1145"/>
        <item h="1" x="1205"/>
        <item h="1" x="602"/>
        <item h="1" x="1080"/>
        <item h="1" x="50"/>
        <item h="1" x="989"/>
        <item h="1" x="1030"/>
        <item h="1" x="1196"/>
        <item h="1" x="132"/>
        <item h="1" x="986"/>
        <item h="1" x="864"/>
        <item h="1" x="1027"/>
        <item h="1" x="45"/>
        <item h="1" x="451"/>
        <item h="1" x="962"/>
        <item h="1" x="293"/>
        <item h="1" x="719"/>
        <item h="1" x="585"/>
        <item h="1" x="243"/>
        <item h="1" x="586"/>
        <item h="1" x="1241"/>
        <item h="1" x="1108"/>
        <item h="1" x="580"/>
        <item h="1" x="637"/>
        <item h="1" x="648"/>
        <item h="1" x="1221"/>
        <item h="1" x="1085"/>
        <item h="1" x="68"/>
        <item h="1" x="39"/>
        <item h="1" x="537"/>
        <item h="1" x="952"/>
        <item h="1" x="659"/>
        <item h="1" x="909"/>
        <item h="1" x="292"/>
        <item h="1" x="707"/>
        <item h="1" x="979"/>
        <item h="1" x="932"/>
        <item h="1" x="1147"/>
        <item h="1" x="363"/>
        <item h="1" x="416"/>
        <item h="1" x="1093"/>
        <item h="1" x="730"/>
        <item h="1" x="58"/>
        <item h="1" x="136"/>
        <item h="1" x="793"/>
        <item h="1" x="516"/>
        <item h="1" x="514"/>
        <item h="1" x="1206"/>
        <item h="1" x="1044"/>
        <item h="1" x="878"/>
        <item h="1" x="452"/>
        <item h="1" x="220"/>
        <item h="1" x="1053"/>
        <item h="1" x="854"/>
        <item h="1" x="998"/>
        <item h="1" x="457"/>
        <item h="1" x="696"/>
        <item h="1" x="796"/>
        <item h="1" x="471"/>
        <item h="1" x="1088"/>
        <item h="1" x="313"/>
        <item h="1" x="561"/>
        <item h="1" x="246"/>
        <item h="1" x="18"/>
        <item h="1" x="819"/>
        <item h="1" x="1045"/>
        <item h="1" x="1249"/>
        <item h="1" x="976"/>
        <item h="1" x="101"/>
        <item h="1" x="383"/>
        <item h="1" x="1084"/>
        <item h="1" x="914"/>
        <item h="1" x="583"/>
        <item h="1" x="256"/>
        <item h="1" x="443"/>
        <item h="1" x="688"/>
        <item h="1" x="650"/>
        <item h="1" x="685"/>
        <item h="1" x="700"/>
        <item h="1" x="885"/>
        <item h="1" x="904"/>
        <item h="1" x="359"/>
        <item h="1" x="347"/>
        <item h="1" x="569"/>
        <item h="1" x="1224"/>
        <item h="1" x="485"/>
        <item h="1" x="1059"/>
        <item h="1" x="349"/>
        <item h="1" x="152"/>
        <item h="1" x="151"/>
        <item h="1" x="304"/>
        <item h="1" x="61"/>
        <item h="1" x="1155"/>
        <item h="1" x="594"/>
        <item h="1" x="601"/>
        <item h="1" x="944"/>
        <item h="1" x="1046"/>
        <item h="1" x="154"/>
        <item h="1" x="1158"/>
        <item h="1" x="629"/>
        <item h="1" x="336"/>
        <item h="1" x="447"/>
        <item h="1" x="1185"/>
        <item h="1" x="311"/>
        <item h="1" x="496"/>
        <item h="1" x="820"/>
        <item h="1" x="639"/>
        <item h="1" x="1182"/>
        <item h="1" x="176"/>
        <item h="1" x="1133"/>
        <item h="1" x="148"/>
        <item h="1" x="931"/>
        <item h="1" x="981"/>
        <item h="1" x="940"/>
        <item h="1" x="155"/>
        <item h="1" x="412"/>
        <item h="1" x="612"/>
        <item h="1" x="467"/>
        <item h="1" x="995"/>
        <item h="1" x="784"/>
        <item h="1" x="410"/>
        <item h="1" x="76"/>
        <item h="1" x="494"/>
        <item h="1" x="686"/>
        <item h="1" x="397"/>
        <item h="1" x="806"/>
        <item h="1" x="320"/>
        <item h="1" x="881"/>
        <item h="1" x="587"/>
        <item h="1" x="22"/>
        <item h="1" x="285"/>
        <item h="1" x="130"/>
        <item h="1" x="402"/>
        <item h="1" x="280"/>
        <item h="1" x="476"/>
        <item h="1" x="547"/>
        <item h="1" x="2"/>
        <item h="1" x="941"/>
        <item h="1" x="168"/>
        <item h="1" x="574"/>
        <item h="1" x="1192"/>
        <item h="1" x="621"/>
        <item h="1" x="52"/>
        <item h="1" x="761"/>
        <item h="1" x="1228"/>
        <item h="1" x="1113"/>
        <item h="1" x="964"/>
        <item h="1" x="815"/>
        <item h="1" x="1015"/>
        <item h="1" x="1086"/>
        <item h="1" x="741"/>
        <item h="1" x="984"/>
        <item h="1" x="953"/>
        <item h="1" x="923"/>
        <item h="1" x="1231"/>
        <item h="1" x="722"/>
        <item h="1" x="781"/>
        <item h="1" x="1200"/>
        <item h="1" x="463"/>
        <item h="1" x="238"/>
        <item h="1" x="107"/>
        <item h="1" x="929"/>
        <item h="1" x="676"/>
        <item h="1" x="625"/>
        <item h="1" x="549"/>
        <item h="1" x="1013"/>
        <item h="1" x="212"/>
        <item h="1" x="224"/>
        <item h="1" x="926"/>
        <item h="1" x="843"/>
        <item h="1" x="615"/>
        <item h="1" x="948"/>
        <item h="1" x="1061"/>
        <item h="1" x="1164"/>
        <item h="1" x="898"/>
        <item h="1" x="521"/>
        <item h="1" x="762"/>
        <item h="1" x="138"/>
        <item h="1" x="774"/>
        <item h="1" x="675"/>
        <item h="1" x="1129"/>
        <item h="1" x="103"/>
        <item h="1" x="1035"/>
        <item h="1" x="799"/>
        <item h="1" x="302"/>
        <item h="1" x="950"/>
        <item h="1" x="713"/>
        <item h="1" x="6"/>
        <item h="1" x="875"/>
        <item h="1" x="333"/>
        <item h="1" x="1211"/>
        <item h="1" x="868"/>
        <item h="1" x="717"/>
        <item h="1" x="448"/>
        <item h="1" x="1070"/>
        <item h="1" x="1033"/>
        <item h="1" x="435"/>
        <item h="1" x="462"/>
        <item h="1" x="1178"/>
        <item h="1" x="1187"/>
        <item h="1" x="237"/>
        <item h="1" x="570"/>
        <item h="1" x="827"/>
        <item h="1" x="404"/>
        <item h="1" x="517"/>
        <item h="1" x="1040"/>
        <item h="1" x="888"/>
        <item h="1" x="454"/>
        <item h="1" x="723"/>
        <item h="1" x="956"/>
        <item h="1" x="181"/>
        <item h="1" x="413"/>
        <item h="1" x="840"/>
        <item h="1" x="916"/>
        <item h="1" x="992"/>
        <item h="1" x="892"/>
        <item h="1" x="493"/>
        <item h="1" x="752"/>
        <item h="1" x="555"/>
        <item h="1" x="533"/>
        <item h="1" x="433"/>
        <item h="1" x="652"/>
        <item h="1" x="763"/>
        <item h="1" x="386"/>
        <item h="1" x="80"/>
        <item h="1" x="670"/>
        <item h="1" x="372"/>
        <item h="1" x="656"/>
        <item h="1" x="254"/>
        <item h="1" x="1036"/>
        <item h="1" x="338"/>
        <item h="1" x="983"/>
        <item h="1" x="967"/>
        <item h="1" x="361"/>
        <item h="1" x="834"/>
        <item h="1" x="687"/>
        <item h="1" x="975"/>
        <item h="1" x="1148"/>
        <item h="1" x="1216"/>
        <item h="1" x="164"/>
        <item h="1" x="123"/>
        <item h="1" x="161"/>
        <item h="1" x="807"/>
        <item h="1" x="1026"/>
        <item h="1" x="559"/>
        <item h="1" x="197"/>
        <item h="1" x="858"/>
        <item h="1" x="895"/>
        <item h="1" x="222"/>
        <item h="1" x="117"/>
        <item h="1" x="733"/>
        <item h="1" x="497"/>
        <item h="1" x="804"/>
        <item h="1" x="710"/>
        <item h="1" x="172"/>
        <item h="1" x="969"/>
        <item h="1" x="1234"/>
        <item h="1" x="870"/>
        <item h="1" x="59"/>
        <item h="1" x="836"/>
        <item h="1" x="483"/>
        <item h="1" x="863"/>
        <item h="1" x="370"/>
        <item h="1" x="865"/>
        <item h="1" x="23"/>
        <item h="1" x="1005"/>
        <item h="1" x="3"/>
        <item h="1" x="832"/>
        <item h="1" x="1051"/>
        <item h="1" x="1146"/>
        <item h="1" x="112"/>
        <item h="1" x="876"/>
        <item h="1" x="1243"/>
        <item h="1" x="681"/>
        <item h="1" x="145"/>
        <item h="1" x="93"/>
        <item h="1" x="502"/>
        <item h="1" x="785"/>
        <item h="1" x="988"/>
        <item h="1" x="504"/>
        <item h="1" x="47"/>
        <item h="1" x="987"/>
        <item h="1" x="430"/>
        <item h="1" x="773"/>
        <item h="1" x="477"/>
        <item h="1" x="86"/>
        <item h="1" x="67"/>
        <item h="1" x="264"/>
        <item h="1" x="417"/>
        <item h="1" x="1174"/>
        <item h="1" x="980"/>
        <item h="1" x="262"/>
        <item h="1" x="694"/>
        <item h="1" x="846"/>
        <item h="1" x="842"/>
        <item h="1" x="453"/>
        <item h="1" x="829"/>
        <item h="1" x="265"/>
        <item h="1" x="234"/>
        <item h="1" x="387"/>
        <item h="1" x="1056"/>
        <item h="1" x="655"/>
        <item h="1" x="133"/>
        <item h="1" x="124"/>
        <item h="1" x="288"/>
        <item h="1" x="371"/>
        <item h="1" x="26"/>
        <item h="1" x="1095"/>
        <item h="1" x="53"/>
        <item h="1" x="532"/>
        <item h="1" x="376"/>
        <item h="1" x="660"/>
        <item h="1" x="36"/>
        <item h="1" x="801"/>
        <item h="1" x="657"/>
        <item h="1" x="65"/>
        <item h="1" x="1002"/>
        <item h="1" x="519"/>
        <item h="1" x="1247"/>
        <item h="1" x="106"/>
        <item h="1" x="474"/>
        <item h="1" x="1057"/>
        <item h="1" x="850"/>
        <item h="1" x="613"/>
        <item h="1" x="1226"/>
        <item h="1" x="458"/>
        <item h="1" x="548"/>
        <item h="1" x="495"/>
        <item h="1" x="884"/>
        <item h="1" x="1128"/>
        <item h="1" x="258"/>
        <item h="1" x="664"/>
        <item h="1" x="757"/>
        <item h="1" x="753"/>
        <item h="1" x="187"/>
        <item h="1" x="1112"/>
        <item h="1" x="859"/>
        <item h="1" x="439"/>
        <item h="1" x="902"/>
        <item h="1" x="922"/>
        <item h="1" x="716"/>
        <item h="1" x="7"/>
        <item h="1" x="1091"/>
        <item h="1" x="343"/>
        <item h="1" x="1019"/>
        <item h="1" x="163"/>
        <item h="1" x="1076"/>
        <item h="1" x="182"/>
        <item h="1" x="1096"/>
        <item h="1" x="420"/>
        <item h="1" x="481"/>
        <item h="1" x="791"/>
        <item h="1" x="758"/>
        <item h="1" x="196"/>
        <item h="1" x="1124"/>
        <item h="1" x="1157"/>
        <item h="1" x="213"/>
        <item h="1" x="29"/>
        <item h="1" x="115"/>
        <item h="1" x="8"/>
        <item h="1" x="1162"/>
        <item h="1" x="692"/>
        <item h="1" x="1014"/>
        <item h="1" x="253"/>
        <item h="1" x="855"/>
        <item h="1" x="1139"/>
        <item h="1" x="1069"/>
        <item h="1" x="768"/>
        <item h="1" x="209"/>
        <item h="1" x="25"/>
        <item h="1" x="535"/>
        <item h="1" x="734"/>
        <item h="1" x="1077"/>
        <item h="1" x="195"/>
        <item h="1" x="96"/>
        <item h="1" x="282"/>
        <item h="1" x="739"/>
        <item h="1" x="551"/>
        <item h="1" x="1058"/>
        <item h="1" x="554"/>
        <item h="1" x="1020"/>
        <item h="1" x="725"/>
        <item h="1" x="818"/>
        <item h="1" x="649"/>
        <item h="1" x="104"/>
        <item h="1" x="121"/>
        <item h="1" x="618"/>
        <item h="1" x="997"/>
        <item h="1" x="215"/>
        <item h="1" x="674"/>
        <item h="1" x="905"/>
        <item h="1" x="77"/>
        <item h="1" x="1023"/>
        <item h="1" x="157"/>
        <item h="1" x="746"/>
        <item h="1" x="682"/>
        <item h="1" x="566"/>
        <item h="1" x="936"/>
        <item h="1" x="724"/>
        <item h="1" x="445"/>
        <item h="1" x="1079"/>
        <item h="1" x="727"/>
        <item h="1" x="221"/>
        <item h="1" x="27"/>
        <item h="1" x="1065"/>
        <item h="1" x="487"/>
        <item h="1" x="805"/>
        <item h="1" x="1194"/>
        <item h="1" x="249"/>
        <item h="1" x="479"/>
        <item h="1" x="973"/>
        <item h="1" x="1101"/>
        <item h="1" x="1230"/>
        <item h="1" x="771"/>
        <item h="1" x="736"/>
        <item h="1" x="73"/>
        <item h="1" x="418"/>
        <item h="1" x="484"/>
        <item h="1" x="473"/>
        <item h="1" x="530"/>
        <item h="1" x="847"/>
        <item h="1" x="438"/>
        <item h="1" x="229"/>
        <item h="1" x="1229"/>
        <item h="1" x="428"/>
        <item h="1" x="464"/>
        <item h="1" x="57"/>
        <item h="1" x="965"/>
        <item h="1" x="1073"/>
        <item h="1" x="366"/>
        <item h="1" x="449"/>
        <item h="1" x="1029"/>
        <item h="1" x="611"/>
        <item h="1" x="822"/>
        <item h="1" x="792"/>
        <item h="1" x="817"/>
        <item h="1" x="1242"/>
        <item h="1" x="925"/>
        <item h="1" x="623"/>
        <item h="1" x="581"/>
        <item h="1" x="297"/>
        <item h="1" x="579"/>
        <item h="1" x="1109"/>
        <item h="1" x="1089"/>
        <item h="1" x="440"/>
        <item h="1" x="695"/>
        <item h="1" x="46"/>
        <item h="1" x="552"/>
        <item h="1" x="1127"/>
        <item h="1" x="920"/>
        <item h="1" x="358"/>
        <item h="1" x="189"/>
        <item h="1" x="98"/>
        <item h="1" x="1120"/>
        <item h="1" x="323"/>
        <item h="1" x="893"/>
        <item h="1" x="9"/>
        <item h="1" x="1156"/>
        <item h="1" x="1149"/>
        <item h="1" x="236"/>
        <item h="1" x="991"/>
        <item h="1" x="277"/>
        <item h="1" x="1233"/>
        <item h="1" x="44"/>
        <item h="1" x="251"/>
        <item h="1" x="1064"/>
        <item h="1" x="1003"/>
        <item h="1" x="553"/>
        <item h="1" x="261"/>
        <item h="1" x="208"/>
        <item h="1" x="683"/>
        <item h="1" x="622"/>
        <item h="1" x="701"/>
        <item h="1" x="1240"/>
        <item h="1" x="1172"/>
        <item h="1" x="128"/>
        <item h="1" x="835"/>
        <item h="1" x="760"/>
        <item h="1" x="671"/>
        <item h="1" x="882"/>
        <item h="1" x="82"/>
        <item h="1" x="824"/>
        <item h="1" x="11"/>
        <item h="1" x="310"/>
        <item h="1" x="588"/>
        <item h="1" x="515"/>
        <item h="1" x="219"/>
        <item h="1" x="281"/>
        <item h="1" x="1218"/>
        <item h="1" x="776"/>
        <item h="1" x="507"/>
        <item h="1" x="391"/>
        <item h="1" x="993"/>
        <item h="1" x="122"/>
        <item h="1" x="437"/>
        <item h="1" x="531"/>
        <item h="1" x="227"/>
        <item h="1" x="426"/>
        <item h="1" x="1117"/>
        <item h="1" x="933"/>
        <item h="1" x="930"/>
        <item h="1" x="512"/>
        <item h="1" x="166"/>
        <item h="1" x="1050"/>
        <item h="1" x="211"/>
        <item h="1" x="1078"/>
        <item h="1" x="1067"/>
        <item h="1" x="230"/>
        <item h="1" x="328"/>
        <item h="1" x="617"/>
        <item h="1" x="1075"/>
        <item h="1" x="250"/>
        <item h="1" x="939"/>
        <item h="1" x="300"/>
        <item h="1" x="134"/>
        <item h="1" x="943"/>
        <item h="1" x="186"/>
        <item h="1" x="788"/>
        <item h="1" x="1175"/>
        <item h="1" x="732"/>
        <item h="1" x="501"/>
        <item h="1" x="1137"/>
        <item h="1" x="1136"/>
        <item h="1" x="614"/>
        <item h="1" x="856"/>
        <item h="1" x="257"/>
        <item h="1" x="1214"/>
        <item h="1" x="255"/>
        <item h="1" x="167"/>
        <item h="1" x="767"/>
        <item h="1" x="557"/>
        <item h="1" x="961"/>
        <item h="1" x="844"/>
        <item h="1" x="1106"/>
        <item h="1" x="478"/>
        <item h="1" x="492"/>
        <item h="1" x="56"/>
        <item h="1" x="520"/>
        <item h="1" x="811"/>
        <item h="1" x="1039"/>
        <item h="1" x="874"/>
        <item h="1" x="423"/>
        <item h="1" x="608"/>
        <item h="1" x="275"/>
        <item h="1" x="245"/>
        <item h="1" x="821"/>
        <item h="1" x="1009"/>
        <item h="1" x="749"/>
        <item h="1" x="1083"/>
        <item h="1" x="235"/>
        <item h="1" x="1222"/>
        <item h="1" x="1"/>
        <item h="1" x="1025"/>
        <item h="1" x="375"/>
        <item h="1" x="276"/>
        <item h="1" x="325"/>
        <item h="1" x="395"/>
        <item h="1" x="808"/>
        <item h="1" x="239"/>
        <item h="1" x="1203"/>
        <item h="1" x="200"/>
        <item h="1" x="751"/>
        <item h="1" x="21"/>
        <item h="1" x="1217"/>
        <item h="1" x="1239"/>
        <item h="1" x="100"/>
        <item h="1" x="71"/>
        <item h="1" x="1055"/>
        <item h="1" x="409"/>
        <item h="1" x="434"/>
        <item h="1" x="1100"/>
        <item h="1" x="709"/>
        <item h="1" x="319"/>
        <item h="1" x="1201"/>
        <item h="1" x="705"/>
        <item h="1" x="140"/>
        <item h="1" x="576"/>
        <item h="1" x="498"/>
        <item h="1" x="331"/>
        <item h="1" x="970"/>
        <item h="1" x="977"/>
        <item h="1" x="240"/>
        <item h="1" x="41"/>
        <item h="1" x="355"/>
        <item h="1" x="677"/>
        <item h="1" x="116"/>
        <item h="1" x="1246"/>
        <item h="1" x="726"/>
        <item h="1" x="364"/>
        <item h="1" x="729"/>
        <item h="1" x="456"/>
        <item h="1" x="911"/>
        <item h="1" x="1248"/>
        <item h="1" x="945"/>
        <item h="1" x="271"/>
        <item h="1" x="1161"/>
        <item h="1" x="568"/>
        <item h="1" x="330"/>
        <item h="1" x="534"/>
        <item h="1" x="16"/>
        <item h="1" x="646"/>
        <item h="1" x="748"/>
        <item h="1" x="314"/>
        <item h="1" x="1098"/>
        <item h="1" x="890"/>
        <item h="1" x="949"/>
        <item h="1" x="889"/>
        <item h="1" x="279"/>
        <item h="1" x="72"/>
        <item h="1" x="350"/>
        <item h="1" x="550"/>
        <item h="1" x="470"/>
        <item h="1" x="232"/>
        <item h="1" x="207"/>
        <item h="1" x="143"/>
        <item h="1" x="1223"/>
        <item h="1" x="917"/>
        <item h="1" x="1225"/>
        <item h="1" x="994"/>
        <item h="1" x="315"/>
        <item h="1" x="957"/>
        <item h="1" x="30"/>
        <item h="1" x="202"/>
        <item h="1" x="595"/>
        <item h="1" x="1173"/>
        <item h="1" x="0"/>
        <item h="1" x="242"/>
        <item h="1" x="1245"/>
        <item h="1" x="756"/>
        <item h="1" x="63"/>
        <item h="1" x="543"/>
        <item h="1" x="32"/>
        <item h="1" x="708"/>
        <item h="1" x="1131"/>
        <item h="1" x="872"/>
        <item h="1" x="317"/>
        <item h="1" x="1215"/>
        <item h="1" x="1031"/>
        <item h="1" x="385"/>
        <item h="1" x="70"/>
        <item h="1" x="14"/>
        <item h="1" x="295"/>
        <item h="1" x="324"/>
        <item h="1" x="798"/>
        <item h="1" x="718"/>
        <item h="1" x="455"/>
        <item h="1" x="849"/>
        <item h="1" x="996"/>
        <item h="1" x="141"/>
        <item h="1" x="802"/>
        <item h="1" x="1099"/>
        <item h="1" x="144"/>
        <item h="1" x="999"/>
        <item h="1" x="1105"/>
        <item h="1" x="780"/>
        <item h="1" x="1168"/>
        <item h="1" x="1000"/>
        <item h="1" x="1068"/>
        <item h="1" x="353"/>
        <item h="1" x="591"/>
        <item h="1" x="142"/>
        <item h="1" x="10"/>
        <item h="1" x="562"/>
        <item h="1" x="306"/>
        <item h="1" x="715"/>
        <item h="1" x="95"/>
        <item h="1" x="852"/>
        <item h="1" x="565"/>
        <item h="1" x="37"/>
        <item h="1" x="610"/>
        <item h="1" x="871"/>
        <item h="1" x="644"/>
        <item h="1" x="963"/>
        <item h="1" x="600"/>
        <item h="1" x="90"/>
        <item h="1" x="1140"/>
        <item h="1" x="381"/>
        <item h="1" x="436"/>
        <item h="1" x="510"/>
        <item h="1" x="210"/>
        <item h="1" x="666"/>
        <item h="1" x="283"/>
        <item h="1" x="704"/>
        <item h="1" x="740"/>
        <item h="1" x="927"/>
        <item h="1" x="1220"/>
        <item h="1" x="341"/>
        <item h="1" x="609"/>
        <item h="1" x="312"/>
        <item h="1" x="362"/>
        <item h="1" x="1126"/>
        <item h="1" x="1152"/>
        <item h="1" x="1212"/>
        <item h="1" x="816"/>
        <item h="1" x="1132"/>
        <item h="1" x="810"/>
        <item h="1" x="425"/>
        <item h="1" x="1142"/>
        <item h="1" x="62"/>
        <item h="1" x="1081"/>
        <item h="1" x="278"/>
        <item h="1" x="1198"/>
        <item h="1" x="839"/>
        <item h="1" x="906"/>
        <item h="1" x="368"/>
        <item h="1" x="179"/>
        <item h="1" x="921"/>
        <item h="1" x="5"/>
        <item h="1" x="589"/>
        <item h="1" x="833"/>
        <item h="1" x="563"/>
        <item h="1" x="1144"/>
        <item h="1" x="159"/>
        <item h="1" x="750"/>
        <item h="1" x="284"/>
        <item h="1" x="369"/>
        <item h="1" x="1022"/>
        <item h="1" x="590"/>
        <item h="1" x="4"/>
        <item h="1" x="582"/>
        <item h="1" x="1138"/>
        <item h="1" x="19"/>
        <item h="1" x="12"/>
        <item h="1" x="1107"/>
        <item h="1" x="188"/>
        <item h="1" x="79"/>
        <item h="1" x="564"/>
        <item h="1" x="1116"/>
        <item h="1" x="89"/>
        <item h="1" x="669"/>
        <item h="1" x="900"/>
        <item h="1" x="544"/>
        <item h="1" x="405"/>
        <item h="1" x="1054"/>
        <item h="1" x="772"/>
        <item h="1" x="702"/>
        <item h="1" x="201"/>
        <item h="1" x="672"/>
        <item h="1" x="389"/>
        <item h="1" x="673"/>
        <item h="1" x="896"/>
        <item h="1" x="1169"/>
        <item h="1" x="374"/>
        <item h="1" x="1232"/>
        <item h="1" x="918"/>
        <item h="1" x="1184"/>
        <item h="1" x="1049"/>
        <item h="1" x="744"/>
        <item h="1" x="946"/>
        <item h="1" x="422"/>
        <item h="1" x="1010"/>
        <item h="1" x="309"/>
        <item h="1" x="354"/>
        <item h="1" x="109"/>
        <item h="1" x="49"/>
        <item h="1" x="1197"/>
        <item h="1" x="857"/>
        <item h="1" x="165"/>
        <item h="1" x="299"/>
        <item h="1" x="647"/>
        <item h="1" x="606"/>
        <item h="1" x="13"/>
        <item h="1" x="1165"/>
        <item h="1" x="714"/>
        <item h="1" x="631"/>
        <item h="1" x="184"/>
        <item h="1" x="377"/>
        <item h="1" x="529"/>
        <item h="1" x="114"/>
        <item h="1" x="342"/>
        <item h="1" x="1001"/>
        <item h="1" x="1170"/>
        <item h="1" x="415"/>
        <item h="1" x="160"/>
        <item h="1" x="624"/>
        <item h="1" x="978"/>
        <item h="1" x="1153"/>
        <item h="1" x="31"/>
        <item h="1" x="1115"/>
        <item h="1" x="1034"/>
        <item h="1" x="357"/>
        <item h="1" x="743"/>
        <item h="1" x="1082"/>
        <item h="1" x="883"/>
        <item h="1" x="488"/>
        <item h="1" x="735"/>
        <item h="1" x="880"/>
        <item h="1" x="1038"/>
        <item h="1" x="812"/>
        <item h="1" x="525"/>
        <item h="1" x="1244"/>
        <item h="1" x="626"/>
        <item h="1" x="873"/>
        <item h="1" x="1195"/>
        <item h="1" x="185"/>
        <item h="1" x="432"/>
        <item h="1" x="450"/>
        <item h="1" x="1181"/>
        <item h="1" x="638"/>
        <item h="1" x="340"/>
        <item h="1" x="974"/>
        <item h="1" x="1209"/>
        <item h="1" x="508"/>
        <item h="1" x="81"/>
        <item h="1" x="790"/>
        <item h="1" x="178"/>
        <item h="1" x="1103"/>
        <item h="1" x="475"/>
        <item h="1" x="308"/>
        <item h="1" x="298"/>
        <item h="1" x="919"/>
        <item h="1" x="1189"/>
        <item h="1" x="1092"/>
        <item h="1" x="599"/>
        <item h="1" x="1213"/>
        <item h="1" x="407"/>
        <item h="1" x="131"/>
        <item h="1" x="466"/>
        <item h="1" x="778"/>
        <item h="1" x="191"/>
        <item h="1" x="809"/>
        <item h="1" x="789"/>
        <item h="1" x="1024"/>
        <item h="1" x="567"/>
        <item h="1" x="901"/>
        <item h="1" x="1071"/>
        <item h="1" x="831"/>
        <item h="1" x="592"/>
        <item h="1" x="393"/>
        <item h="1" x="252"/>
        <item h="1" x="1094"/>
        <item h="1" x="866"/>
        <item h="1" x="500"/>
        <item h="1" x="636"/>
        <item h="1" x="603"/>
        <item h="1" x="665"/>
        <item h="1" x="954"/>
        <item h="1" x="910"/>
        <item h="1" x="877"/>
        <item h="1" x="69"/>
        <item h="1" x="489"/>
        <item h="1" x="511"/>
        <item h="1" x="837"/>
        <item h="1" x="149"/>
        <item h="1" x="572"/>
        <item h="1" x="1177"/>
        <item h="1" x="1134"/>
        <item h="1" x="469"/>
        <item h="1" x="795"/>
        <item h="1" x="286"/>
        <item h="1" x="783"/>
        <item h="1" x="110"/>
        <item h="1" x="951"/>
        <item h="1" x="731"/>
        <item h="1" x="598"/>
        <item h="1" x="971"/>
        <item h="1" x="742"/>
        <item h="1" x="339"/>
        <item h="1" x="823"/>
        <item h="1" x="645"/>
        <item h="1" x="126"/>
        <item h="1" x="125"/>
        <item h="1" x="108"/>
        <item h="1" x="560"/>
        <item h="1" x="1090"/>
        <item h="1" x="908"/>
        <item h="1" x="1171"/>
        <item h="1" x="641"/>
        <item h="1" x="899"/>
        <item h="1" x="269"/>
        <item h="1" x="679"/>
        <item h="1" x="367"/>
        <item h="1" x="24"/>
        <item h="1" x="177"/>
        <item h="1" x="794"/>
        <item h="1" x="523"/>
        <item h="1" x="1125"/>
        <item h="1" x="737"/>
        <item h="1" x="305"/>
        <item h="1" x="630"/>
        <item h="1" x="575"/>
        <item h="1" x="634"/>
        <item h="1" x="113"/>
        <item h="1" x="814"/>
        <item h="1" x="472"/>
        <item h="1" x="690"/>
        <item h="1" x="344"/>
        <item h="1" x="1167"/>
        <item h="1" x="444"/>
        <item h="1" x="290"/>
        <item h="1" x="990"/>
        <item h="1" x="490"/>
        <item h="1" x="267"/>
        <item h="1" x="1063"/>
        <item h="1" x="289"/>
        <item h="1" x="38"/>
        <item h="1" x="204"/>
        <item h="1" x="891"/>
        <item h="1" x="1041"/>
        <item h="1" x="509"/>
        <item t="default"/>
      </items>
    </pivotField>
    <pivotField numFmtId="14" showAll="0"/>
    <pivotField numFmtId="14" showAll="0"/>
    <pivotField showAll="0"/>
    <pivotField showAll="0"/>
    <pivotField showAll="0">
      <items count="6">
        <item x="1"/>
        <item x="2"/>
        <item x="0"/>
        <item x="4"/>
        <item x="3"/>
        <item t="default"/>
      </items>
    </pivotField>
    <pivotField showAll="0">
      <items count="3">
        <item x="1"/>
        <item x="0"/>
        <item t="default"/>
      </items>
    </pivotField>
  </pivotFields>
  <rowFields count="1">
    <field x="4"/>
  </rowFields>
  <rowItems count="5">
    <i>
      <x/>
    </i>
    <i>
      <x v="1"/>
    </i>
    <i>
      <x v="2"/>
    </i>
    <i>
      <x v="3"/>
    </i>
    <i t="grand">
      <x/>
    </i>
  </rowItems>
  <colItems count="1">
    <i/>
  </colItems>
  <dataFields count="1">
    <dataField name="Count of Task_Status" fld="4" subtotal="count" showDataAs="percentOfTotal" baseField="4" baseItem="0" numFmtId="10"/>
  </dataFields>
  <chartFormats count="16">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2" format="7">
      <pivotArea type="data" outline="0" fieldPosition="0">
        <references count="2">
          <reference field="4294967294" count="1" selected="0">
            <x v="0"/>
          </reference>
          <reference field="4" count="1" selected="0">
            <x v="2"/>
          </reference>
        </references>
      </pivotArea>
    </chartFormat>
    <chartFormat chart="2" format="8">
      <pivotArea type="data" outline="0" fieldPosition="0">
        <references count="2">
          <reference field="4294967294" count="1" selected="0">
            <x v="0"/>
          </reference>
          <reference field="4" count="1" selected="0">
            <x v="3"/>
          </reference>
        </references>
      </pivotArea>
    </chartFormat>
    <chartFormat chart="2"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A593870-E31D-46F3-BB65-686288157B13}" sourceName="Department">
  <pivotTables>
    <pivotTable tabId="3" name="PivotTable1"/>
    <pivotTable tabId="4" name="PivotTable2"/>
    <pivotTable tabId="5" name="PivotTable3"/>
    <pivotTable tabId="6" name="PivotTable4"/>
    <pivotTable tabId="7" name="PivotTable5"/>
    <pivotTable tabId="8" name="PivotTable6"/>
    <pivotTable tabId="9" name="PivotTable7"/>
    <pivotTable tabId="10" name="PivotTable8"/>
    <pivotTable tabId="13" name="PivotTable9"/>
    <pivotTable tabId="14" name="PivotTable10"/>
    <pivotTable tabId="18" name="PivotTable11"/>
    <pivotTable tabId="22" name="PivotTable14"/>
    <pivotTable tabId="23" name="PivotTable15"/>
  </pivotTables>
  <data>
    <tabular pivotCacheId="147348788">
      <items count="7">
        <i x="0" s="1"/>
        <i x="1" s="1"/>
        <i x="5" s="1"/>
        <i x="2" s="1"/>
        <i x="4"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469E6329-C722-46BE-8071-4FEBA9B51EA9}" sourceName="Performance_Rating">
  <pivotTables>
    <pivotTable tabId="4" name="PivotTable2"/>
    <pivotTable tabId="3" name="PivotTable1"/>
    <pivotTable tabId="5" name="PivotTable3"/>
    <pivotTable tabId="6" name="PivotTable4"/>
    <pivotTable tabId="7" name="PivotTable5"/>
    <pivotTable tabId="8" name="PivotTable6"/>
    <pivotTable tabId="9" name="PivotTable7"/>
    <pivotTable tabId="10" name="PivotTable8"/>
    <pivotTable tabId="13" name="PivotTable9"/>
    <pivotTable tabId="14" name="PivotTable10"/>
    <pivotTable tabId="18" name="PivotTable11"/>
    <pivotTable tabId="22" name="PivotTable14"/>
    <pivotTable tabId="23" name="PivotTable15"/>
    <pivotTable tabId="25" name="PivotTable16"/>
    <pivotTable tabId="26" name="PivotTable17"/>
  </pivotTables>
  <data>
    <tabular pivotCacheId="147348788">
      <items count="5">
        <i x="1" s="1"/>
        <i x="2"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_Spent" xr10:uid="{1A30BF3C-FA90-4277-A0A2-0838DAAF566D}" sourceName="Hours_Spent">
  <pivotTables>
    <pivotTable tabId="5" name="PivotTable3"/>
    <pivotTable tabId="3" name="PivotTable1"/>
    <pivotTable tabId="4" name="PivotTable2"/>
    <pivotTable tabId="6" name="PivotTable4"/>
    <pivotTable tabId="7" name="PivotTable5"/>
    <pivotTable tabId="8" name="PivotTable6"/>
    <pivotTable tabId="9" name="PivotTable7"/>
    <pivotTable tabId="10" name="PivotTable8"/>
    <pivotTable tabId="13" name="PivotTable9"/>
    <pivotTable tabId="14" name="PivotTable10"/>
    <pivotTable tabId="18" name="PivotTable11"/>
    <pivotTable tabId="22" name="PivotTable14"/>
    <pivotTable tabId="26" name="PivotTable17"/>
  </pivotTables>
  <data>
    <tabular pivotCacheId="147348788">
      <items count="1250">
        <i x="429" s="1"/>
        <i x="1060" s="1"/>
        <i x="915" s="1"/>
        <i x="1237" s="1"/>
        <i x="190" s="1"/>
        <i x="272" s="1"/>
        <i x="171" s="1"/>
        <i x="193" s="1"/>
        <i x="577"/>
        <i x="699"/>
        <i x="958"/>
        <i x="247"/>
        <i x="266"/>
        <i x="1097"/>
        <i x="689"/>
        <i x="321"/>
        <i x="1180"/>
        <i x="605"/>
        <i x="1135"/>
        <i x="460"/>
        <i x="661"/>
        <i x="74"/>
        <i x="627"/>
        <i x="653"/>
        <i x="270"/>
        <i x="459"/>
        <i x="150"/>
        <i x="584"/>
        <i x="392"/>
        <i x="556"/>
        <i x="542"/>
        <i x="886"/>
        <i x="1119"/>
        <i x="894"/>
        <i x="662"/>
        <i x="301"/>
        <i x="541"/>
        <i x="127"/>
        <i x="461"/>
        <i x="597"/>
        <i x="1122"/>
        <i x="396"/>
        <i x="119"/>
        <i x="97"/>
        <i x="183"/>
        <i x="1066"/>
        <i x="129"/>
        <i x="175"/>
        <i x="1048"/>
        <i x="223"/>
        <i x="668"/>
        <i x="972"/>
        <i x="259"/>
        <i x="1236"/>
        <i x="399"/>
        <i x="745"/>
        <i x="693"/>
        <i x="1176"/>
        <i x="273"/>
        <i x="260"/>
        <i x="401"/>
        <i x="1202"/>
        <i x="1114"/>
        <i x="826"/>
        <i x="17"/>
        <i x="985"/>
        <i x="194"/>
        <i x="55"/>
        <i x="982"/>
        <i x="85"/>
        <i x="966"/>
        <i x="146"/>
        <i x="326"/>
        <i x="505"/>
        <i x="92"/>
        <i x="524"/>
        <i x="616"/>
        <i x="231"/>
        <i x="528"/>
        <i x="296"/>
        <i x="1190"/>
        <i x="1062"/>
        <i x="518"/>
        <i x="360"/>
        <i x="379"/>
        <i x="1166"/>
        <i x="102"/>
        <i x="869"/>
        <i x="153"/>
        <i x="365"/>
        <i x="40"/>
        <i x="841"/>
        <i x="828"/>
        <i x="539"/>
        <i x="1191"/>
        <i x="663"/>
        <i x="198"/>
        <i x="959"/>
        <i x="174"/>
        <i x="225"/>
        <i x="1006"/>
        <i x="968"/>
        <i x="937"/>
        <i x="1074"/>
        <i x="667"/>
        <i x="754"/>
        <i x="1087"/>
        <i x="332"/>
        <i x="51"/>
        <i x="786"/>
        <i x="446"/>
        <i x="468"/>
        <i x="546"/>
        <i x="356"/>
        <i x="934"/>
        <i x="352"/>
        <i x="216"/>
        <i x="1008"/>
        <i x="596"/>
        <i x="228"/>
        <i x="503"/>
        <i x="1004"/>
        <i x="620"/>
        <i x="1183"/>
        <i x="384"/>
        <i x="64"/>
        <i x="83"/>
        <i x="88"/>
        <i x="217"/>
        <i x="766"/>
        <i x="199"/>
        <i x="486"/>
        <i x="526"/>
        <i x="1052"/>
        <i x="263"/>
        <i x="35"/>
        <i x="651"/>
        <i x="1018"/>
        <i x="825"/>
        <i x="378"/>
        <i x="94"/>
        <i x="226"/>
        <i x="907"/>
        <i x="162"/>
        <i x="1042"/>
        <i x="765"/>
        <i x="527"/>
        <i x="764"/>
        <i x="303"/>
        <i x="942"/>
        <i x="78"/>
        <i x="697"/>
        <i x="830"/>
        <i x="441"/>
        <i x="480"/>
        <i x="147"/>
        <i x="960"/>
        <i x="903"/>
        <i x="654"/>
        <i x="394"/>
        <i x="170"/>
        <i x="424"/>
        <i x="578"/>
        <i x="87"/>
        <i x="105"/>
        <i x="1118"/>
        <i x="769"/>
        <i x="192"/>
        <i x="60"/>
        <i x="322"/>
        <i x="1235"/>
        <i x="373"/>
        <i x="43"/>
        <i x="248"/>
        <i x="91"/>
        <i x="1210"/>
        <i x="414"/>
        <i x="506"/>
        <i x="408"/>
        <i x="1204"/>
        <i x="640"/>
        <i x="137"/>
        <i x="465"/>
        <i x="214"/>
        <i x="291"/>
        <i x="955"/>
        <i x="1007"/>
        <i x="334"/>
        <i x="522"/>
        <i x="380"/>
        <i x="335"/>
        <i x="233"/>
        <i x="938"/>
        <i x="442"/>
        <i x="34"/>
        <i x="913"/>
        <i x="680"/>
        <i x="421"/>
        <i x="1032"/>
        <i x="66"/>
        <i x="538"/>
        <i x="1143"/>
        <i x="924"/>
        <i x="643"/>
        <i x="912"/>
        <i x="1150"/>
        <i x="604"/>
        <i x="1186"/>
        <i x="33"/>
        <i x="1188"/>
        <i x="897"/>
        <i x="848"/>
        <i x="861"/>
        <i x="400"/>
        <i x="1159"/>
        <i x="593"/>
        <i x="1016"/>
        <i x="84"/>
        <i x="571"/>
        <i x="1199"/>
        <i x="351"/>
        <i x="348"/>
        <i x="346"/>
        <i x="158"/>
        <i x="1111"/>
        <i x="706"/>
        <i x="545"/>
        <i x="118"/>
        <i x="712"/>
        <i x="75"/>
        <i x="851"/>
        <i x="678"/>
        <i x="388"/>
        <i x="775"/>
        <i x="491"/>
        <i x="20"/>
        <i x="15"/>
        <i x="1021"/>
        <i x="813"/>
        <i x="1047"/>
        <i x="800"/>
        <i x="642"/>
        <i x="860"/>
        <i x="684"/>
        <i x="274"/>
        <i x="316"/>
        <i x="1012"/>
        <i x="337"/>
        <i x="573"/>
        <i x="691"/>
        <i x="203"/>
        <i x="1151"/>
        <i x="244"/>
        <i x="120"/>
        <i x="838"/>
        <i x="169"/>
        <i x="1037"/>
        <i x="1160"/>
        <i x="779"/>
        <i x="1208"/>
        <i x="935"/>
        <i x="711"/>
        <i x="307"/>
        <i x="803"/>
        <i x="635"/>
        <i x="1102"/>
        <i x="1179"/>
        <i x="1110"/>
        <i x="431"/>
        <i x="206"/>
        <i x="658"/>
        <i x="862"/>
        <i x="403"/>
        <i x="1141"/>
        <i x="1227"/>
        <i x="887"/>
        <i x="721"/>
        <i x="536"/>
        <i x="398"/>
        <i x="54"/>
        <i x="1238"/>
        <i x="879"/>
        <i x="1154"/>
        <i x="318"/>
        <i x="1104"/>
        <i x="218"/>
        <i x="777"/>
        <i x="1193"/>
        <i x="853"/>
        <i x="48"/>
        <i x="419"/>
        <i x="499"/>
        <i x="42"/>
        <i x="558"/>
        <i x="1207"/>
        <i x="180"/>
        <i x="241"/>
        <i x="619"/>
        <i x="703"/>
        <i x="139"/>
        <i x="540"/>
        <i x="135"/>
        <i x="845"/>
        <i x="482"/>
        <i x="382"/>
        <i x="411"/>
        <i x="327"/>
        <i x="406"/>
        <i x="390"/>
        <i x="99"/>
        <i x="156"/>
        <i x="759"/>
        <i x="738"/>
        <i x="628"/>
        <i x="770"/>
        <i x="427"/>
        <i x="747"/>
        <i x="787"/>
        <i x="755"/>
        <i x="513"/>
        <i x="1017"/>
        <i x="607"/>
        <i x="173"/>
        <i x="720"/>
        <i x="329"/>
        <i x="867"/>
        <i x="1028"/>
        <i x="1121"/>
        <i x="928"/>
        <i x="294"/>
        <i x="698"/>
        <i x="1011"/>
        <i x="797"/>
        <i x="633"/>
        <i x="1072"/>
        <i x="728"/>
        <i x="205"/>
        <i x="111"/>
        <i x="1219"/>
        <i x="947"/>
        <i x="782"/>
        <i x="268"/>
        <i x="632"/>
        <i x="1130"/>
        <i x="287"/>
        <i x="1163"/>
        <i x="345"/>
        <i x="1123"/>
        <i x="1043"/>
        <i x="28"/>
        <i x="1145"/>
        <i x="1205"/>
        <i x="602"/>
        <i x="1080"/>
        <i x="50"/>
        <i x="989"/>
        <i x="1030"/>
        <i x="1196"/>
        <i x="132"/>
        <i x="986"/>
        <i x="864"/>
        <i x="1027"/>
        <i x="45"/>
        <i x="451"/>
        <i x="962"/>
        <i x="293"/>
        <i x="719"/>
        <i x="585"/>
        <i x="243"/>
        <i x="586"/>
        <i x="1241"/>
        <i x="1108"/>
        <i x="580"/>
        <i x="637"/>
        <i x="648"/>
        <i x="1221"/>
        <i x="1085"/>
        <i x="68"/>
        <i x="39"/>
        <i x="537"/>
        <i x="952"/>
        <i x="659"/>
        <i x="909"/>
        <i x="292"/>
        <i x="707"/>
        <i x="979"/>
        <i x="932"/>
        <i x="1147"/>
        <i x="363"/>
        <i x="416"/>
        <i x="1093"/>
        <i x="730"/>
        <i x="58"/>
        <i x="136"/>
        <i x="793"/>
        <i x="516"/>
        <i x="514"/>
        <i x="1206"/>
        <i x="1044"/>
        <i x="878"/>
        <i x="452"/>
        <i x="220"/>
        <i x="1053"/>
        <i x="854"/>
        <i x="998"/>
        <i x="457"/>
        <i x="696"/>
        <i x="796"/>
        <i x="471"/>
        <i x="1088"/>
        <i x="313"/>
        <i x="561"/>
        <i x="246"/>
        <i x="18"/>
        <i x="819"/>
        <i x="1045"/>
        <i x="1249"/>
        <i x="976"/>
        <i x="101"/>
        <i x="383"/>
        <i x="1084"/>
        <i x="914"/>
        <i x="583"/>
        <i x="256"/>
        <i x="443"/>
        <i x="688"/>
        <i x="650"/>
        <i x="685"/>
        <i x="700"/>
        <i x="885"/>
        <i x="904"/>
        <i x="359"/>
        <i x="347"/>
        <i x="569"/>
        <i x="1224"/>
        <i x="485"/>
        <i x="1059"/>
        <i x="349"/>
        <i x="152"/>
        <i x="151"/>
        <i x="304"/>
        <i x="61"/>
        <i x="1155"/>
        <i x="594"/>
        <i x="601"/>
        <i x="944"/>
        <i x="1046"/>
        <i x="154"/>
        <i x="1158"/>
        <i x="629"/>
        <i x="336"/>
        <i x="447"/>
        <i x="1185"/>
        <i x="311"/>
        <i x="496"/>
        <i x="820"/>
        <i x="639"/>
        <i x="1182"/>
        <i x="176"/>
        <i x="1133"/>
        <i x="148"/>
        <i x="931"/>
        <i x="981"/>
        <i x="940"/>
        <i x="155"/>
        <i x="412"/>
        <i x="612"/>
        <i x="467"/>
        <i x="995"/>
        <i x="784"/>
        <i x="410"/>
        <i x="76"/>
        <i x="494"/>
        <i x="686"/>
        <i x="397"/>
        <i x="806"/>
        <i x="320"/>
        <i x="881"/>
        <i x="587"/>
        <i x="22"/>
        <i x="285"/>
        <i x="130"/>
        <i x="402"/>
        <i x="280"/>
        <i x="476"/>
        <i x="547"/>
        <i x="2"/>
        <i x="941"/>
        <i x="168"/>
        <i x="574"/>
        <i x="1192"/>
        <i x="621"/>
        <i x="52"/>
        <i x="761"/>
        <i x="1228"/>
        <i x="1113"/>
        <i x="964"/>
        <i x="815"/>
        <i x="1015"/>
        <i x="1086"/>
        <i x="741"/>
        <i x="984"/>
        <i x="953"/>
        <i x="923"/>
        <i x="1231"/>
        <i x="722"/>
        <i x="781"/>
        <i x="1200"/>
        <i x="463"/>
        <i x="238"/>
        <i x="107"/>
        <i x="929"/>
        <i x="676"/>
        <i x="625"/>
        <i x="549"/>
        <i x="1013"/>
        <i x="212"/>
        <i x="224"/>
        <i x="926"/>
        <i x="843"/>
        <i x="615"/>
        <i x="948"/>
        <i x="1061"/>
        <i x="1164"/>
        <i x="898"/>
        <i x="521"/>
        <i x="762"/>
        <i x="138"/>
        <i x="774"/>
        <i x="675"/>
        <i x="1129"/>
        <i x="103"/>
        <i x="1035"/>
        <i x="799"/>
        <i x="302"/>
        <i x="950"/>
        <i x="713"/>
        <i x="6"/>
        <i x="875"/>
        <i x="333"/>
        <i x="1211"/>
        <i x="868"/>
        <i x="717"/>
        <i x="448"/>
        <i x="1070"/>
        <i x="1033"/>
        <i x="435"/>
        <i x="462"/>
        <i x="1178"/>
        <i x="1187"/>
        <i x="237"/>
        <i x="570"/>
        <i x="827"/>
        <i x="404"/>
        <i x="517"/>
        <i x="1040"/>
        <i x="888"/>
        <i x="454"/>
        <i x="723"/>
        <i x="956"/>
        <i x="181"/>
        <i x="413"/>
        <i x="840"/>
        <i x="916"/>
        <i x="992"/>
        <i x="892"/>
        <i x="493"/>
        <i x="752"/>
        <i x="555"/>
        <i x="533"/>
        <i x="433"/>
        <i x="652"/>
        <i x="763"/>
        <i x="386"/>
        <i x="80"/>
        <i x="670"/>
        <i x="372"/>
        <i x="656"/>
        <i x="254"/>
        <i x="1036"/>
        <i x="338"/>
        <i x="983"/>
        <i x="967"/>
        <i x="361"/>
        <i x="834"/>
        <i x="687"/>
        <i x="975"/>
        <i x="1148"/>
        <i x="1216"/>
        <i x="164"/>
        <i x="123"/>
        <i x="161"/>
        <i x="807"/>
        <i x="1026"/>
        <i x="559"/>
        <i x="197"/>
        <i x="858"/>
        <i x="895"/>
        <i x="222"/>
        <i x="117"/>
        <i x="733"/>
        <i x="497"/>
        <i x="804"/>
        <i x="710"/>
        <i x="172"/>
        <i x="969"/>
        <i x="1234"/>
        <i x="870"/>
        <i x="59"/>
        <i x="836"/>
        <i x="483"/>
        <i x="863"/>
        <i x="370"/>
        <i x="865"/>
        <i x="23"/>
        <i x="1005"/>
        <i x="3"/>
        <i x="832"/>
        <i x="1051"/>
        <i x="1146"/>
        <i x="112"/>
        <i x="876"/>
        <i x="1243"/>
        <i x="681"/>
        <i x="145"/>
        <i x="93"/>
        <i x="502"/>
        <i x="785"/>
        <i x="988"/>
        <i x="504"/>
        <i x="47"/>
        <i x="987"/>
        <i x="430"/>
        <i x="773"/>
        <i x="477"/>
        <i x="86"/>
        <i x="67"/>
        <i x="264"/>
        <i x="417"/>
        <i x="1174"/>
        <i x="980"/>
        <i x="262"/>
        <i x="694"/>
        <i x="846"/>
        <i x="842"/>
        <i x="453"/>
        <i x="829"/>
        <i x="265"/>
        <i x="234"/>
        <i x="387"/>
        <i x="1056"/>
        <i x="655"/>
        <i x="133"/>
        <i x="124"/>
        <i x="288"/>
        <i x="371"/>
        <i x="26"/>
        <i x="1095"/>
        <i x="53"/>
        <i x="532"/>
        <i x="376"/>
        <i x="660"/>
        <i x="36"/>
        <i x="801"/>
        <i x="657"/>
        <i x="65"/>
        <i x="1002"/>
        <i x="519"/>
        <i x="1247"/>
        <i x="106"/>
        <i x="474"/>
        <i x="1057"/>
        <i x="850"/>
        <i x="613"/>
        <i x="1226"/>
        <i x="458"/>
        <i x="548"/>
        <i x="495"/>
        <i x="884"/>
        <i x="1128"/>
        <i x="258"/>
        <i x="664"/>
        <i x="757"/>
        <i x="753"/>
        <i x="187"/>
        <i x="1112"/>
        <i x="859"/>
        <i x="439"/>
        <i x="902"/>
        <i x="922"/>
        <i x="716"/>
        <i x="7"/>
        <i x="1091"/>
        <i x="343"/>
        <i x="1019"/>
        <i x="163"/>
        <i x="1076"/>
        <i x="182"/>
        <i x="1096"/>
        <i x="420"/>
        <i x="481"/>
        <i x="791"/>
        <i x="758"/>
        <i x="196"/>
        <i x="1124"/>
        <i x="1157"/>
        <i x="213"/>
        <i x="29"/>
        <i x="115"/>
        <i x="8"/>
        <i x="1162"/>
        <i x="692"/>
        <i x="1014"/>
        <i x="253"/>
        <i x="855"/>
        <i x="1139"/>
        <i x="1069"/>
        <i x="768"/>
        <i x="209"/>
        <i x="25"/>
        <i x="535"/>
        <i x="734"/>
        <i x="1077"/>
        <i x="195"/>
        <i x="96"/>
        <i x="282"/>
        <i x="739"/>
        <i x="551"/>
        <i x="1058"/>
        <i x="554"/>
        <i x="1020"/>
        <i x="725"/>
        <i x="818"/>
        <i x="649"/>
        <i x="104"/>
        <i x="121"/>
        <i x="618"/>
        <i x="997"/>
        <i x="215"/>
        <i x="674"/>
        <i x="905"/>
        <i x="77"/>
        <i x="1023"/>
        <i x="157"/>
        <i x="746"/>
        <i x="682"/>
        <i x="566"/>
        <i x="936"/>
        <i x="724"/>
        <i x="445"/>
        <i x="1079"/>
        <i x="727"/>
        <i x="221"/>
        <i x="27"/>
        <i x="1065"/>
        <i x="487"/>
        <i x="805"/>
        <i x="1194"/>
        <i x="249"/>
        <i x="479"/>
        <i x="973"/>
        <i x="1101"/>
        <i x="1230"/>
        <i x="771"/>
        <i x="736"/>
        <i x="73"/>
        <i x="418"/>
        <i x="484"/>
        <i x="473"/>
        <i x="530"/>
        <i x="847"/>
        <i x="438"/>
        <i x="229"/>
        <i x="1229"/>
        <i x="428"/>
        <i x="464"/>
        <i x="57"/>
        <i x="965"/>
        <i x="1073"/>
        <i x="366"/>
        <i x="449"/>
        <i x="1029"/>
        <i x="611"/>
        <i x="822"/>
        <i x="792"/>
        <i x="817"/>
        <i x="1242"/>
        <i x="925"/>
        <i x="623"/>
        <i x="581"/>
        <i x="297"/>
        <i x="579"/>
        <i x="1109"/>
        <i x="1089"/>
        <i x="440"/>
        <i x="695"/>
        <i x="46"/>
        <i x="552"/>
        <i x="1127"/>
        <i x="920"/>
        <i x="358"/>
        <i x="189"/>
        <i x="98"/>
        <i x="1120"/>
        <i x="323"/>
        <i x="893"/>
        <i x="9"/>
        <i x="1156"/>
        <i x="1149"/>
        <i x="236"/>
        <i x="991"/>
        <i x="277"/>
        <i x="1233"/>
        <i x="44"/>
        <i x="251"/>
        <i x="1064"/>
        <i x="1003"/>
        <i x="553"/>
        <i x="261"/>
        <i x="208"/>
        <i x="683"/>
        <i x="622"/>
        <i x="701"/>
        <i x="1240"/>
        <i x="1172"/>
        <i x="128"/>
        <i x="835"/>
        <i x="760"/>
        <i x="671"/>
        <i x="882"/>
        <i x="82"/>
        <i x="824"/>
        <i x="11"/>
        <i x="310"/>
        <i x="588"/>
        <i x="515"/>
        <i x="219"/>
        <i x="281"/>
        <i x="1218"/>
        <i x="776"/>
        <i x="507"/>
        <i x="391"/>
        <i x="993"/>
        <i x="122"/>
        <i x="437"/>
        <i x="531"/>
        <i x="227"/>
        <i x="426"/>
        <i x="1117"/>
        <i x="933"/>
        <i x="930"/>
        <i x="512"/>
        <i x="166"/>
        <i x="1050"/>
        <i x="211"/>
        <i x="1078"/>
        <i x="1067"/>
        <i x="230"/>
        <i x="328"/>
        <i x="617"/>
        <i x="1075"/>
        <i x="250"/>
        <i x="939"/>
        <i x="300"/>
        <i x="134"/>
        <i x="943"/>
        <i x="186"/>
        <i x="788"/>
        <i x="1175"/>
        <i x="732"/>
        <i x="501"/>
        <i x="1137"/>
        <i x="1136"/>
        <i x="614"/>
        <i x="856"/>
        <i x="257"/>
        <i x="1214"/>
        <i x="255"/>
        <i x="167"/>
        <i x="767"/>
        <i x="557"/>
        <i x="961"/>
        <i x="844"/>
        <i x="1106"/>
        <i x="478"/>
        <i x="492"/>
        <i x="56"/>
        <i x="520"/>
        <i x="811"/>
        <i x="1039"/>
        <i x="874"/>
        <i x="423"/>
        <i x="608"/>
        <i x="275"/>
        <i x="245"/>
        <i x="821"/>
        <i x="1009"/>
        <i x="749"/>
        <i x="1083"/>
        <i x="235"/>
        <i x="1222"/>
        <i x="1"/>
        <i x="1025"/>
        <i x="375"/>
        <i x="276"/>
        <i x="325"/>
        <i x="395"/>
        <i x="808"/>
        <i x="239"/>
        <i x="1203"/>
        <i x="200"/>
        <i x="751"/>
        <i x="21"/>
        <i x="1217"/>
        <i x="1239"/>
        <i x="100"/>
        <i x="71"/>
        <i x="1055"/>
        <i x="409"/>
        <i x="434"/>
        <i x="1100"/>
        <i x="709"/>
        <i x="319"/>
        <i x="1201"/>
        <i x="705"/>
        <i x="140"/>
        <i x="576"/>
        <i x="498"/>
        <i x="331"/>
        <i x="970"/>
        <i x="977"/>
        <i x="240"/>
        <i x="41"/>
        <i x="355"/>
        <i x="677"/>
        <i x="116"/>
        <i x="1246"/>
        <i x="726"/>
        <i x="364"/>
        <i x="729"/>
        <i x="456"/>
        <i x="911"/>
        <i x="1248"/>
        <i x="945"/>
        <i x="271"/>
        <i x="1161"/>
        <i x="568"/>
        <i x="330"/>
        <i x="534"/>
        <i x="16"/>
        <i x="646"/>
        <i x="748"/>
        <i x="314"/>
        <i x="1098"/>
        <i x="890"/>
        <i x="949"/>
        <i x="889"/>
        <i x="279"/>
        <i x="72"/>
        <i x="350"/>
        <i x="550"/>
        <i x="470"/>
        <i x="232"/>
        <i x="207"/>
        <i x="143"/>
        <i x="1223"/>
        <i x="917"/>
        <i x="1225"/>
        <i x="994"/>
        <i x="315"/>
        <i x="957"/>
        <i x="30"/>
        <i x="202"/>
        <i x="595"/>
        <i x="1173"/>
        <i x="0"/>
        <i x="242"/>
        <i x="1245"/>
        <i x="756"/>
        <i x="63"/>
        <i x="543"/>
        <i x="32"/>
        <i x="708"/>
        <i x="1131"/>
        <i x="872"/>
        <i x="317"/>
        <i x="1215"/>
        <i x="1031"/>
        <i x="385"/>
        <i x="70"/>
        <i x="14"/>
        <i x="295"/>
        <i x="324"/>
        <i x="798"/>
        <i x="718"/>
        <i x="455"/>
        <i x="849"/>
        <i x="996"/>
        <i x="141"/>
        <i x="802"/>
        <i x="1099"/>
        <i x="144"/>
        <i x="999"/>
        <i x="1105"/>
        <i x="780"/>
        <i x="1168"/>
        <i x="1000"/>
        <i x="1068"/>
        <i x="353"/>
        <i x="591"/>
        <i x="142"/>
        <i x="10"/>
        <i x="562"/>
        <i x="306"/>
        <i x="715"/>
        <i x="95"/>
        <i x="852"/>
        <i x="565"/>
        <i x="37"/>
        <i x="610"/>
        <i x="871"/>
        <i x="644"/>
        <i x="963"/>
        <i x="600"/>
        <i x="90"/>
        <i x="1140"/>
        <i x="381"/>
        <i x="436"/>
        <i x="510"/>
        <i x="210"/>
        <i x="666"/>
        <i x="283"/>
        <i x="704"/>
        <i x="740"/>
        <i x="927"/>
        <i x="1220"/>
        <i x="341"/>
        <i x="609"/>
        <i x="312"/>
        <i x="362"/>
        <i x="1126"/>
        <i x="1152"/>
        <i x="1212"/>
        <i x="816"/>
        <i x="1132"/>
        <i x="810"/>
        <i x="425"/>
        <i x="1142"/>
        <i x="62"/>
        <i x="1081"/>
        <i x="278"/>
        <i x="1198"/>
        <i x="839"/>
        <i x="906"/>
        <i x="368"/>
        <i x="179"/>
        <i x="921"/>
        <i x="5"/>
        <i x="589"/>
        <i x="833"/>
        <i x="563"/>
        <i x="1144"/>
        <i x="159"/>
        <i x="750"/>
        <i x="284"/>
        <i x="369"/>
        <i x="1022"/>
        <i x="590"/>
        <i x="4"/>
        <i x="582"/>
        <i x="1138"/>
        <i x="19"/>
        <i x="12"/>
        <i x="1107"/>
        <i x="188"/>
        <i x="79"/>
        <i x="564"/>
        <i x="1116"/>
        <i x="89"/>
        <i x="669"/>
        <i x="900"/>
        <i x="544"/>
        <i x="405"/>
        <i x="1054"/>
        <i x="772"/>
        <i x="702"/>
        <i x="201"/>
        <i x="672"/>
        <i x="389"/>
        <i x="673"/>
        <i x="896"/>
        <i x="1169"/>
        <i x="374"/>
        <i x="1232"/>
        <i x="918"/>
        <i x="1184"/>
        <i x="1049"/>
        <i x="744"/>
        <i x="946"/>
        <i x="422"/>
        <i x="1010"/>
        <i x="309"/>
        <i x="354"/>
        <i x="109"/>
        <i x="49"/>
        <i x="1197"/>
        <i x="857"/>
        <i x="165"/>
        <i x="299"/>
        <i x="647"/>
        <i x="606"/>
        <i x="13"/>
        <i x="1165"/>
        <i x="714"/>
        <i x="631"/>
        <i x="184"/>
        <i x="377"/>
        <i x="529"/>
        <i x="114"/>
        <i x="342"/>
        <i x="1001"/>
        <i x="1170"/>
        <i x="415"/>
        <i x="160"/>
        <i x="624"/>
        <i x="978"/>
        <i x="1153"/>
        <i x="31"/>
        <i x="1115"/>
        <i x="1034"/>
        <i x="357"/>
        <i x="743"/>
        <i x="1082"/>
        <i x="883"/>
        <i x="488"/>
        <i x="735"/>
        <i x="880"/>
        <i x="1038"/>
        <i x="812"/>
        <i x="525"/>
        <i x="1244"/>
        <i x="626"/>
        <i x="873"/>
        <i x="1195"/>
        <i x="185"/>
        <i x="432"/>
        <i x="450"/>
        <i x="1181"/>
        <i x="638"/>
        <i x="340"/>
        <i x="974"/>
        <i x="1209"/>
        <i x="508"/>
        <i x="81"/>
        <i x="790"/>
        <i x="178"/>
        <i x="1103"/>
        <i x="475"/>
        <i x="308"/>
        <i x="298"/>
        <i x="919"/>
        <i x="1189"/>
        <i x="1092"/>
        <i x="599"/>
        <i x="1213"/>
        <i x="407"/>
        <i x="131"/>
        <i x="466"/>
        <i x="778"/>
        <i x="191"/>
        <i x="809"/>
        <i x="789"/>
        <i x="1024"/>
        <i x="567"/>
        <i x="901"/>
        <i x="1071"/>
        <i x="831"/>
        <i x="592"/>
        <i x="393"/>
        <i x="252"/>
        <i x="1094"/>
        <i x="866"/>
        <i x="500"/>
        <i x="636"/>
        <i x="603"/>
        <i x="665"/>
        <i x="954"/>
        <i x="910"/>
        <i x="877"/>
        <i x="69"/>
        <i x="489"/>
        <i x="511"/>
        <i x="837"/>
        <i x="149"/>
        <i x="572"/>
        <i x="1177"/>
        <i x="1134"/>
        <i x="469"/>
        <i x="795"/>
        <i x="286"/>
        <i x="783"/>
        <i x="110"/>
        <i x="951"/>
        <i x="731"/>
        <i x="598"/>
        <i x="971"/>
        <i x="742"/>
        <i x="339"/>
        <i x="823"/>
        <i x="645"/>
        <i x="126"/>
        <i x="125"/>
        <i x="108"/>
        <i x="560"/>
        <i x="1090"/>
        <i x="908"/>
        <i x="1171"/>
        <i x="641"/>
        <i x="899"/>
        <i x="269"/>
        <i x="679"/>
        <i x="367"/>
        <i x="24"/>
        <i x="177"/>
        <i x="794"/>
        <i x="523"/>
        <i x="1125"/>
        <i x="737"/>
        <i x="305"/>
        <i x="630"/>
        <i x="575"/>
        <i x="634"/>
        <i x="113"/>
        <i x="814"/>
        <i x="472"/>
        <i x="690"/>
        <i x="344"/>
        <i x="1167"/>
        <i x="444"/>
        <i x="290"/>
        <i x="990"/>
        <i x="490"/>
        <i x="267"/>
        <i x="1063"/>
        <i x="289"/>
        <i x="38"/>
        <i x="204"/>
        <i x="891"/>
        <i x="1041"/>
        <i x="509"/>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Status" xr10:uid="{12E980D9-2C82-41C3-B757-FCC68C0FF762}" sourceName="Task_Status">
  <pivotTables>
    <pivotTable tabId="6" name="PivotTable4"/>
    <pivotTable tabId="3" name="PivotTable1"/>
    <pivotTable tabId="4" name="PivotTable2"/>
    <pivotTable tabId="5" name="PivotTable3"/>
    <pivotTable tabId="7" name="PivotTable5"/>
    <pivotTable tabId="8" name="PivotTable6"/>
    <pivotTable tabId="9" name="PivotTable7"/>
    <pivotTable tabId="10" name="PivotTable8"/>
    <pivotTable tabId="13" name="PivotTable9"/>
    <pivotTable tabId="14" name="PivotTable10"/>
    <pivotTable tabId="18" name="PivotTable11"/>
    <pivotTable tabId="22" name="PivotTable14"/>
    <pivotTable tabId="23" name="PivotTable15"/>
    <pivotTable tabId="25" name="PivotTable16"/>
    <pivotTable tabId="26" name="PivotTable17"/>
  </pivotTables>
  <data>
    <tabular pivotCacheId="147348788">
      <items count="4">
        <i x="0" s="1"/>
        <i x="1"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ID" xr10:uid="{7FD7D487-AF5C-4A62-ADEA-49B25693D063}" sourceName="Employee_ID">
  <pivotTables>
    <pivotTable tabId="8" name="PivotTable6"/>
    <pivotTable tabId="3" name="PivotTable1"/>
    <pivotTable tabId="4" name="PivotTable2"/>
    <pivotTable tabId="5" name="PivotTable3"/>
    <pivotTable tabId="6" name="PivotTable4"/>
    <pivotTable tabId="7" name="PivotTable5"/>
    <pivotTable tabId="9" name="PivotTable7"/>
    <pivotTable tabId="10" name="PivotTable8"/>
    <pivotTable tabId="13" name="PivotTable9"/>
    <pivotTable tabId="14" name="PivotTable10"/>
    <pivotTable tabId="18" name="PivotTable11"/>
    <pivotTable tabId="22" name="PivotTable14"/>
    <pivotTable tabId="23" name="PivotTable15"/>
    <pivotTable tabId="25" name="PivotTable16"/>
    <pivotTable tabId="26" name="PivotTable17"/>
  </pivotTables>
  <data>
    <tabular pivotCacheId="147348788">
      <items count="1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 xr10:uid="{D6B8475D-9028-41AA-99E4-42F677CBA94A}" sourceName="Remote_Work">
  <pivotTables>
    <pivotTable tabId="9" name="PivotTable7"/>
    <pivotTable tabId="3" name="PivotTable1"/>
    <pivotTable tabId="4" name="PivotTable2"/>
    <pivotTable tabId="5" name="PivotTable3"/>
    <pivotTable tabId="6" name="PivotTable4"/>
    <pivotTable tabId="7" name="PivotTable5"/>
    <pivotTable tabId="8" name="PivotTable6"/>
    <pivotTable tabId="10" name="PivotTable8"/>
    <pivotTable tabId="13" name="PivotTable9"/>
    <pivotTable tabId="14" name="PivotTable10"/>
    <pivotTable tabId="18" name="PivotTable11"/>
    <pivotTable tabId="26" name="PivotTable17"/>
  </pivotTables>
  <data>
    <tabular pivotCacheId="1473487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C767F3E-22BA-4B35-B39D-418EFE7C690E}" cache="Slicer_Department" caption="Department" rowHeight="234950"/>
  <slicer name="Performance_Rating 1" xr10:uid="{B4325802-B8E7-4A9A-AF35-DE5C96A59019}" cache="Slicer_Performance_Rating" caption="Performance_Rating" rowHeight="234950"/>
  <slicer name="Hours_Spent 1" xr10:uid="{5921F728-CFC1-498A-84B2-C8050ED4832F}" cache="Slicer_Hours_Spent" caption="Hours_Spent" rowHeight="234950"/>
  <slicer name="Task_Status 1" xr10:uid="{7E0F4B6B-5E4D-44BC-AA43-A81FD78309A0}" cache="Slicer_Task_Status" caption="Task_Status" rowHeight="234950"/>
  <slicer name="Employee_ID 1" xr10:uid="{6FD59205-D433-4010-8E1D-AE59B207A581}" cache="Slicer_Employee_ID" caption="Employee_ID" rowHeight="234950"/>
  <slicer name="Remote_Work 1" xr10:uid="{FDA4CEB6-EEDC-4905-85D2-0BFA0B9E4292}" cache="Slicer_Remote_Work" caption="Remote_Work"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4339704-7CC6-41BD-BD16-8AB2208EC09B}" cache="Slicer_Department" caption="Departme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_Rating" xr10:uid="{8E8A832B-68DD-48AF-A54D-2741A998FE0E}" cache="Slicer_Performance_Rating" caption="Performance_Rating"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s_Spent" xr10:uid="{784BDDBE-96EF-461E-A7E9-2C39C1569634}" cache="Slicer_Hours_Spent" caption="Hours_Spent"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sk_Status" xr10:uid="{9078B77F-1EFA-4F10-BFFE-6FE46DD666C7}" cache="Slicer_Task_Status" caption="Task_Status"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_ID" xr10:uid="{BD21DC69-B789-4007-B167-9FDCAF571224}" cache="Slicer_Employee_ID" caption="Employee_ID"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mote_Work" xr10:uid="{5F65DFC5-175C-4BBE-B2FA-E1D51D65818D}" cache="Slicer_Remote_Work" caption="Remote_Work"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ED2B-0DBA-4EF6-A815-49886A3A8B40}">
  <dimension ref="A1:Y4"/>
  <sheetViews>
    <sheetView showGridLines="0" topLeftCell="B6" zoomScale="57" zoomScaleNormal="127" workbookViewId="0">
      <selection activeCell="J104" sqref="J104"/>
    </sheetView>
  </sheetViews>
  <sheetFormatPr defaultRowHeight="14.4" x14ac:dyDescent="0.3"/>
  <cols>
    <col min="19" max="19" width="46" customWidth="1"/>
    <col min="20" max="20" width="5.77734375" customWidth="1"/>
    <col min="21" max="25" width="8.88671875" hidden="1" customWidth="1"/>
  </cols>
  <sheetData>
    <row r="1" spans="1:23" x14ac:dyDescent="0.3">
      <c r="A1" s="5" t="s">
        <v>0</v>
      </c>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sheetData>
  <mergeCells count="1">
    <mergeCell ref="A1:W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C8900-70D9-48ED-8F4E-019243586242}">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571FC-A099-4C58-A0B6-A95DA2E3A5D2}">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54C2-2439-4F17-8491-E45DA02C2541}">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5D01-053F-4DD2-98C8-D9B6D5D5E5F8}">
  <dimension ref="A3:B10"/>
  <sheetViews>
    <sheetView workbookViewId="0">
      <selection activeCell="M3" sqref="M3"/>
    </sheetView>
  </sheetViews>
  <sheetFormatPr defaultRowHeight="14.4" x14ac:dyDescent="0.3"/>
  <cols>
    <col min="1" max="1" width="15.77734375" bestFit="1" customWidth="1"/>
    <col min="2" max="2" width="20.109375" bestFit="1" customWidth="1"/>
  </cols>
  <sheetData>
    <row r="3" spans="1:2" x14ac:dyDescent="0.3">
      <c r="A3" s="2" t="s">
        <v>4475</v>
      </c>
      <c r="B3" t="s">
        <v>4477</v>
      </c>
    </row>
    <row r="4" spans="1:2" x14ac:dyDescent="0.3">
      <c r="A4" s="3" t="s">
        <v>15</v>
      </c>
      <c r="B4">
        <v>2</v>
      </c>
    </row>
    <row r="5" spans="1:2" x14ac:dyDescent="0.3">
      <c r="A5" s="3" t="s">
        <v>64</v>
      </c>
      <c r="B5">
        <v>1</v>
      </c>
    </row>
    <row r="6" spans="1:2" x14ac:dyDescent="0.3">
      <c r="A6" s="3" t="s">
        <v>34</v>
      </c>
      <c r="B6">
        <v>1</v>
      </c>
    </row>
    <row r="7" spans="1:2" x14ac:dyDescent="0.3">
      <c r="A7" s="3" t="s">
        <v>60</v>
      </c>
      <c r="B7">
        <v>3</v>
      </c>
    </row>
    <row r="8" spans="1:2" x14ac:dyDescent="0.3">
      <c r="A8" s="3" t="s">
        <v>124</v>
      </c>
      <c r="B8">
        <v>1</v>
      </c>
    </row>
    <row r="9" spans="1:2" x14ac:dyDescent="0.3">
      <c r="A9" s="3" t="s">
        <v>47</v>
      </c>
      <c r="B9">
        <v>1</v>
      </c>
    </row>
    <row r="10" spans="1:2" x14ac:dyDescent="0.3">
      <c r="A10" s="3" t="s">
        <v>4476</v>
      </c>
      <c r="B10">
        <v>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F626-FB51-4B6D-89F8-FEDA2BB8A2F9}">
  <dimension ref="A3:B10"/>
  <sheetViews>
    <sheetView workbookViewId="0">
      <selection activeCell="B7" sqref="B7"/>
    </sheetView>
  </sheetViews>
  <sheetFormatPr defaultRowHeight="14.4" x14ac:dyDescent="0.3"/>
  <cols>
    <col min="1" max="1" width="15.77734375" bestFit="1" customWidth="1"/>
    <col min="2" max="2" width="28.21875" bestFit="1" customWidth="1"/>
  </cols>
  <sheetData>
    <row r="3" spans="1:2" x14ac:dyDescent="0.3">
      <c r="A3" s="2" t="s">
        <v>4475</v>
      </c>
      <c r="B3" t="s">
        <v>4479</v>
      </c>
    </row>
    <row r="4" spans="1:2" x14ac:dyDescent="0.3">
      <c r="A4" s="3" t="s">
        <v>15</v>
      </c>
      <c r="B4">
        <v>1</v>
      </c>
    </row>
    <row r="5" spans="1:2" x14ac:dyDescent="0.3">
      <c r="A5" s="3" t="s">
        <v>64</v>
      </c>
      <c r="B5">
        <v>1</v>
      </c>
    </row>
    <row r="6" spans="1:2" x14ac:dyDescent="0.3">
      <c r="A6" s="3" t="s">
        <v>34</v>
      </c>
      <c r="B6">
        <v>1</v>
      </c>
    </row>
    <row r="7" spans="1:2" x14ac:dyDescent="0.3">
      <c r="A7" s="3" t="s">
        <v>60</v>
      </c>
      <c r="B7">
        <v>3.6666666666666665</v>
      </c>
    </row>
    <row r="8" spans="1:2" x14ac:dyDescent="0.3">
      <c r="A8" s="3" t="s">
        <v>124</v>
      </c>
      <c r="B8">
        <v>5</v>
      </c>
    </row>
    <row r="9" spans="1:2" x14ac:dyDescent="0.3">
      <c r="A9" s="3" t="s">
        <v>47</v>
      </c>
      <c r="B9">
        <v>2</v>
      </c>
    </row>
    <row r="10" spans="1:2" x14ac:dyDescent="0.3">
      <c r="A10" s="3" t="s">
        <v>4476</v>
      </c>
      <c r="B10">
        <v>2.4444444444444446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1A96D-C3B9-49E8-BAB0-97A247D49802}">
  <dimension ref="A3:B10"/>
  <sheetViews>
    <sheetView workbookViewId="0">
      <selection activeCell="L20" sqref="L20"/>
    </sheetView>
  </sheetViews>
  <sheetFormatPr defaultRowHeight="14.4" x14ac:dyDescent="0.3"/>
  <cols>
    <col min="1" max="1" width="15.77734375" bestFit="1" customWidth="1"/>
    <col min="2" max="2" width="21.6640625" bestFit="1" customWidth="1"/>
  </cols>
  <sheetData>
    <row r="3" spans="1:2" x14ac:dyDescent="0.3">
      <c r="A3" s="2" t="s">
        <v>4475</v>
      </c>
      <c r="B3" t="s">
        <v>4480</v>
      </c>
    </row>
    <row r="4" spans="1:2" x14ac:dyDescent="0.3">
      <c r="A4" s="3" t="s">
        <v>34</v>
      </c>
      <c r="B4">
        <v>1.25</v>
      </c>
    </row>
    <row r="5" spans="1:2" x14ac:dyDescent="0.3">
      <c r="A5" s="3" t="s">
        <v>15</v>
      </c>
      <c r="B5">
        <v>1.1850000000000001</v>
      </c>
    </row>
    <row r="6" spans="1:2" x14ac:dyDescent="0.3">
      <c r="A6" s="3" t="s">
        <v>47</v>
      </c>
      <c r="B6">
        <v>1.1599999999999999</v>
      </c>
    </row>
    <row r="7" spans="1:2" x14ac:dyDescent="0.3">
      <c r="A7" s="3" t="s">
        <v>60</v>
      </c>
      <c r="B7">
        <v>1.1133333333333333</v>
      </c>
    </row>
    <row r="8" spans="1:2" x14ac:dyDescent="0.3">
      <c r="A8" s="3" t="s">
        <v>124</v>
      </c>
      <c r="B8">
        <v>1.1000000000000001</v>
      </c>
    </row>
    <row r="9" spans="1:2" x14ac:dyDescent="0.3">
      <c r="A9" s="3" t="s">
        <v>64</v>
      </c>
      <c r="B9">
        <v>1.02</v>
      </c>
    </row>
    <row r="10" spans="1:2" x14ac:dyDescent="0.3">
      <c r="A10" s="3" t="s">
        <v>4476</v>
      </c>
      <c r="B10">
        <v>1.1377777777777778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5EF12-7EC7-42CC-9547-DD3871DDD1CA}">
  <dimension ref="A3:B8"/>
  <sheetViews>
    <sheetView workbookViewId="0">
      <selection activeCell="B5" sqref="B5"/>
    </sheetView>
  </sheetViews>
  <sheetFormatPr defaultRowHeight="14.4" x14ac:dyDescent="0.3"/>
  <cols>
    <col min="1" max="1" width="12.5546875" bestFit="1" customWidth="1"/>
    <col min="2" max="2" width="19" bestFit="1" customWidth="1"/>
    <col min="3" max="1501" width="6" bestFit="1" customWidth="1"/>
    <col min="1502" max="1502" width="10.77734375" bestFit="1" customWidth="1"/>
  </cols>
  <sheetData>
    <row r="3" spans="1:2" x14ac:dyDescent="0.3">
      <c r="A3" s="2" t="s">
        <v>4475</v>
      </c>
      <c r="B3" t="s">
        <v>4481</v>
      </c>
    </row>
    <row r="4" spans="1:2" x14ac:dyDescent="0.3">
      <c r="A4" s="3" t="s">
        <v>17</v>
      </c>
      <c r="B4" s="4">
        <v>0.1111111111111111</v>
      </c>
    </row>
    <row r="5" spans="1:2" x14ac:dyDescent="0.3">
      <c r="A5" s="3" t="s">
        <v>24</v>
      </c>
      <c r="B5" s="4">
        <v>0.33333333333333331</v>
      </c>
    </row>
    <row r="6" spans="1:2" x14ac:dyDescent="0.3">
      <c r="A6" s="3" t="s">
        <v>52</v>
      </c>
      <c r="B6" s="4">
        <v>0.22222222222222221</v>
      </c>
    </row>
    <row r="7" spans="1:2" x14ac:dyDescent="0.3">
      <c r="A7" s="3" t="s">
        <v>30</v>
      </c>
      <c r="B7" s="4">
        <v>0.33333333333333331</v>
      </c>
    </row>
    <row r="8" spans="1:2" x14ac:dyDescent="0.3">
      <c r="A8" s="3" t="s">
        <v>4476</v>
      </c>
      <c r="B8"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F17A-0578-421E-931A-C5E35055F615}">
  <dimension ref="A3:B8"/>
  <sheetViews>
    <sheetView workbookViewId="0">
      <selection activeCell="B5" sqref="B5"/>
    </sheetView>
  </sheetViews>
  <sheetFormatPr defaultRowHeight="14.4" x14ac:dyDescent="0.3"/>
  <cols>
    <col min="1" max="1" width="12.5546875" bestFit="1" customWidth="1"/>
    <col min="2" max="2" width="19" bestFit="1" customWidth="1"/>
  </cols>
  <sheetData>
    <row r="3" spans="1:2" x14ac:dyDescent="0.3">
      <c r="A3" s="2" t="s">
        <v>4475</v>
      </c>
      <c r="B3" t="s">
        <v>4481</v>
      </c>
    </row>
    <row r="4" spans="1:2" x14ac:dyDescent="0.3">
      <c r="A4" s="3" t="s">
        <v>17</v>
      </c>
      <c r="B4">
        <v>1</v>
      </c>
    </row>
    <row r="5" spans="1:2" x14ac:dyDescent="0.3">
      <c r="A5" s="3" t="s">
        <v>24</v>
      </c>
      <c r="B5">
        <v>3</v>
      </c>
    </row>
    <row r="6" spans="1:2" x14ac:dyDescent="0.3">
      <c r="A6" s="3" t="s">
        <v>52</v>
      </c>
      <c r="B6">
        <v>2</v>
      </c>
    </row>
    <row r="7" spans="1:2" x14ac:dyDescent="0.3">
      <c r="A7" s="3" t="s">
        <v>30</v>
      </c>
      <c r="B7">
        <v>3</v>
      </c>
    </row>
    <row r="8" spans="1:2" x14ac:dyDescent="0.3">
      <c r="A8" s="3" t="s">
        <v>4476</v>
      </c>
      <c r="B8">
        <v>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B5238-089A-40AC-93D0-593B12810BE9}">
  <dimension ref="A3:B13"/>
  <sheetViews>
    <sheetView workbookViewId="0">
      <selection activeCell="B9" sqref="B9"/>
    </sheetView>
  </sheetViews>
  <sheetFormatPr defaultRowHeight="14.4" x14ac:dyDescent="0.3"/>
  <cols>
    <col min="1" max="1" width="20.44140625" bestFit="1" customWidth="1"/>
    <col min="2" max="2" width="20.109375" bestFit="1" customWidth="1"/>
  </cols>
  <sheetData>
    <row r="3" spans="1:2" x14ac:dyDescent="0.3">
      <c r="A3" s="2" t="s">
        <v>4475</v>
      </c>
      <c r="B3" t="s">
        <v>4477</v>
      </c>
    </row>
    <row r="4" spans="1:2" x14ac:dyDescent="0.3">
      <c r="A4" s="3" t="s">
        <v>1384</v>
      </c>
      <c r="B4">
        <v>1</v>
      </c>
    </row>
    <row r="5" spans="1:2" x14ac:dyDescent="0.3">
      <c r="A5" s="3" t="s">
        <v>883</v>
      </c>
      <c r="B5">
        <v>1</v>
      </c>
    </row>
    <row r="6" spans="1:2" x14ac:dyDescent="0.3">
      <c r="A6" s="3" t="s">
        <v>3425</v>
      </c>
      <c r="B6">
        <v>1</v>
      </c>
    </row>
    <row r="7" spans="1:2" x14ac:dyDescent="0.3">
      <c r="A7" s="3" t="s">
        <v>3086</v>
      </c>
      <c r="B7">
        <v>1</v>
      </c>
    </row>
    <row r="8" spans="1:2" x14ac:dyDescent="0.3">
      <c r="A8" s="3" t="s">
        <v>560</v>
      </c>
      <c r="B8">
        <v>1</v>
      </c>
    </row>
    <row r="9" spans="1:2" x14ac:dyDescent="0.3">
      <c r="A9" s="3" t="s">
        <v>4430</v>
      </c>
      <c r="B9">
        <v>1</v>
      </c>
    </row>
    <row r="10" spans="1:2" x14ac:dyDescent="0.3">
      <c r="A10" s="3" t="s">
        <v>626</v>
      </c>
      <c r="B10">
        <v>1</v>
      </c>
    </row>
    <row r="11" spans="1:2" x14ac:dyDescent="0.3">
      <c r="A11" s="3" t="s">
        <v>617</v>
      </c>
      <c r="B11">
        <v>1</v>
      </c>
    </row>
    <row r="12" spans="1:2" x14ac:dyDescent="0.3">
      <c r="A12" s="3" t="s">
        <v>3659</v>
      </c>
      <c r="B12">
        <v>1</v>
      </c>
    </row>
    <row r="13" spans="1:2" x14ac:dyDescent="0.3">
      <c r="A13" s="3" t="s">
        <v>4476</v>
      </c>
      <c r="B13">
        <v>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E5EBA-A399-45C3-8EF8-C169B5219931}">
  <dimension ref="A3:B6"/>
  <sheetViews>
    <sheetView workbookViewId="0">
      <selection activeCell="B3" sqref="B3"/>
    </sheetView>
  </sheetViews>
  <sheetFormatPr defaultRowHeight="14.4" x14ac:dyDescent="0.3"/>
  <cols>
    <col min="1" max="1" width="12.5546875" bestFit="1" customWidth="1"/>
    <col min="2" max="2" width="21.109375" bestFit="1" customWidth="1"/>
  </cols>
  <sheetData>
    <row r="3" spans="1:2" x14ac:dyDescent="0.3">
      <c r="A3" s="2" t="s">
        <v>4475</v>
      </c>
      <c r="B3" t="s">
        <v>4483</v>
      </c>
    </row>
    <row r="4" spans="1:2" x14ac:dyDescent="0.3">
      <c r="A4" s="3" t="s">
        <v>27</v>
      </c>
      <c r="B4" s="4">
        <v>0.44444444444444442</v>
      </c>
    </row>
    <row r="5" spans="1:2" x14ac:dyDescent="0.3">
      <c r="A5" s="3" t="s">
        <v>20</v>
      </c>
      <c r="B5" s="4">
        <v>0.55555555555555558</v>
      </c>
    </row>
    <row r="6" spans="1:2" x14ac:dyDescent="0.3">
      <c r="A6" s="3" t="s">
        <v>4476</v>
      </c>
      <c r="B6"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44A22-75F5-42BB-B4F0-5BCDCDF860EA}">
  <dimension ref="A3:B6"/>
  <sheetViews>
    <sheetView workbookViewId="0">
      <selection activeCell="B5" sqref="B5"/>
    </sheetView>
  </sheetViews>
  <sheetFormatPr defaultRowHeight="14.4" x14ac:dyDescent="0.3"/>
  <cols>
    <col min="1" max="1" width="12.5546875" bestFit="1" customWidth="1"/>
    <col min="2" max="2" width="28.21875" bestFit="1" customWidth="1"/>
  </cols>
  <sheetData>
    <row r="3" spans="1:2" x14ac:dyDescent="0.3">
      <c r="A3" s="2" t="s">
        <v>4475</v>
      </c>
      <c r="B3" t="s">
        <v>4479</v>
      </c>
    </row>
    <row r="4" spans="1:2" x14ac:dyDescent="0.3">
      <c r="A4" s="3" t="s">
        <v>27</v>
      </c>
      <c r="B4">
        <v>3.5</v>
      </c>
    </row>
    <row r="5" spans="1:2" x14ac:dyDescent="0.3">
      <c r="A5" s="3" t="s">
        <v>20</v>
      </c>
      <c r="B5">
        <v>1.6</v>
      </c>
    </row>
    <row r="6" spans="1:2" x14ac:dyDescent="0.3">
      <c r="A6" s="3" t="s">
        <v>4476</v>
      </c>
      <c r="B6">
        <v>2.4444444444444446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F6F3E-4ADC-445C-9483-FAE57E60F2F2}">
  <dimension ref="A3:F9"/>
  <sheetViews>
    <sheetView workbookViewId="0">
      <selection activeCell="K13" sqref="K13"/>
    </sheetView>
  </sheetViews>
  <sheetFormatPr defaultRowHeight="14.4" x14ac:dyDescent="0.3"/>
  <cols>
    <col min="1" max="1" width="19" bestFit="1" customWidth="1"/>
    <col min="2" max="2" width="15.5546875" bestFit="1" customWidth="1"/>
    <col min="3" max="3" width="10.21875" bestFit="1" customWidth="1"/>
    <col min="4" max="4" width="10.6640625" bestFit="1" customWidth="1"/>
    <col min="5" max="5" width="7.77734375" bestFit="1" customWidth="1"/>
    <col min="6" max="6" width="10.77734375" bestFit="1" customWidth="1"/>
  </cols>
  <sheetData>
    <row r="3" spans="1:6" x14ac:dyDescent="0.3">
      <c r="A3" s="2" t="s">
        <v>4481</v>
      </c>
      <c r="B3" s="2" t="s">
        <v>4482</v>
      </c>
    </row>
    <row r="4" spans="1:6" x14ac:dyDescent="0.3">
      <c r="A4" s="2" t="s">
        <v>4475</v>
      </c>
      <c r="B4" t="s">
        <v>17</v>
      </c>
      <c r="C4" t="s">
        <v>24</v>
      </c>
      <c r="D4" t="s">
        <v>52</v>
      </c>
      <c r="E4" t="s">
        <v>30</v>
      </c>
      <c r="F4" t="s">
        <v>4476</v>
      </c>
    </row>
    <row r="5" spans="1:6" x14ac:dyDescent="0.3">
      <c r="A5" s="3" t="s">
        <v>40</v>
      </c>
      <c r="C5">
        <v>2</v>
      </c>
      <c r="E5">
        <v>1</v>
      </c>
      <c r="F5">
        <v>3</v>
      </c>
    </row>
    <row r="6" spans="1:6" x14ac:dyDescent="0.3">
      <c r="A6" s="3" t="s">
        <v>16</v>
      </c>
      <c r="C6">
        <v>1</v>
      </c>
      <c r="E6">
        <v>1</v>
      </c>
      <c r="F6">
        <v>2</v>
      </c>
    </row>
    <row r="7" spans="1:6" x14ac:dyDescent="0.3">
      <c r="A7" s="3" t="s">
        <v>56</v>
      </c>
      <c r="B7">
        <v>1</v>
      </c>
      <c r="D7">
        <v>1</v>
      </c>
      <c r="E7">
        <v>1</v>
      </c>
      <c r="F7">
        <v>3</v>
      </c>
    </row>
    <row r="8" spans="1:6" x14ac:dyDescent="0.3">
      <c r="A8" s="3" t="s">
        <v>73</v>
      </c>
      <c r="D8">
        <v>1</v>
      </c>
      <c r="F8">
        <v>1</v>
      </c>
    </row>
    <row r="9" spans="1:6" x14ac:dyDescent="0.3">
      <c r="A9" s="3" t="s">
        <v>4476</v>
      </c>
      <c r="B9">
        <v>1</v>
      </c>
      <c r="C9">
        <v>3</v>
      </c>
      <c r="D9">
        <v>2</v>
      </c>
      <c r="E9">
        <v>3</v>
      </c>
      <c r="F9">
        <v>9</v>
      </c>
    </row>
  </sheetData>
  <conditionalFormatting pivot="1" sqref="B5:B8">
    <cfRule type="top10" dxfId="0" priority="1" rank="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A6499-2B26-45AF-9FA8-D25A870A0687}">
  <dimension ref="A3:B8"/>
  <sheetViews>
    <sheetView workbookViewId="0">
      <selection activeCell="B7" sqref="B7"/>
    </sheetView>
  </sheetViews>
  <sheetFormatPr defaultRowHeight="14.4" x14ac:dyDescent="0.3"/>
  <cols>
    <col min="1" max="1" width="12.5546875" bestFit="1" customWidth="1"/>
    <col min="2" max="2" width="21.6640625" bestFit="1" customWidth="1"/>
  </cols>
  <sheetData>
    <row r="3" spans="1:2" x14ac:dyDescent="0.3">
      <c r="A3" s="2" t="s">
        <v>4475</v>
      </c>
      <c r="B3" t="s">
        <v>4480</v>
      </c>
    </row>
    <row r="4" spans="1:2" x14ac:dyDescent="0.3">
      <c r="A4" s="3" t="s">
        <v>40</v>
      </c>
      <c r="B4">
        <v>1.1633333333333333</v>
      </c>
    </row>
    <row r="5" spans="1:2" x14ac:dyDescent="0.3">
      <c r="A5" s="3" t="s">
        <v>16</v>
      </c>
      <c r="B5">
        <v>1.06</v>
      </c>
    </row>
    <row r="6" spans="1:2" x14ac:dyDescent="0.3">
      <c r="A6" s="3" t="s">
        <v>56</v>
      </c>
      <c r="B6">
        <v>1.1566666666666667</v>
      </c>
    </row>
    <row r="7" spans="1:2" x14ac:dyDescent="0.3">
      <c r="A7" s="3" t="s">
        <v>73</v>
      </c>
      <c r="B7">
        <v>1.1599999999999999</v>
      </c>
    </row>
    <row r="8" spans="1:2" x14ac:dyDescent="0.3">
      <c r="A8" s="3" t="s">
        <v>4476</v>
      </c>
      <c r="B8">
        <v>1.1377777777777776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CDF0-BDEB-4884-84F8-68190D801BDB}">
  <dimension ref="A3:B8"/>
  <sheetViews>
    <sheetView workbookViewId="0">
      <selection activeCell="B6" sqref="B6"/>
    </sheetView>
  </sheetViews>
  <sheetFormatPr defaultRowHeight="14.4" x14ac:dyDescent="0.3"/>
  <cols>
    <col min="1" max="1" width="12.5546875" bestFit="1" customWidth="1"/>
    <col min="2" max="2" width="25" bestFit="1" customWidth="1"/>
  </cols>
  <sheetData>
    <row r="3" spans="1:2" x14ac:dyDescent="0.3">
      <c r="A3" s="2" t="s">
        <v>4475</v>
      </c>
      <c r="B3" t="s">
        <v>4478</v>
      </c>
    </row>
    <row r="4" spans="1:2" x14ac:dyDescent="0.3">
      <c r="A4" s="3" t="s">
        <v>40</v>
      </c>
      <c r="B4">
        <v>8</v>
      </c>
    </row>
    <row r="5" spans="1:2" x14ac:dyDescent="0.3">
      <c r="A5" s="3" t="s">
        <v>16</v>
      </c>
      <c r="B5">
        <v>5</v>
      </c>
    </row>
    <row r="6" spans="1:2" x14ac:dyDescent="0.3">
      <c r="A6" s="3" t="s">
        <v>56</v>
      </c>
      <c r="B6">
        <v>7</v>
      </c>
    </row>
    <row r="7" spans="1:2" x14ac:dyDescent="0.3">
      <c r="A7" s="3" t="s">
        <v>73</v>
      </c>
      <c r="B7">
        <v>2</v>
      </c>
    </row>
    <row r="8" spans="1:2" x14ac:dyDescent="0.3">
      <c r="A8" s="3" t="s">
        <v>4476</v>
      </c>
      <c r="B8">
        <v>22</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5CDB3-D76F-4512-88E8-7E3F903A7D08}">
  <dimension ref="A3:B8"/>
  <sheetViews>
    <sheetView workbookViewId="0">
      <selection activeCell="B8" sqref="B8"/>
    </sheetView>
  </sheetViews>
  <sheetFormatPr defaultRowHeight="14.4" x14ac:dyDescent="0.3"/>
  <cols>
    <col min="1" max="1" width="12.5546875" bestFit="1" customWidth="1"/>
    <col min="2" max="2" width="25" bestFit="1" customWidth="1"/>
  </cols>
  <sheetData>
    <row r="3" spans="1:2" x14ac:dyDescent="0.3">
      <c r="A3" s="2" t="s">
        <v>4475</v>
      </c>
      <c r="B3" t="s">
        <v>4478</v>
      </c>
    </row>
    <row r="4" spans="1:2" x14ac:dyDescent="0.3">
      <c r="A4" s="3" t="s">
        <v>40</v>
      </c>
      <c r="B4" s="4">
        <v>0.36363636363636365</v>
      </c>
    </row>
    <row r="5" spans="1:2" x14ac:dyDescent="0.3">
      <c r="A5" s="3" t="s">
        <v>16</v>
      </c>
      <c r="B5" s="4">
        <v>0.22727272727272727</v>
      </c>
    </row>
    <row r="6" spans="1:2" x14ac:dyDescent="0.3">
      <c r="A6" s="3" t="s">
        <v>56</v>
      </c>
      <c r="B6" s="4">
        <v>0.31818181818181818</v>
      </c>
    </row>
    <row r="7" spans="1:2" x14ac:dyDescent="0.3">
      <c r="A7" s="3" t="s">
        <v>73</v>
      </c>
      <c r="B7" s="4">
        <v>9.0909090909090912E-2</v>
      </c>
    </row>
    <row r="8" spans="1:2" x14ac:dyDescent="0.3">
      <c r="A8" s="3" t="s">
        <v>4476</v>
      </c>
      <c r="B8" s="4">
        <v>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DB344-F0F2-4D96-B458-256F3C03AE78}">
  <dimension ref="A3:B8"/>
  <sheetViews>
    <sheetView workbookViewId="0">
      <selection activeCell="B6" sqref="B6"/>
    </sheetView>
  </sheetViews>
  <sheetFormatPr defaultRowHeight="14.4" x14ac:dyDescent="0.3"/>
  <cols>
    <col min="1" max="1" width="12.5546875" bestFit="1" customWidth="1"/>
    <col min="2" max="2" width="21" bestFit="1" customWidth="1"/>
  </cols>
  <sheetData>
    <row r="3" spans="1:2" x14ac:dyDescent="0.3">
      <c r="A3" s="2" t="s">
        <v>4475</v>
      </c>
      <c r="B3" t="s">
        <v>4484</v>
      </c>
    </row>
    <row r="4" spans="1:2" x14ac:dyDescent="0.3">
      <c r="A4" s="3" t="s">
        <v>17</v>
      </c>
      <c r="B4">
        <v>353</v>
      </c>
    </row>
    <row r="5" spans="1:2" x14ac:dyDescent="0.3">
      <c r="A5" s="3" t="s">
        <v>24</v>
      </c>
      <c r="B5">
        <v>402</v>
      </c>
    </row>
    <row r="6" spans="1:2" x14ac:dyDescent="0.3">
      <c r="A6" s="3" t="s">
        <v>52</v>
      </c>
      <c r="B6">
        <v>382</v>
      </c>
    </row>
    <row r="7" spans="1:2" x14ac:dyDescent="0.3">
      <c r="A7" s="3" t="s">
        <v>30</v>
      </c>
      <c r="B7">
        <v>363</v>
      </c>
    </row>
    <row r="8" spans="1:2" x14ac:dyDescent="0.3">
      <c r="A8" s="3" t="s">
        <v>4476</v>
      </c>
      <c r="B8">
        <v>1500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657E-2833-498F-93BB-BFBC373BB314}">
  <dimension ref="A3:B9"/>
  <sheetViews>
    <sheetView workbookViewId="0">
      <selection activeCell="B6" sqref="B6"/>
    </sheetView>
  </sheetViews>
  <sheetFormatPr defaultRowHeight="14.4" x14ac:dyDescent="0.3"/>
  <cols>
    <col min="1" max="1" width="12.5546875" bestFit="1" customWidth="1"/>
    <col min="2" max="2" width="25" bestFit="1" customWidth="1"/>
  </cols>
  <sheetData>
    <row r="3" spans="1:2" x14ac:dyDescent="0.3">
      <c r="A3" s="2" t="s">
        <v>4475</v>
      </c>
      <c r="B3" t="s">
        <v>4478</v>
      </c>
    </row>
    <row r="4" spans="1:2" x14ac:dyDescent="0.3">
      <c r="A4" s="3">
        <v>1</v>
      </c>
      <c r="B4" s="4">
        <v>6.1237928007023705E-2</v>
      </c>
    </row>
    <row r="5" spans="1:2" x14ac:dyDescent="0.3">
      <c r="A5" s="3">
        <v>2</v>
      </c>
      <c r="B5" s="4">
        <v>0.1356453028972783</v>
      </c>
    </row>
    <row r="6" spans="1:2" x14ac:dyDescent="0.3">
      <c r="A6" s="3">
        <v>3</v>
      </c>
      <c r="B6" s="4">
        <v>0.20741878841088673</v>
      </c>
    </row>
    <row r="7" spans="1:2" x14ac:dyDescent="0.3">
      <c r="A7" s="3">
        <v>4</v>
      </c>
      <c r="B7" s="4">
        <v>0.23792800702370501</v>
      </c>
    </row>
    <row r="8" spans="1:2" x14ac:dyDescent="0.3">
      <c r="A8" s="3">
        <v>5</v>
      </c>
      <c r="B8" s="4">
        <v>0.35776997366110624</v>
      </c>
    </row>
    <row r="9" spans="1:2" x14ac:dyDescent="0.3">
      <c r="A9" s="3" t="s">
        <v>4476</v>
      </c>
      <c r="B9" s="4">
        <v>1</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1D91-C593-4353-85E6-F70AE0E6CD81}">
  <dimension ref="A3:B8"/>
  <sheetViews>
    <sheetView workbookViewId="0">
      <selection activeCell="B6" sqref="B6"/>
    </sheetView>
  </sheetViews>
  <sheetFormatPr defaultRowHeight="14.4" x14ac:dyDescent="0.3"/>
  <cols>
    <col min="1" max="1" width="12.5546875" bestFit="1" customWidth="1"/>
    <col min="2" max="2" width="19" bestFit="1" customWidth="1"/>
  </cols>
  <sheetData>
    <row r="3" spans="1:2" x14ac:dyDescent="0.3">
      <c r="A3" s="2" t="s">
        <v>4475</v>
      </c>
      <c r="B3" t="s">
        <v>4481</v>
      </c>
    </row>
    <row r="4" spans="1:2" x14ac:dyDescent="0.3">
      <c r="A4" s="3" t="s">
        <v>17</v>
      </c>
      <c r="B4" s="4">
        <v>0.1111111111111111</v>
      </c>
    </row>
    <row r="5" spans="1:2" x14ac:dyDescent="0.3">
      <c r="A5" s="3" t="s">
        <v>24</v>
      </c>
      <c r="B5" s="4">
        <v>0.33333333333333331</v>
      </c>
    </row>
    <row r="6" spans="1:2" x14ac:dyDescent="0.3">
      <c r="A6" s="3" t="s">
        <v>52</v>
      </c>
      <c r="B6" s="4">
        <v>0.22222222222222221</v>
      </c>
    </row>
    <row r="7" spans="1:2" x14ac:dyDescent="0.3">
      <c r="A7" s="3" t="s">
        <v>30</v>
      </c>
      <c r="B7" s="4">
        <v>0.33333333333333331</v>
      </c>
    </row>
    <row r="8" spans="1:2" x14ac:dyDescent="0.3">
      <c r="A8" s="3" t="s">
        <v>4476</v>
      </c>
      <c r="B8" s="4">
        <v>1</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87D7C-710F-47A5-BCDE-CD6C7798D6E4}">
  <dimension ref="A1:N1501"/>
  <sheetViews>
    <sheetView tabSelected="1" workbookViewId="0">
      <selection activeCell="N3" sqref="N3"/>
    </sheetView>
  </sheetViews>
  <sheetFormatPr defaultRowHeight="14.4" x14ac:dyDescent="0.3"/>
  <cols>
    <col min="1" max="1" width="12.33203125" customWidth="1"/>
    <col min="2" max="2" width="13" customWidth="1"/>
    <col min="3" max="3" width="12.109375" customWidth="1"/>
    <col min="4" max="4" width="13.21875" customWidth="1"/>
    <col min="5" max="5" width="13.77734375" customWidth="1"/>
    <col min="6" max="6" width="12" customWidth="1"/>
    <col min="7" max="7" width="13.77734375" customWidth="1"/>
    <col min="8" max="8" width="16.77734375" customWidth="1"/>
    <col min="9" max="9" width="17" customWidth="1"/>
    <col min="10" max="10" width="14" customWidth="1"/>
    <col min="11" max="11" width="13.5546875" customWidth="1"/>
    <col min="12" max="12" width="15.6640625" customWidth="1"/>
    <col min="13" max="13" width="20.77734375" bestFit="1" customWidth="1"/>
  </cols>
  <sheetData>
    <row r="1" spans="1:14" x14ac:dyDescent="0.3">
      <c r="A1" t="s">
        <v>1</v>
      </c>
      <c r="B1" t="s">
        <v>2</v>
      </c>
      <c r="C1" t="s">
        <v>3</v>
      </c>
      <c r="D1" t="s">
        <v>4</v>
      </c>
      <c r="E1" t="s">
        <v>5</v>
      </c>
      <c r="F1" t="s">
        <v>6</v>
      </c>
      <c r="G1" t="s">
        <v>7</v>
      </c>
      <c r="H1" t="s">
        <v>8</v>
      </c>
      <c r="I1" t="s">
        <v>9</v>
      </c>
      <c r="J1" t="s">
        <v>10</v>
      </c>
      <c r="K1" t="s">
        <v>11</v>
      </c>
      <c r="L1" t="s">
        <v>12</v>
      </c>
      <c r="M1" t="s">
        <v>4485</v>
      </c>
    </row>
    <row r="2" spans="1:14" x14ac:dyDescent="0.3">
      <c r="A2" t="s">
        <v>13</v>
      </c>
      <c r="B2" t="s">
        <v>14</v>
      </c>
      <c r="C2" t="s">
        <v>15</v>
      </c>
      <c r="D2" t="s">
        <v>16</v>
      </c>
      <c r="E2" t="s">
        <v>17</v>
      </c>
      <c r="F2">
        <v>31.24</v>
      </c>
      <c r="G2" s="1">
        <v>46377</v>
      </c>
      <c r="H2" s="1">
        <v>44019</v>
      </c>
      <c r="I2" t="s">
        <v>18</v>
      </c>
      <c r="J2" t="s">
        <v>19</v>
      </c>
      <c r="K2">
        <v>3</v>
      </c>
      <c r="L2" t="s">
        <v>20</v>
      </c>
      <c r="M2" s="1">
        <f ca="1">TODAY()</f>
        <v>46204</v>
      </c>
      <c r="N2">
        <f ca="1">IF(G2&lt;M2,1,0)</f>
        <v>0</v>
      </c>
    </row>
    <row r="3" spans="1:14" x14ac:dyDescent="0.3">
      <c r="A3" t="s">
        <v>21</v>
      </c>
      <c r="B3" t="s">
        <v>22</v>
      </c>
      <c r="C3" t="s">
        <v>23</v>
      </c>
      <c r="D3" t="s">
        <v>16</v>
      </c>
      <c r="E3" t="s">
        <v>24</v>
      </c>
      <c r="F3">
        <v>29.13</v>
      </c>
      <c r="G3" s="1">
        <v>45916</v>
      </c>
      <c r="H3" s="1">
        <v>44360</v>
      </c>
      <c r="I3" t="s">
        <v>25</v>
      </c>
      <c r="J3" t="s">
        <v>26</v>
      </c>
      <c r="K3">
        <v>1</v>
      </c>
      <c r="L3" t="s">
        <v>27</v>
      </c>
      <c r="M3" s="1">
        <f t="shared" ref="M3:M66" ca="1" si="0">TODAY()</f>
        <v>46204</v>
      </c>
      <c r="N3">
        <f t="shared" ref="N3:N66" ca="1" si="1">IF(G3&lt;M3,1,0)</f>
        <v>1</v>
      </c>
    </row>
    <row r="4" spans="1:14" x14ac:dyDescent="0.3">
      <c r="A4" t="s">
        <v>28</v>
      </c>
      <c r="B4" t="s">
        <v>29</v>
      </c>
      <c r="C4" t="s">
        <v>23</v>
      </c>
      <c r="D4" t="s">
        <v>16</v>
      </c>
      <c r="E4" t="s">
        <v>30</v>
      </c>
      <c r="F4">
        <v>16.489999999999998</v>
      </c>
      <c r="G4" s="1">
        <v>45873</v>
      </c>
      <c r="H4" s="1">
        <v>42854</v>
      </c>
      <c r="I4" t="s">
        <v>31</v>
      </c>
      <c r="J4" t="s">
        <v>26</v>
      </c>
      <c r="K4">
        <v>2</v>
      </c>
      <c r="L4" t="s">
        <v>20</v>
      </c>
      <c r="M4" s="1">
        <f t="shared" ca="1" si="0"/>
        <v>46204</v>
      </c>
      <c r="N4">
        <f t="shared" ca="1" si="1"/>
        <v>1</v>
      </c>
    </row>
    <row r="5" spans="1:14" x14ac:dyDescent="0.3">
      <c r="A5" t="s">
        <v>32</v>
      </c>
      <c r="B5" t="s">
        <v>33</v>
      </c>
      <c r="C5" t="s">
        <v>34</v>
      </c>
      <c r="D5" t="s">
        <v>35</v>
      </c>
      <c r="E5" t="s">
        <v>17</v>
      </c>
      <c r="F5">
        <v>20.059999999999999</v>
      </c>
      <c r="G5" s="1">
        <v>45800</v>
      </c>
      <c r="H5" s="1">
        <v>43230</v>
      </c>
      <c r="I5" t="s">
        <v>36</v>
      </c>
      <c r="J5" t="s">
        <v>37</v>
      </c>
      <c r="K5">
        <v>3</v>
      </c>
      <c r="L5" t="s">
        <v>20</v>
      </c>
      <c r="M5" s="1">
        <f t="shared" ca="1" si="0"/>
        <v>46204</v>
      </c>
      <c r="N5">
        <f t="shared" ca="1" si="1"/>
        <v>1</v>
      </c>
    </row>
    <row r="6" spans="1:14" x14ac:dyDescent="0.3">
      <c r="A6" t="s">
        <v>38</v>
      </c>
      <c r="B6" t="s">
        <v>39</v>
      </c>
      <c r="C6" t="s">
        <v>15</v>
      </c>
      <c r="D6" t="s">
        <v>40</v>
      </c>
      <c r="E6" t="s">
        <v>24</v>
      </c>
      <c r="F6">
        <v>34.299999999999997</v>
      </c>
      <c r="G6" s="1">
        <v>45855</v>
      </c>
      <c r="H6" s="1">
        <v>44068</v>
      </c>
      <c r="I6" t="s">
        <v>41</v>
      </c>
      <c r="J6" t="s">
        <v>37</v>
      </c>
      <c r="K6">
        <v>5</v>
      </c>
      <c r="L6" t="s">
        <v>27</v>
      </c>
      <c r="M6" s="1">
        <f t="shared" ca="1" si="0"/>
        <v>46204</v>
      </c>
      <c r="N6">
        <f t="shared" ca="1" si="1"/>
        <v>1</v>
      </c>
    </row>
    <row r="7" spans="1:14" x14ac:dyDescent="0.3">
      <c r="A7" t="s">
        <v>42</v>
      </c>
      <c r="B7" t="s">
        <v>43</v>
      </c>
      <c r="C7" t="s">
        <v>34</v>
      </c>
      <c r="D7" t="s">
        <v>16</v>
      </c>
      <c r="E7" t="s">
        <v>17</v>
      </c>
      <c r="F7">
        <v>33.79</v>
      </c>
      <c r="G7" s="1">
        <v>46049</v>
      </c>
      <c r="H7" s="1">
        <v>43524</v>
      </c>
      <c r="I7" t="s">
        <v>44</v>
      </c>
      <c r="J7" t="s">
        <v>19</v>
      </c>
      <c r="K7">
        <v>5</v>
      </c>
      <c r="L7" t="s">
        <v>27</v>
      </c>
      <c r="M7" s="1">
        <f t="shared" ca="1" si="0"/>
        <v>46204</v>
      </c>
      <c r="N7">
        <f t="shared" ca="1" si="1"/>
        <v>1</v>
      </c>
    </row>
    <row r="8" spans="1:14" x14ac:dyDescent="0.3">
      <c r="A8" t="s">
        <v>45</v>
      </c>
      <c r="B8" t="s">
        <v>46</v>
      </c>
      <c r="C8" t="s">
        <v>47</v>
      </c>
      <c r="D8" t="s">
        <v>16</v>
      </c>
      <c r="E8" t="s">
        <v>30</v>
      </c>
      <c r="F8">
        <v>17.809999999999999</v>
      </c>
      <c r="G8" s="1">
        <v>46067</v>
      </c>
      <c r="H8" s="1">
        <v>42246</v>
      </c>
      <c r="I8" t="s">
        <v>48</v>
      </c>
      <c r="J8" t="s">
        <v>49</v>
      </c>
      <c r="K8">
        <v>5</v>
      </c>
      <c r="L8" t="s">
        <v>27</v>
      </c>
      <c r="M8" s="1">
        <f t="shared" ca="1" si="0"/>
        <v>46204</v>
      </c>
      <c r="N8">
        <f t="shared" ca="1" si="1"/>
        <v>1</v>
      </c>
    </row>
    <row r="9" spans="1:14" x14ac:dyDescent="0.3">
      <c r="A9" t="s">
        <v>50</v>
      </c>
      <c r="B9" t="s">
        <v>51</v>
      </c>
      <c r="C9" t="s">
        <v>15</v>
      </c>
      <c r="D9" t="s">
        <v>40</v>
      </c>
      <c r="E9" t="s">
        <v>52</v>
      </c>
      <c r="F9">
        <v>22.11</v>
      </c>
      <c r="G9" s="1">
        <v>45870</v>
      </c>
      <c r="H9" s="1">
        <v>44134</v>
      </c>
      <c r="I9" t="s">
        <v>53</v>
      </c>
      <c r="J9" t="s">
        <v>49</v>
      </c>
      <c r="K9">
        <v>1</v>
      </c>
      <c r="L9" t="s">
        <v>20</v>
      </c>
      <c r="M9" s="1">
        <f t="shared" ca="1" si="0"/>
        <v>46204</v>
      </c>
      <c r="N9">
        <f t="shared" ca="1" si="1"/>
        <v>1</v>
      </c>
    </row>
    <row r="10" spans="1:14" x14ac:dyDescent="0.3">
      <c r="A10" t="s">
        <v>54</v>
      </c>
      <c r="B10" t="s">
        <v>55</v>
      </c>
      <c r="C10" t="s">
        <v>34</v>
      </c>
      <c r="D10" t="s">
        <v>56</v>
      </c>
      <c r="E10" t="s">
        <v>52</v>
      </c>
      <c r="F10">
        <v>22.7</v>
      </c>
      <c r="G10" s="1">
        <v>45738</v>
      </c>
      <c r="H10" s="1">
        <v>44290</v>
      </c>
      <c r="I10" t="s">
        <v>57</v>
      </c>
      <c r="J10" t="s">
        <v>19</v>
      </c>
      <c r="K10">
        <v>2</v>
      </c>
      <c r="L10" t="s">
        <v>20</v>
      </c>
      <c r="M10" s="1">
        <f t="shared" ca="1" si="0"/>
        <v>46204</v>
      </c>
      <c r="N10">
        <f t="shared" ca="1" si="1"/>
        <v>1</v>
      </c>
    </row>
    <row r="11" spans="1:14" x14ac:dyDescent="0.3">
      <c r="A11" t="s">
        <v>58</v>
      </c>
      <c r="B11" t="s">
        <v>59</v>
      </c>
      <c r="C11" t="s">
        <v>60</v>
      </c>
      <c r="D11" t="s">
        <v>40</v>
      </c>
      <c r="E11" t="s">
        <v>17</v>
      </c>
      <c r="F11">
        <v>25.73</v>
      </c>
      <c r="G11" s="1">
        <v>45893</v>
      </c>
      <c r="H11" s="1">
        <v>42402</v>
      </c>
      <c r="I11" t="s">
        <v>61</v>
      </c>
      <c r="J11" t="s">
        <v>19</v>
      </c>
      <c r="K11">
        <v>5</v>
      </c>
      <c r="L11" t="s">
        <v>27</v>
      </c>
      <c r="M11" s="1">
        <f t="shared" ca="1" si="0"/>
        <v>46204</v>
      </c>
      <c r="N11">
        <f t="shared" ca="1" si="1"/>
        <v>1</v>
      </c>
    </row>
    <row r="12" spans="1:14" x14ac:dyDescent="0.3">
      <c r="A12" t="s">
        <v>62</v>
      </c>
      <c r="B12" t="s">
        <v>63</v>
      </c>
      <c r="C12" t="s">
        <v>64</v>
      </c>
      <c r="D12" t="s">
        <v>40</v>
      </c>
      <c r="E12" t="s">
        <v>24</v>
      </c>
      <c r="F12">
        <v>32.229999999999997</v>
      </c>
      <c r="G12" s="1">
        <v>46017</v>
      </c>
      <c r="H12" s="1">
        <v>43133</v>
      </c>
      <c r="I12" t="s">
        <v>65</v>
      </c>
      <c r="J12" t="s">
        <v>66</v>
      </c>
      <c r="K12">
        <v>4</v>
      </c>
      <c r="L12" t="s">
        <v>27</v>
      </c>
      <c r="M12" s="1">
        <f t="shared" ca="1" si="0"/>
        <v>46204</v>
      </c>
      <c r="N12">
        <f t="shared" ca="1" si="1"/>
        <v>1</v>
      </c>
    </row>
    <row r="13" spans="1:14" x14ac:dyDescent="0.3">
      <c r="A13" t="s">
        <v>67</v>
      </c>
      <c r="B13" t="s">
        <v>68</v>
      </c>
      <c r="C13" t="s">
        <v>15</v>
      </c>
      <c r="D13" t="s">
        <v>69</v>
      </c>
      <c r="E13" t="s">
        <v>24</v>
      </c>
      <c r="F13">
        <v>26.44</v>
      </c>
      <c r="G13" s="1">
        <v>45893</v>
      </c>
      <c r="H13" s="1">
        <v>44376</v>
      </c>
      <c r="I13" t="s">
        <v>70</v>
      </c>
      <c r="J13" t="s">
        <v>26</v>
      </c>
      <c r="K13">
        <v>5</v>
      </c>
      <c r="L13" t="s">
        <v>20</v>
      </c>
      <c r="M13" s="1">
        <f t="shared" ca="1" si="0"/>
        <v>46204</v>
      </c>
      <c r="N13">
        <f t="shared" ca="1" si="1"/>
        <v>1</v>
      </c>
    </row>
    <row r="14" spans="1:14" x14ac:dyDescent="0.3">
      <c r="A14" t="s">
        <v>71</v>
      </c>
      <c r="B14" t="s">
        <v>72</v>
      </c>
      <c r="C14" t="s">
        <v>64</v>
      </c>
      <c r="D14" t="s">
        <v>73</v>
      </c>
      <c r="E14" t="s">
        <v>17</v>
      </c>
      <c r="F14">
        <v>34.479999999999997</v>
      </c>
      <c r="G14" s="1">
        <v>45952</v>
      </c>
      <c r="H14" s="1">
        <v>45409</v>
      </c>
      <c r="I14" t="s">
        <v>74</v>
      </c>
      <c r="J14" t="s">
        <v>75</v>
      </c>
      <c r="K14">
        <v>4</v>
      </c>
      <c r="L14" t="s">
        <v>20</v>
      </c>
      <c r="M14" s="1">
        <f t="shared" ca="1" si="0"/>
        <v>46204</v>
      </c>
      <c r="N14">
        <f t="shared" ca="1" si="1"/>
        <v>1</v>
      </c>
    </row>
    <row r="15" spans="1:14" x14ac:dyDescent="0.3">
      <c r="A15" t="s">
        <v>76</v>
      </c>
      <c r="B15" t="s">
        <v>77</v>
      </c>
      <c r="C15" t="s">
        <v>15</v>
      </c>
      <c r="D15" t="s">
        <v>40</v>
      </c>
      <c r="E15" t="s">
        <v>17</v>
      </c>
      <c r="F15">
        <v>35.46</v>
      </c>
      <c r="G15" s="1">
        <v>45810</v>
      </c>
      <c r="H15" s="1">
        <v>44585</v>
      </c>
      <c r="I15" t="s">
        <v>78</v>
      </c>
      <c r="J15" t="s">
        <v>26</v>
      </c>
      <c r="K15">
        <v>5</v>
      </c>
      <c r="L15" t="s">
        <v>20</v>
      </c>
      <c r="M15" s="1">
        <f t="shared" ca="1" si="0"/>
        <v>46204</v>
      </c>
      <c r="N15">
        <f t="shared" ca="1" si="1"/>
        <v>1</v>
      </c>
    </row>
    <row r="16" spans="1:14" x14ac:dyDescent="0.3">
      <c r="A16" t="s">
        <v>79</v>
      </c>
      <c r="B16" t="s">
        <v>80</v>
      </c>
      <c r="C16" t="s">
        <v>60</v>
      </c>
      <c r="D16" t="s">
        <v>69</v>
      </c>
      <c r="E16" t="s">
        <v>30</v>
      </c>
      <c r="F16">
        <v>31.68</v>
      </c>
      <c r="G16" s="1">
        <v>45947</v>
      </c>
      <c r="H16" s="1">
        <v>44278</v>
      </c>
      <c r="I16" t="s">
        <v>81</v>
      </c>
      <c r="J16" t="s">
        <v>49</v>
      </c>
      <c r="K16">
        <v>5</v>
      </c>
      <c r="L16" t="s">
        <v>27</v>
      </c>
      <c r="M16" s="1">
        <f t="shared" ca="1" si="0"/>
        <v>46204</v>
      </c>
      <c r="N16">
        <f t="shared" ca="1" si="1"/>
        <v>1</v>
      </c>
    </row>
    <row r="17" spans="1:14" x14ac:dyDescent="0.3">
      <c r="A17" t="s">
        <v>82</v>
      </c>
      <c r="B17" t="s">
        <v>83</v>
      </c>
      <c r="C17" t="s">
        <v>64</v>
      </c>
      <c r="D17" t="s">
        <v>69</v>
      </c>
      <c r="E17" t="s">
        <v>52</v>
      </c>
      <c r="F17">
        <v>8.68</v>
      </c>
      <c r="G17" s="1">
        <v>45799</v>
      </c>
      <c r="H17" s="1">
        <v>43984</v>
      </c>
      <c r="I17" t="s">
        <v>84</v>
      </c>
      <c r="J17" t="s">
        <v>26</v>
      </c>
      <c r="K17">
        <v>3</v>
      </c>
      <c r="L17" t="s">
        <v>27</v>
      </c>
      <c r="M17" s="1">
        <f t="shared" ca="1" si="0"/>
        <v>46204</v>
      </c>
      <c r="N17">
        <f t="shared" ca="1" si="1"/>
        <v>1</v>
      </c>
    </row>
    <row r="18" spans="1:14" x14ac:dyDescent="0.3">
      <c r="A18" t="s">
        <v>85</v>
      </c>
      <c r="B18" t="s">
        <v>86</v>
      </c>
      <c r="C18" t="s">
        <v>47</v>
      </c>
      <c r="D18" t="s">
        <v>56</v>
      </c>
      <c r="E18" t="s">
        <v>17</v>
      </c>
      <c r="F18">
        <v>30.69</v>
      </c>
      <c r="G18" s="1">
        <v>46018</v>
      </c>
      <c r="H18" s="1">
        <v>42857</v>
      </c>
      <c r="I18" t="s">
        <v>87</v>
      </c>
      <c r="J18" t="s">
        <v>66</v>
      </c>
      <c r="K18">
        <v>4</v>
      </c>
      <c r="L18" t="s">
        <v>20</v>
      </c>
      <c r="M18" s="1">
        <f t="shared" ca="1" si="0"/>
        <v>46204</v>
      </c>
      <c r="N18">
        <f t="shared" ca="1" si="1"/>
        <v>1</v>
      </c>
    </row>
    <row r="19" spans="1:14" x14ac:dyDescent="0.3">
      <c r="A19" t="s">
        <v>88</v>
      </c>
      <c r="B19" t="s">
        <v>89</v>
      </c>
      <c r="C19" t="s">
        <v>64</v>
      </c>
      <c r="D19" t="s">
        <v>73</v>
      </c>
      <c r="E19" t="s">
        <v>24</v>
      </c>
      <c r="F19">
        <v>3.32</v>
      </c>
      <c r="G19" s="1">
        <v>45900</v>
      </c>
      <c r="H19" s="1">
        <v>43516</v>
      </c>
      <c r="I19" t="s">
        <v>90</v>
      </c>
      <c r="J19" t="s">
        <v>66</v>
      </c>
      <c r="K19">
        <v>1</v>
      </c>
      <c r="L19" t="s">
        <v>27</v>
      </c>
      <c r="M19" s="1">
        <f t="shared" ca="1" si="0"/>
        <v>46204</v>
      </c>
      <c r="N19">
        <f t="shared" ca="1" si="1"/>
        <v>1</v>
      </c>
    </row>
    <row r="20" spans="1:14" x14ac:dyDescent="0.3">
      <c r="A20" t="s">
        <v>91</v>
      </c>
      <c r="B20" t="s">
        <v>92</v>
      </c>
      <c r="C20" t="s">
        <v>47</v>
      </c>
      <c r="D20" t="s">
        <v>56</v>
      </c>
      <c r="E20" t="s">
        <v>24</v>
      </c>
      <c r="F20">
        <v>14.19</v>
      </c>
      <c r="G20" s="1">
        <v>45871</v>
      </c>
      <c r="H20" s="1">
        <v>43328</v>
      </c>
      <c r="I20" t="s">
        <v>93</v>
      </c>
      <c r="J20" t="s">
        <v>94</v>
      </c>
      <c r="K20">
        <v>3</v>
      </c>
      <c r="L20" t="s">
        <v>20</v>
      </c>
      <c r="M20" s="1">
        <f t="shared" ca="1" si="0"/>
        <v>46204</v>
      </c>
      <c r="N20">
        <f t="shared" ca="1" si="1"/>
        <v>1</v>
      </c>
    </row>
    <row r="21" spans="1:14" x14ac:dyDescent="0.3">
      <c r="A21" t="s">
        <v>95</v>
      </c>
      <c r="B21" t="s">
        <v>96</v>
      </c>
      <c r="C21" t="s">
        <v>15</v>
      </c>
      <c r="D21" t="s">
        <v>73</v>
      </c>
      <c r="E21" t="s">
        <v>24</v>
      </c>
      <c r="F21">
        <v>34.409999999999997</v>
      </c>
      <c r="G21" s="1">
        <v>45830</v>
      </c>
      <c r="H21" s="1">
        <v>45373</v>
      </c>
      <c r="I21" t="s">
        <v>97</v>
      </c>
      <c r="J21" t="s">
        <v>49</v>
      </c>
      <c r="K21">
        <v>5</v>
      </c>
      <c r="L21" t="s">
        <v>20</v>
      </c>
      <c r="M21" s="1">
        <f t="shared" ca="1" si="0"/>
        <v>46204</v>
      </c>
      <c r="N21">
        <f t="shared" ca="1" si="1"/>
        <v>1</v>
      </c>
    </row>
    <row r="22" spans="1:14" x14ac:dyDescent="0.3">
      <c r="A22" t="s">
        <v>98</v>
      </c>
      <c r="B22" t="s">
        <v>99</v>
      </c>
      <c r="C22" t="s">
        <v>23</v>
      </c>
      <c r="D22" t="s">
        <v>56</v>
      </c>
      <c r="E22" t="s">
        <v>52</v>
      </c>
      <c r="F22">
        <v>8.65</v>
      </c>
      <c r="G22" s="1">
        <v>45898</v>
      </c>
      <c r="H22" s="1">
        <v>44996</v>
      </c>
      <c r="I22" t="s">
        <v>100</v>
      </c>
      <c r="J22" t="s">
        <v>26</v>
      </c>
      <c r="K22">
        <v>5</v>
      </c>
      <c r="L22" t="s">
        <v>27</v>
      </c>
      <c r="M22" s="1">
        <f t="shared" ca="1" si="0"/>
        <v>46204</v>
      </c>
      <c r="N22">
        <f t="shared" ca="1" si="1"/>
        <v>1</v>
      </c>
    </row>
    <row r="23" spans="1:14" x14ac:dyDescent="0.3">
      <c r="A23" t="s">
        <v>101</v>
      </c>
      <c r="B23" t="s">
        <v>102</v>
      </c>
      <c r="C23" t="s">
        <v>60</v>
      </c>
      <c r="D23" t="s">
        <v>35</v>
      </c>
      <c r="E23" t="s">
        <v>52</v>
      </c>
      <c r="F23">
        <v>29.32</v>
      </c>
      <c r="G23" s="1">
        <v>46002</v>
      </c>
      <c r="H23" s="1">
        <v>44748</v>
      </c>
      <c r="I23" t="s">
        <v>103</v>
      </c>
      <c r="J23" t="s">
        <v>49</v>
      </c>
      <c r="K23">
        <v>3</v>
      </c>
      <c r="L23" t="s">
        <v>27</v>
      </c>
      <c r="M23" s="1">
        <f t="shared" ca="1" si="0"/>
        <v>46204</v>
      </c>
      <c r="N23">
        <f t="shared" ca="1" si="1"/>
        <v>1</v>
      </c>
    </row>
    <row r="24" spans="1:14" x14ac:dyDescent="0.3">
      <c r="A24" t="s">
        <v>104</v>
      </c>
      <c r="B24" t="s">
        <v>105</v>
      </c>
      <c r="C24" t="s">
        <v>23</v>
      </c>
      <c r="D24" t="s">
        <v>73</v>
      </c>
      <c r="E24" t="s">
        <v>17</v>
      </c>
      <c r="F24">
        <v>16.23</v>
      </c>
      <c r="G24" s="1">
        <v>46049</v>
      </c>
      <c r="H24" s="1">
        <v>43733</v>
      </c>
      <c r="I24" t="s">
        <v>106</v>
      </c>
      <c r="J24" t="s">
        <v>75</v>
      </c>
      <c r="K24">
        <v>4</v>
      </c>
      <c r="L24" t="s">
        <v>27</v>
      </c>
      <c r="M24" s="1">
        <f t="shared" ca="1" si="0"/>
        <v>46204</v>
      </c>
      <c r="N24">
        <f t="shared" ca="1" si="1"/>
        <v>1</v>
      </c>
    </row>
    <row r="25" spans="1:14" x14ac:dyDescent="0.3">
      <c r="A25" t="s">
        <v>107</v>
      </c>
      <c r="B25" t="s">
        <v>108</v>
      </c>
      <c r="C25" t="s">
        <v>15</v>
      </c>
      <c r="D25" t="s">
        <v>56</v>
      </c>
      <c r="E25" t="s">
        <v>30</v>
      </c>
      <c r="F25">
        <v>20.02</v>
      </c>
      <c r="G25" s="1">
        <v>45996</v>
      </c>
      <c r="H25" s="1">
        <v>43323</v>
      </c>
      <c r="I25" t="s">
        <v>109</v>
      </c>
      <c r="J25" t="s">
        <v>37</v>
      </c>
      <c r="K25">
        <v>3</v>
      </c>
      <c r="L25" t="s">
        <v>20</v>
      </c>
      <c r="M25" s="1">
        <f t="shared" ca="1" si="0"/>
        <v>46204</v>
      </c>
      <c r="N25">
        <f t="shared" ca="1" si="1"/>
        <v>1</v>
      </c>
    </row>
    <row r="26" spans="1:14" x14ac:dyDescent="0.3">
      <c r="A26" t="s">
        <v>110</v>
      </c>
      <c r="B26" t="s">
        <v>111</v>
      </c>
      <c r="C26" t="s">
        <v>60</v>
      </c>
      <c r="D26" t="s">
        <v>73</v>
      </c>
      <c r="E26" t="s">
        <v>30</v>
      </c>
      <c r="F26">
        <v>39.090000000000003</v>
      </c>
      <c r="G26" s="1">
        <v>45778</v>
      </c>
      <c r="H26" s="1">
        <v>44055</v>
      </c>
      <c r="I26" t="s">
        <v>112</v>
      </c>
      <c r="J26" t="s">
        <v>94</v>
      </c>
      <c r="K26">
        <v>4</v>
      </c>
      <c r="L26" t="s">
        <v>20</v>
      </c>
      <c r="M26" s="1">
        <f t="shared" ca="1" si="0"/>
        <v>46204</v>
      </c>
      <c r="N26">
        <f t="shared" ca="1" si="1"/>
        <v>1</v>
      </c>
    </row>
    <row r="27" spans="1:14" x14ac:dyDescent="0.3">
      <c r="A27" t="s">
        <v>113</v>
      </c>
      <c r="B27" t="s">
        <v>114</v>
      </c>
      <c r="C27" t="s">
        <v>64</v>
      </c>
      <c r="D27" t="s">
        <v>56</v>
      </c>
      <c r="E27" t="s">
        <v>52</v>
      </c>
      <c r="F27">
        <v>23.03</v>
      </c>
      <c r="G27" s="1">
        <v>45721</v>
      </c>
      <c r="H27" s="1">
        <v>43257</v>
      </c>
      <c r="I27" t="s">
        <v>115</v>
      </c>
      <c r="J27" t="s">
        <v>94</v>
      </c>
      <c r="K27">
        <v>1</v>
      </c>
      <c r="L27" t="s">
        <v>27</v>
      </c>
      <c r="M27" s="1">
        <f t="shared" ca="1" si="0"/>
        <v>46204</v>
      </c>
      <c r="N27">
        <f t="shared" ca="1" si="1"/>
        <v>1</v>
      </c>
    </row>
    <row r="28" spans="1:14" x14ac:dyDescent="0.3">
      <c r="A28" t="s">
        <v>116</v>
      </c>
      <c r="B28" t="s">
        <v>117</v>
      </c>
      <c r="C28" t="s">
        <v>34</v>
      </c>
      <c r="D28" t="s">
        <v>73</v>
      </c>
      <c r="E28" t="s">
        <v>30</v>
      </c>
      <c r="F28">
        <v>21.17</v>
      </c>
      <c r="G28" s="1">
        <v>45777</v>
      </c>
      <c r="H28" s="1">
        <v>42396</v>
      </c>
      <c r="I28" t="s">
        <v>118</v>
      </c>
      <c r="J28" t="s">
        <v>66</v>
      </c>
      <c r="K28">
        <v>2</v>
      </c>
      <c r="L28" t="s">
        <v>27</v>
      </c>
      <c r="M28" s="1">
        <f t="shared" ca="1" si="0"/>
        <v>46204</v>
      </c>
      <c r="N28">
        <f t="shared" ca="1" si="1"/>
        <v>1</v>
      </c>
    </row>
    <row r="29" spans="1:14" x14ac:dyDescent="0.3">
      <c r="A29" t="s">
        <v>119</v>
      </c>
      <c r="B29" t="s">
        <v>120</v>
      </c>
      <c r="C29" t="s">
        <v>60</v>
      </c>
      <c r="D29" t="s">
        <v>73</v>
      </c>
      <c r="E29" t="s">
        <v>30</v>
      </c>
      <c r="F29">
        <v>23.92</v>
      </c>
      <c r="G29" s="1">
        <v>45853</v>
      </c>
      <c r="H29" s="1">
        <v>43368</v>
      </c>
      <c r="I29" t="s">
        <v>121</v>
      </c>
      <c r="J29" t="s">
        <v>94</v>
      </c>
      <c r="K29">
        <v>2</v>
      </c>
      <c r="L29" t="s">
        <v>27</v>
      </c>
      <c r="M29" s="1">
        <f t="shared" ca="1" si="0"/>
        <v>46204</v>
      </c>
      <c r="N29">
        <f t="shared" ca="1" si="1"/>
        <v>1</v>
      </c>
    </row>
    <row r="30" spans="1:14" x14ac:dyDescent="0.3">
      <c r="A30" t="s">
        <v>122</v>
      </c>
      <c r="B30" t="s">
        <v>123</v>
      </c>
      <c r="C30" t="s">
        <v>124</v>
      </c>
      <c r="D30" t="s">
        <v>40</v>
      </c>
      <c r="E30" t="s">
        <v>30</v>
      </c>
      <c r="F30">
        <v>12.18</v>
      </c>
      <c r="G30" s="1">
        <v>46027</v>
      </c>
      <c r="H30" s="1">
        <v>44710</v>
      </c>
      <c r="I30" t="s">
        <v>125</v>
      </c>
      <c r="J30" t="s">
        <v>49</v>
      </c>
      <c r="K30">
        <v>1</v>
      </c>
      <c r="L30" t="s">
        <v>27</v>
      </c>
      <c r="M30" s="1">
        <f t="shared" ca="1" si="0"/>
        <v>46204</v>
      </c>
      <c r="N30">
        <f t="shared" ca="1" si="1"/>
        <v>1</v>
      </c>
    </row>
    <row r="31" spans="1:14" x14ac:dyDescent="0.3">
      <c r="A31" t="s">
        <v>126</v>
      </c>
      <c r="B31" t="s">
        <v>127</v>
      </c>
      <c r="C31" t="s">
        <v>60</v>
      </c>
      <c r="D31" t="s">
        <v>73</v>
      </c>
      <c r="E31" t="s">
        <v>52</v>
      </c>
      <c r="F31">
        <v>22.64</v>
      </c>
      <c r="G31" s="1">
        <v>46065</v>
      </c>
      <c r="H31" s="1">
        <v>45426</v>
      </c>
      <c r="I31" t="s">
        <v>128</v>
      </c>
      <c r="J31" t="s">
        <v>94</v>
      </c>
      <c r="K31">
        <v>2</v>
      </c>
      <c r="L31" t="s">
        <v>20</v>
      </c>
      <c r="M31" s="1">
        <f t="shared" ca="1" si="0"/>
        <v>46204</v>
      </c>
      <c r="N31">
        <f t="shared" ca="1" si="1"/>
        <v>1</v>
      </c>
    </row>
    <row r="32" spans="1:14" x14ac:dyDescent="0.3">
      <c r="A32" t="s">
        <v>129</v>
      </c>
      <c r="B32" t="s">
        <v>130</v>
      </c>
      <c r="C32" t="s">
        <v>15</v>
      </c>
      <c r="D32" t="s">
        <v>16</v>
      </c>
      <c r="E32" t="s">
        <v>52</v>
      </c>
      <c r="F32">
        <v>31.17</v>
      </c>
      <c r="G32" s="1">
        <v>45968</v>
      </c>
      <c r="H32" s="1">
        <v>44425</v>
      </c>
      <c r="I32" t="s">
        <v>131</v>
      </c>
      <c r="J32" t="s">
        <v>19</v>
      </c>
      <c r="K32">
        <v>4</v>
      </c>
      <c r="L32" t="s">
        <v>27</v>
      </c>
      <c r="M32" s="1">
        <f t="shared" ca="1" si="0"/>
        <v>46204</v>
      </c>
      <c r="N32">
        <f t="shared" ca="1" si="1"/>
        <v>1</v>
      </c>
    </row>
    <row r="33" spans="1:14" x14ac:dyDescent="0.3">
      <c r="A33" t="s">
        <v>132</v>
      </c>
      <c r="B33" t="s">
        <v>133</v>
      </c>
      <c r="C33" t="s">
        <v>34</v>
      </c>
      <c r="D33" t="s">
        <v>69</v>
      </c>
      <c r="E33" t="s">
        <v>24</v>
      </c>
      <c r="F33">
        <v>35.94</v>
      </c>
      <c r="G33" s="1">
        <v>45793</v>
      </c>
      <c r="H33" s="1">
        <v>43257</v>
      </c>
      <c r="I33" t="s">
        <v>134</v>
      </c>
      <c r="J33" t="s">
        <v>26</v>
      </c>
      <c r="K33">
        <v>4</v>
      </c>
      <c r="L33" t="s">
        <v>27</v>
      </c>
      <c r="M33" s="1">
        <f t="shared" ca="1" si="0"/>
        <v>46204</v>
      </c>
      <c r="N33">
        <f t="shared" ca="1" si="1"/>
        <v>1</v>
      </c>
    </row>
    <row r="34" spans="1:14" x14ac:dyDescent="0.3">
      <c r="A34" t="s">
        <v>135</v>
      </c>
      <c r="B34" t="s">
        <v>136</v>
      </c>
      <c r="C34" t="s">
        <v>60</v>
      </c>
      <c r="D34" t="s">
        <v>73</v>
      </c>
      <c r="E34" t="s">
        <v>17</v>
      </c>
      <c r="F34">
        <v>31.39</v>
      </c>
      <c r="G34" s="1">
        <v>46021</v>
      </c>
      <c r="H34" s="1">
        <v>44275</v>
      </c>
      <c r="I34" t="s">
        <v>137</v>
      </c>
      <c r="J34" t="s">
        <v>19</v>
      </c>
      <c r="K34">
        <v>1</v>
      </c>
      <c r="L34" t="s">
        <v>20</v>
      </c>
      <c r="M34" s="1">
        <f t="shared" ca="1" si="0"/>
        <v>46204</v>
      </c>
      <c r="N34">
        <f t="shared" ca="1" si="1"/>
        <v>1</v>
      </c>
    </row>
    <row r="35" spans="1:14" x14ac:dyDescent="0.3">
      <c r="A35" t="s">
        <v>138</v>
      </c>
      <c r="B35" t="s">
        <v>139</v>
      </c>
      <c r="C35" t="s">
        <v>23</v>
      </c>
      <c r="D35" t="s">
        <v>40</v>
      </c>
      <c r="E35" t="s">
        <v>24</v>
      </c>
      <c r="F35">
        <v>7.91</v>
      </c>
      <c r="G35" s="1">
        <v>45784</v>
      </c>
      <c r="H35" s="1">
        <v>44852</v>
      </c>
      <c r="I35" t="s">
        <v>140</v>
      </c>
      <c r="J35" t="s">
        <v>49</v>
      </c>
      <c r="K35">
        <v>2</v>
      </c>
      <c r="L35" t="s">
        <v>27</v>
      </c>
      <c r="M35" s="1">
        <f t="shared" ca="1" si="0"/>
        <v>46204</v>
      </c>
      <c r="N35">
        <f t="shared" ca="1" si="1"/>
        <v>1</v>
      </c>
    </row>
    <row r="36" spans="1:14" x14ac:dyDescent="0.3">
      <c r="A36" t="s">
        <v>141</v>
      </c>
      <c r="B36" t="s">
        <v>142</v>
      </c>
      <c r="C36" t="s">
        <v>60</v>
      </c>
      <c r="D36" t="s">
        <v>40</v>
      </c>
      <c r="E36" t="s">
        <v>24</v>
      </c>
      <c r="F36">
        <v>7.43</v>
      </c>
      <c r="G36" s="1">
        <v>45839</v>
      </c>
      <c r="H36" s="1">
        <v>45158</v>
      </c>
      <c r="I36" t="s">
        <v>143</v>
      </c>
      <c r="J36" t="s">
        <v>26</v>
      </c>
      <c r="K36">
        <v>3</v>
      </c>
      <c r="L36" t="s">
        <v>27</v>
      </c>
      <c r="M36" s="1">
        <f t="shared" ca="1" si="0"/>
        <v>46204</v>
      </c>
      <c r="N36">
        <f t="shared" ca="1" si="1"/>
        <v>1</v>
      </c>
    </row>
    <row r="37" spans="1:14" x14ac:dyDescent="0.3">
      <c r="A37" t="s">
        <v>144</v>
      </c>
      <c r="B37" t="s">
        <v>145</v>
      </c>
      <c r="C37" t="s">
        <v>47</v>
      </c>
      <c r="D37" t="s">
        <v>56</v>
      </c>
      <c r="E37" t="s">
        <v>24</v>
      </c>
      <c r="F37">
        <v>5.66</v>
      </c>
      <c r="G37" s="1">
        <v>45806</v>
      </c>
      <c r="H37" s="1">
        <v>42412</v>
      </c>
      <c r="I37" t="s">
        <v>146</v>
      </c>
      <c r="J37" t="s">
        <v>75</v>
      </c>
      <c r="K37">
        <v>4</v>
      </c>
      <c r="L37" t="s">
        <v>27</v>
      </c>
      <c r="M37" s="1">
        <f t="shared" ca="1" si="0"/>
        <v>46204</v>
      </c>
      <c r="N37">
        <f t="shared" ca="1" si="1"/>
        <v>1</v>
      </c>
    </row>
    <row r="38" spans="1:14" x14ac:dyDescent="0.3">
      <c r="A38" t="s">
        <v>147</v>
      </c>
      <c r="B38" t="s">
        <v>148</v>
      </c>
      <c r="C38" t="s">
        <v>23</v>
      </c>
      <c r="D38" t="s">
        <v>56</v>
      </c>
      <c r="E38" t="s">
        <v>17</v>
      </c>
      <c r="F38">
        <v>21.33</v>
      </c>
      <c r="G38" s="1">
        <v>46051</v>
      </c>
      <c r="H38" s="1">
        <v>44661</v>
      </c>
      <c r="I38" t="s">
        <v>149</v>
      </c>
      <c r="J38" t="s">
        <v>75</v>
      </c>
      <c r="K38">
        <v>1</v>
      </c>
      <c r="L38" t="s">
        <v>27</v>
      </c>
      <c r="M38" s="1">
        <f t="shared" ca="1" si="0"/>
        <v>46204</v>
      </c>
      <c r="N38">
        <f t="shared" ca="1" si="1"/>
        <v>1</v>
      </c>
    </row>
    <row r="39" spans="1:14" x14ac:dyDescent="0.3">
      <c r="A39" t="s">
        <v>150</v>
      </c>
      <c r="B39" t="s">
        <v>151</v>
      </c>
      <c r="C39" t="s">
        <v>34</v>
      </c>
      <c r="D39" t="s">
        <v>69</v>
      </c>
      <c r="E39" t="s">
        <v>17</v>
      </c>
      <c r="F39">
        <v>32.58</v>
      </c>
      <c r="G39" s="1">
        <v>45982</v>
      </c>
      <c r="H39" s="1">
        <v>42346</v>
      </c>
      <c r="I39" t="s">
        <v>152</v>
      </c>
      <c r="J39" t="s">
        <v>19</v>
      </c>
      <c r="K39">
        <v>4</v>
      </c>
      <c r="L39" t="s">
        <v>20</v>
      </c>
      <c r="M39" s="1">
        <f t="shared" ca="1" si="0"/>
        <v>46204</v>
      </c>
      <c r="N39">
        <f t="shared" ca="1" si="1"/>
        <v>1</v>
      </c>
    </row>
    <row r="40" spans="1:14" x14ac:dyDescent="0.3">
      <c r="A40" t="s">
        <v>153</v>
      </c>
      <c r="B40" t="s">
        <v>154</v>
      </c>
      <c r="C40" t="s">
        <v>15</v>
      </c>
      <c r="D40" t="s">
        <v>16</v>
      </c>
      <c r="E40" t="s">
        <v>30</v>
      </c>
      <c r="F40">
        <v>39.81</v>
      </c>
      <c r="G40" s="1">
        <v>45946</v>
      </c>
      <c r="H40" s="1">
        <v>45055</v>
      </c>
      <c r="I40" t="s">
        <v>155</v>
      </c>
      <c r="J40" t="s">
        <v>37</v>
      </c>
      <c r="K40">
        <v>5</v>
      </c>
      <c r="L40" t="s">
        <v>27</v>
      </c>
      <c r="M40" s="1">
        <f t="shared" ca="1" si="0"/>
        <v>46204</v>
      </c>
      <c r="N40">
        <f t="shared" ca="1" si="1"/>
        <v>1</v>
      </c>
    </row>
    <row r="41" spans="1:14" x14ac:dyDescent="0.3">
      <c r="A41" t="s">
        <v>156</v>
      </c>
      <c r="B41" t="s">
        <v>157</v>
      </c>
      <c r="C41" t="s">
        <v>47</v>
      </c>
      <c r="D41" t="s">
        <v>73</v>
      </c>
      <c r="E41" t="s">
        <v>52</v>
      </c>
      <c r="F41">
        <v>13.15</v>
      </c>
      <c r="G41" s="1">
        <v>45939</v>
      </c>
      <c r="H41" s="1">
        <v>42947</v>
      </c>
      <c r="I41" t="s">
        <v>158</v>
      </c>
      <c r="J41" t="s">
        <v>94</v>
      </c>
      <c r="K41">
        <v>4</v>
      </c>
      <c r="L41" t="s">
        <v>20</v>
      </c>
      <c r="M41" s="1">
        <f t="shared" ca="1" si="0"/>
        <v>46204</v>
      </c>
      <c r="N41">
        <f t="shared" ca="1" si="1"/>
        <v>1</v>
      </c>
    </row>
    <row r="42" spans="1:14" x14ac:dyDescent="0.3">
      <c r="A42" t="s">
        <v>159</v>
      </c>
      <c r="B42" t="s">
        <v>160</v>
      </c>
      <c r="C42" t="s">
        <v>15</v>
      </c>
      <c r="D42" t="s">
        <v>56</v>
      </c>
      <c r="E42" t="s">
        <v>24</v>
      </c>
      <c r="F42">
        <v>4.25</v>
      </c>
      <c r="G42" s="1">
        <v>45715</v>
      </c>
      <c r="H42" s="1">
        <v>44950</v>
      </c>
      <c r="I42" t="s">
        <v>161</v>
      </c>
      <c r="J42" t="s">
        <v>75</v>
      </c>
      <c r="K42">
        <v>4</v>
      </c>
      <c r="L42" t="s">
        <v>20</v>
      </c>
      <c r="M42" s="1">
        <f t="shared" ca="1" si="0"/>
        <v>46204</v>
      </c>
      <c r="N42">
        <f t="shared" ca="1" si="1"/>
        <v>1</v>
      </c>
    </row>
    <row r="43" spans="1:14" x14ac:dyDescent="0.3">
      <c r="A43" t="s">
        <v>162</v>
      </c>
      <c r="B43" t="s">
        <v>163</v>
      </c>
      <c r="C43" t="s">
        <v>15</v>
      </c>
      <c r="D43" t="s">
        <v>56</v>
      </c>
      <c r="E43" t="s">
        <v>30</v>
      </c>
      <c r="F43">
        <v>30.04</v>
      </c>
      <c r="G43" s="1">
        <v>45847</v>
      </c>
      <c r="H43" s="1">
        <v>43008</v>
      </c>
      <c r="I43" t="s">
        <v>164</v>
      </c>
      <c r="J43" t="s">
        <v>49</v>
      </c>
      <c r="K43">
        <v>3</v>
      </c>
      <c r="L43" t="s">
        <v>20</v>
      </c>
      <c r="M43" s="1">
        <f t="shared" ca="1" si="0"/>
        <v>46204</v>
      </c>
      <c r="N43">
        <f t="shared" ca="1" si="1"/>
        <v>1</v>
      </c>
    </row>
    <row r="44" spans="1:14" x14ac:dyDescent="0.3">
      <c r="A44" t="s">
        <v>165</v>
      </c>
      <c r="B44" t="s">
        <v>166</v>
      </c>
      <c r="C44" t="s">
        <v>124</v>
      </c>
      <c r="D44" t="s">
        <v>40</v>
      </c>
      <c r="E44" t="s">
        <v>30</v>
      </c>
      <c r="F44">
        <v>10.3</v>
      </c>
      <c r="G44" s="1">
        <v>45891</v>
      </c>
      <c r="H44" s="1">
        <v>45378</v>
      </c>
      <c r="I44" t="s">
        <v>167</v>
      </c>
      <c r="J44" t="s">
        <v>49</v>
      </c>
      <c r="K44">
        <v>1</v>
      </c>
      <c r="L44" t="s">
        <v>20</v>
      </c>
      <c r="M44" s="1">
        <f t="shared" ca="1" si="0"/>
        <v>46204</v>
      </c>
      <c r="N44">
        <f t="shared" ca="1" si="1"/>
        <v>1</v>
      </c>
    </row>
    <row r="45" spans="1:14" x14ac:dyDescent="0.3">
      <c r="A45" t="s">
        <v>168</v>
      </c>
      <c r="B45" t="s">
        <v>169</v>
      </c>
      <c r="C45" t="s">
        <v>23</v>
      </c>
      <c r="D45" t="s">
        <v>73</v>
      </c>
      <c r="E45" t="s">
        <v>17</v>
      </c>
      <c r="F45">
        <v>6.85</v>
      </c>
      <c r="G45" s="1">
        <v>46065</v>
      </c>
      <c r="H45" s="1">
        <v>44329</v>
      </c>
      <c r="I45" t="s">
        <v>170</v>
      </c>
      <c r="J45" t="s">
        <v>94</v>
      </c>
      <c r="K45">
        <v>5</v>
      </c>
      <c r="L45" t="s">
        <v>20</v>
      </c>
      <c r="M45" s="1">
        <f t="shared" ca="1" si="0"/>
        <v>46204</v>
      </c>
      <c r="N45">
        <f t="shared" ca="1" si="1"/>
        <v>1</v>
      </c>
    </row>
    <row r="46" spans="1:14" x14ac:dyDescent="0.3">
      <c r="A46" t="s">
        <v>171</v>
      </c>
      <c r="B46" t="s">
        <v>172</v>
      </c>
      <c r="C46" t="s">
        <v>23</v>
      </c>
      <c r="D46" t="s">
        <v>73</v>
      </c>
      <c r="E46" t="s">
        <v>30</v>
      </c>
      <c r="F46">
        <v>25.95</v>
      </c>
      <c r="G46" s="1">
        <v>45826</v>
      </c>
      <c r="H46" s="1">
        <v>43852</v>
      </c>
      <c r="I46" t="s">
        <v>173</v>
      </c>
      <c r="J46" t="s">
        <v>26</v>
      </c>
      <c r="K46">
        <v>2</v>
      </c>
      <c r="L46" t="s">
        <v>27</v>
      </c>
      <c r="M46" s="1">
        <f t="shared" ca="1" si="0"/>
        <v>46204</v>
      </c>
      <c r="N46">
        <f t="shared" ca="1" si="1"/>
        <v>1</v>
      </c>
    </row>
    <row r="47" spans="1:14" x14ac:dyDescent="0.3">
      <c r="A47" t="s">
        <v>174</v>
      </c>
      <c r="B47" t="s">
        <v>175</v>
      </c>
      <c r="C47" t="s">
        <v>34</v>
      </c>
      <c r="D47" t="s">
        <v>35</v>
      </c>
      <c r="E47" t="s">
        <v>17</v>
      </c>
      <c r="F47">
        <v>12.56</v>
      </c>
      <c r="G47" s="1">
        <v>45878</v>
      </c>
      <c r="H47" s="1">
        <v>44064</v>
      </c>
      <c r="I47" t="s">
        <v>176</v>
      </c>
      <c r="J47" t="s">
        <v>75</v>
      </c>
      <c r="K47">
        <v>1</v>
      </c>
      <c r="L47" t="s">
        <v>20</v>
      </c>
      <c r="M47" s="1">
        <f t="shared" ca="1" si="0"/>
        <v>46204</v>
      </c>
      <c r="N47">
        <f t="shared" ca="1" si="1"/>
        <v>1</v>
      </c>
    </row>
    <row r="48" spans="1:14" x14ac:dyDescent="0.3">
      <c r="A48" t="s">
        <v>177</v>
      </c>
      <c r="B48" t="s">
        <v>178</v>
      </c>
      <c r="C48" t="s">
        <v>47</v>
      </c>
      <c r="D48" t="s">
        <v>73</v>
      </c>
      <c r="E48" t="s">
        <v>52</v>
      </c>
      <c r="F48">
        <v>25.32</v>
      </c>
      <c r="G48" s="1">
        <v>46040</v>
      </c>
      <c r="H48" s="1">
        <v>43392</v>
      </c>
      <c r="I48" t="s">
        <v>179</v>
      </c>
      <c r="J48" t="s">
        <v>19</v>
      </c>
      <c r="K48">
        <v>2</v>
      </c>
      <c r="L48" t="s">
        <v>20</v>
      </c>
      <c r="M48" s="1">
        <f t="shared" ca="1" si="0"/>
        <v>46204</v>
      </c>
      <c r="N48">
        <f t="shared" ca="1" si="1"/>
        <v>1</v>
      </c>
    </row>
    <row r="49" spans="1:14" x14ac:dyDescent="0.3">
      <c r="A49" t="s">
        <v>180</v>
      </c>
      <c r="B49" t="s">
        <v>181</v>
      </c>
      <c r="C49" t="s">
        <v>34</v>
      </c>
      <c r="D49" t="s">
        <v>16</v>
      </c>
      <c r="E49" t="s">
        <v>17</v>
      </c>
      <c r="F49">
        <v>20.49</v>
      </c>
      <c r="G49" s="1">
        <v>45730</v>
      </c>
      <c r="H49" s="1">
        <v>44451</v>
      </c>
      <c r="I49" t="s">
        <v>182</v>
      </c>
      <c r="J49" t="s">
        <v>26</v>
      </c>
      <c r="K49">
        <v>1</v>
      </c>
      <c r="L49" t="s">
        <v>27</v>
      </c>
      <c r="M49" s="1">
        <f t="shared" ca="1" si="0"/>
        <v>46204</v>
      </c>
      <c r="N49">
        <f t="shared" ca="1" si="1"/>
        <v>1</v>
      </c>
    </row>
    <row r="50" spans="1:14" x14ac:dyDescent="0.3">
      <c r="A50" t="s">
        <v>183</v>
      </c>
      <c r="B50" t="s">
        <v>184</v>
      </c>
      <c r="C50" t="s">
        <v>60</v>
      </c>
      <c r="D50" t="s">
        <v>35</v>
      </c>
      <c r="E50" t="s">
        <v>24</v>
      </c>
      <c r="F50">
        <v>10.25</v>
      </c>
      <c r="G50" s="1">
        <v>45775</v>
      </c>
      <c r="H50" s="1">
        <v>43440</v>
      </c>
      <c r="I50" t="s">
        <v>185</v>
      </c>
      <c r="J50" t="s">
        <v>66</v>
      </c>
      <c r="K50">
        <v>1</v>
      </c>
      <c r="L50" t="s">
        <v>20</v>
      </c>
      <c r="M50" s="1">
        <f t="shared" ca="1" si="0"/>
        <v>46204</v>
      </c>
      <c r="N50">
        <f t="shared" ca="1" si="1"/>
        <v>1</v>
      </c>
    </row>
    <row r="51" spans="1:14" x14ac:dyDescent="0.3">
      <c r="A51" t="s">
        <v>186</v>
      </c>
      <c r="B51" t="s">
        <v>187</v>
      </c>
      <c r="C51" t="s">
        <v>124</v>
      </c>
      <c r="D51" t="s">
        <v>35</v>
      </c>
      <c r="E51" t="s">
        <v>24</v>
      </c>
      <c r="F51">
        <v>35.25</v>
      </c>
      <c r="G51" s="1">
        <v>46053</v>
      </c>
      <c r="H51" s="1">
        <v>42987</v>
      </c>
      <c r="I51" t="s">
        <v>188</v>
      </c>
      <c r="J51" t="s">
        <v>94</v>
      </c>
      <c r="K51">
        <v>3</v>
      </c>
      <c r="L51" t="s">
        <v>27</v>
      </c>
      <c r="M51" s="1">
        <f t="shared" ca="1" si="0"/>
        <v>46204</v>
      </c>
      <c r="N51">
        <f t="shared" ca="1" si="1"/>
        <v>1</v>
      </c>
    </row>
    <row r="52" spans="1:14" x14ac:dyDescent="0.3">
      <c r="A52" t="s">
        <v>189</v>
      </c>
      <c r="B52" t="s">
        <v>190</v>
      </c>
      <c r="C52" t="s">
        <v>124</v>
      </c>
      <c r="D52" t="s">
        <v>35</v>
      </c>
      <c r="E52" t="s">
        <v>52</v>
      </c>
      <c r="F52">
        <v>12.26</v>
      </c>
      <c r="G52" s="1">
        <v>46005</v>
      </c>
      <c r="H52" s="1">
        <v>42729</v>
      </c>
      <c r="I52" t="s">
        <v>191</v>
      </c>
      <c r="J52" t="s">
        <v>75</v>
      </c>
      <c r="K52">
        <v>4</v>
      </c>
      <c r="L52" t="s">
        <v>20</v>
      </c>
      <c r="M52" s="1">
        <f t="shared" ca="1" si="0"/>
        <v>46204</v>
      </c>
      <c r="N52">
        <f t="shared" ca="1" si="1"/>
        <v>1</v>
      </c>
    </row>
    <row r="53" spans="1:14" x14ac:dyDescent="0.3">
      <c r="A53" t="s">
        <v>192</v>
      </c>
      <c r="B53" t="s">
        <v>193</v>
      </c>
      <c r="C53" t="s">
        <v>47</v>
      </c>
      <c r="D53" t="s">
        <v>40</v>
      </c>
      <c r="E53" t="s">
        <v>52</v>
      </c>
      <c r="F53">
        <v>4.7699999999999996</v>
      </c>
      <c r="G53" s="1">
        <v>45889</v>
      </c>
      <c r="H53" s="1">
        <v>43564</v>
      </c>
      <c r="I53" t="s">
        <v>194</v>
      </c>
      <c r="J53" t="s">
        <v>94</v>
      </c>
      <c r="K53">
        <v>1</v>
      </c>
      <c r="L53" t="s">
        <v>27</v>
      </c>
      <c r="M53" s="1">
        <f t="shared" ca="1" si="0"/>
        <v>46204</v>
      </c>
      <c r="N53">
        <f t="shared" ca="1" si="1"/>
        <v>1</v>
      </c>
    </row>
    <row r="54" spans="1:14" x14ac:dyDescent="0.3">
      <c r="A54" t="s">
        <v>195</v>
      </c>
      <c r="B54" t="s">
        <v>196</v>
      </c>
      <c r="C54" t="s">
        <v>124</v>
      </c>
      <c r="D54" t="s">
        <v>69</v>
      </c>
      <c r="E54" t="s">
        <v>17</v>
      </c>
      <c r="F54">
        <v>16.62</v>
      </c>
      <c r="G54" s="1">
        <v>45915</v>
      </c>
      <c r="H54" s="1">
        <v>42383</v>
      </c>
      <c r="I54" t="s">
        <v>197</v>
      </c>
      <c r="J54" t="s">
        <v>94</v>
      </c>
      <c r="K54">
        <v>2</v>
      </c>
      <c r="L54" t="s">
        <v>20</v>
      </c>
      <c r="M54" s="1">
        <f t="shared" ca="1" si="0"/>
        <v>46204</v>
      </c>
      <c r="N54">
        <f t="shared" ca="1" si="1"/>
        <v>1</v>
      </c>
    </row>
    <row r="55" spans="1:14" x14ac:dyDescent="0.3">
      <c r="A55" t="s">
        <v>198</v>
      </c>
      <c r="B55" t="s">
        <v>199</v>
      </c>
      <c r="C55" t="s">
        <v>34</v>
      </c>
      <c r="D55" t="s">
        <v>56</v>
      </c>
      <c r="E55" t="s">
        <v>30</v>
      </c>
      <c r="F55">
        <v>21.2</v>
      </c>
      <c r="G55" s="1">
        <v>45771</v>
      </c>
      <c r="H55" s="1">
        <v>43166</v>
      </c>
      <c r="I55" t="s">
        <v>200</v>
      </c>
      <c r="J55" t="s">
        <v>94</v>
      </c>
      <c r="K55">
        <v>5</v>
      </c>
      <c r="L55" t="s">
        <v>27</v>
      </c>
      <c r="M55" s="1">
        <f t="shared" ca="1" si="0"/>
        <v>46204</v>
      </c>
      <c r="N55">
        <f t="shared" ca="1" si="1"/>
        <v>1</v>
      </c>
    </row>
    <row r="56" spans="1:14" x14ac:dyDescent="0.3">
      <c r="A56" t="s">
        <v>201</v>
      </c>
      <c r="B56" t="s">
        <v>202</v>
      </c>
      <c r="C56" t="s">
        <v>47</v>
      </c>
      <c r="D56" t="s">
        <v>16</v>
      </c>
      <c r="E56" t="s">
        <v>17</v>
      </c>
      <c r="F56">
        <v>9.94</v>
      </c>
      <c r="G56" s="1">
        <v>45883</v>
      </c>
      <c r="H56" s="1">
        <v>44830</v>
      </c>
      <c r="I56" t="s">
        <v>203</v>
      </c>
      <c r="J56" t="s">
        <v>66</v>
      </c>
      <c r="K56">
        <v>5</v>
      </c>
      <c r="L56" t="s">
        <v>20</v>
      </c>
      <c r="M56" s="1">
        <f t="shared" ca="1" si="0"/>
        <v>46204</v>
      </c>
      <c r="N56">
        <f t="shared" ca="1" si="1"/>
        <v>1</v>
      </c>
    </row>
    <row r="57" spans="1:14" x14ac:dyDescent="0.3">
      <c r="A57" t="s">
        <v>204</v>
      </c>
      <c r="B57" t="s">
        <v>205</v>
      </c>
      <c r="C57" t="s">
        <v>64</v>
      </c>
      <c r="D57" t="s">
        <v>73</v>
      </c>
      <c r="E57" t="s">
        <v>52</v>
      </c>
      <c r="F57">
        <v>3.41</v>
      </c>
      <c r="G57" s="1">
        <v>45949</v>
      </c>
      <c r="H57" s="1">
        <v>44590</v>
      </c>
      <c r="I57" t="s">
        <v>206</v>
      </c>
      <c r="J57" t="s">
        <v>19</v>
      </c>
      <c r="K57">
        <v>5</v>
      </c>
      <c r="L57" t="s">
        <v>20</v>
      </c>
      <c r="M57" s="1">
        <f t="shared" ca="1" si="0"/>
        <v>46204</v>
      </c>
      <c r="N57">
        <f t="shared" ca="1" si="1"/>
        <v>1</v>
      </c>
    </row>
    <row r="58" spans="1:14" x14ac:dyDescent="0.3">
      <c r="A58" t="s">
        <v>207</v>
      </c>
      <c r="B58" t="s">
        <v>208</v>
      </c>
      <c r="C58" t="s">
        <v>124</v>
      </c>
      <c r="D58" t="s">
        <v>35</v>
      </c>
      <c r="E58" t="s">
        <v>30</v>
      </c>
      <c r="F58">
        <v>28.64</v>
      </c>
      <c r="G58" s="1">
        <v>45809</v>
      </c>
      <c r="H58" s="1">
        <v>45207</v>
      </c>
      <c r="I58" t="s">
        <v>209</v>
      </c>
      <c r="J58" t="s">
        <v>75</v>
      </c>
      <c r="K58">
        <v>1</v>
      </c>
      <c r="L58" t="s">
        <v>27</v>
      </c>
      <c r="M58" s="1">
        <f t="shared" ca="1" si="0"/>
        <v>46204</v>
      </c>
      <c r="N58">
        <f t="shared" ca="1" si="1"/>
        <v>1</v>
      </c>
    </row>
    <row r="59" spans="1:14" x14ac:dyDescent="0.3">
      <c r="A59" t="s">
        <v>210</v>
      </c>
      <c r="B59" t="s">
        <v>211</v>
      </c>
      <c r="C59" t="s">
        <v>34</v>
      </c>
      <c r="D59" t="s">
        <v>73</v>
      </c>
      <c r="E59" t="s">
        <v>30</v>
      </c>
      <c r="F59">
        <v>24.64</v>
      </c>
      <c r="G59" s="1">
        <v>45864</v>
      </c>
      <c r="H59" s="1">
        <v>42367</v>
      </c>
      <c r="I59" t="s">
        <v>212</v>
      </c>
      <c r="J59" t="s">
        <v>94</v>
      </c>
      <c r="K59">
        <v>5</v>
      </c>
      <c r="L59" t="s">
        <v>27</v>
      </c>
      <c r="M59" s="1">
        <f t="shared" ca="1" si="0"/>
        <v>46204</v>
      </c>
      <c r="N59">
        <f t="shared" ca="1" si="1"/>
        <v>1</v>
      </c>
    </row>
    <row r="60" spans="1:14" x14ac:dyDescent="0.3">
      <c r="A60" t="s">
        <v>213</v>
      </c>
      <c r="B60" t="s">
        <v>214</v>
      </c>
      <c r="C60" t="s">
        <v>124</v>
      </c>
      <c r="D60" t="s">
        <v>40</v>
      </c>
      <c r="E60" t="s">
        <v>30</v>
      </c>
      <c r="F60">
        <v>13.51</v>
      </c>
      <c r="G60" s="1">
        <v>45873</v>
      </c>
      <c r="H60" s="1">
        <v>44955</v>
      </c>
      <c r="I60" t="s">
        <v>215</v>
      </c>
      <c r="J60" t="s">
        <v>37</v>
      </c>
      <c r="K60">
        <v>2</v>
      </c>
      <c r="L60" t="s">
        <v>27</v>
      </c>
      <c r="M60" s="1">
        <f t="shared" ca="1" si="0"/>
        <v>46204</v>
      </c>
      <c r="N60">
        <f t="shared" ca="1" si="1"/>
        <v>1</v>
      </c>
    </row>
    <row r="61" spans="1:14" x14ac:dyDescent="0.3">
      <c r="A61" t="s">
        <v>216</v>
      </c>
      <c r="B61" t="s">
        <v>217</v>
      </c>
      <c r="C61" t="s">
        <v>47</v>
      </c>
      <c r="D61" t="s">
        <v>56</v>
      </c>
      <c r="E61" t="s">
        <v>52</v>
      </c>
      <c r="F61">
        <v>10.25</v>
      </c>
      <c r="G61" s="1">
        <v>45899</v>
      </c>
      <c r="H61" s="1">
        <v>42580</v>
      </c>
      <c r="I61" t="s">
        <v>218</v>
      </c>
      <c r="J61" t="s">
        <v>19</v>
      </c>
      <c r="K61">
        <v>5</v>
      </c>
      <c r="L61" t="s">
        <v>27</v>
      </c>
      <c r="M61" s="1">
        <f t="shared" ca="1" si="0"/>
        <v>46204</v>
      </c>
      <c r="N61">
        <f t="shared" ca="1" si="1"/>
        <v>1</v>
      </c>
    </row>
    <row r="62" spans="1:14" x14ac:dyDescent="0.3">
      <c r="A62" t="s">
        <v>219</v>
      </c>
      <c r="B62" t="s">
        <v>220</v>
      </c>
      <c r="C62" t="s">
        <v>34</v>
      </c>
      <c r="D62" t="s">
        <v>35</v>
      </c>
      <c r="E62" t="s">
        <v>24</v>
      </c>
      <c r="F62">
        <v>19.88</v>
      </c>
      <c r="G62" s="1">
        <v>45714</v>
      </c>
      <c r="H62" s="1">
        <v>43951</v>
      </c>
      <c r="I62" t="s">
        <v>221</v>
      </c>
      <c r="J62" t="s">
        <v>94</v>
      </c>
      <c r="K62">
        <v>2</v>
      </c>
      <c r="L62" t="s">
        <v>27</v>
      </c>
      <c r="M62" s="1">
        <f t="shared" ca="1" si="0"/>
        <v>46204</v>
      </c>
      <c r="N62">
        <f t="shared" ca="1" si="1"/>
        <v>1</v>
      </c>
    </row>
    <row r="63" spans="1:14" x14ac:dyDescent="0.3">
      <c r="A63" t="s">
        <v>222</v>
      </c>
      <c r="B63" t="s">
        <v>223</v>
      </c>
      <c r="C63" t="s">
        <v>124</v>
      </c>
      <c r="D63" t="s">
        <v>73</v>
      </c>
      <c r="E63" t="s">
        <v>30</v>
      </c>
      <c r="F63">
        <v>6.71</v>
      </c>
      <c r="G63" s="1">
        <v>45871</v>
      </c>
      <c r="H63" s="1">
        <v>42933</v>
      </c>
      <c r="I63" t="s">
        <v>224</v>
      </c>
      <c r="J63" t="s">
        <v>26</v>
      </c>
      <c r="K63">
        <v>5</v>
      </c>
      <c r="L63" t="s">
        <v>27</v>
      </c>
      <c r="M63" s="1">
        <f t="shared" ca="1" si="0"/>
        <v>46204</v>
      </c>
      <c r="N63">
        <f t="shared" ca="1" si="1"/>
        <v>1</v>
      </c>
    </row>
    <row r="64" spans="1:14" x14ac:dyDescent="0.3">
      <c r="A64" t="s">
        <v>225</v>
      </c>
      <c r="B64" t="s">
        <v>226</v>
      </c>
      <c r="C64" t="s">
        <v>34</v>
      </c>
      <c r="D64" t="s">
        <v>73</v>
      </c>
      <c r="E64" t="s">
        <v>24</v>
      </c>
      <c r="F64">
        <v>15.02</v>
      </c>
      <c r="G64" s="1">
        <v>45988</v>
      </c>
      <c r="H64" s="1">
        <v>43176</v>
      </c>
      <c r="I64" t="s">
        <v>227</v>
      </c>
      <c r="J64" t="s">
        <v>26</v>
      </c>
      <c r="K64">
        <v>5</v>
      </c>
      <c r="L64" t="s">
        <v>27</v>
      </c>
      <c r="M64" s="1">
        <f t="shared" ca="1" si="0"/>
        <v>46204</v>
      </c>
      <c r="N64">
        <f t="shared" ca="1" si="1"/>
        <v>1</v>
      </c>
    </row>
    <row r="65" spans="1:14" x14ac:dyDescent="0.3">
      <c r="A65" t="s">
        <v>228</v>
      </c>
      <c r="B65" t="s">
        <v>229</v>
      </c>
      <c r="C65" t="s">
        <v>34</v>
      </c>
      <c r="D65" t="s">
        <v>56</v>
      </c>
      <c r="E65" t="s">
        <v>52</v>
      </c>
      <c r="F65">
        <v>33.479999999999997</v>
      </c>
      <c r="G65" s="1">
        <v>46069</v>
      </c>
      <c r="H65" s="1">
        <v>45259</v>
      </c>
      <c r="I65" t="s">
        <v>230</v>
      </c>
      <c r="J65" t="s">
        <v>49</v>
      </c>
      <c r="K65">
        <v>3</v>
      </c>
      <c r="L65" t="s">
        <v>20</v>
      </c>
      <c r="M65" s="1">
        <f t="shared" ca="1" si="0"/>
        <v>46204</v>
      </c>
      <c r="N65">
        <f t="shared" ca="1" si="1"/>
        <v>1</v>
      </c>
    </row>
    <row r="66" spans="1:14" x14ac:dyDescent="0.3">
      <c r="A66" t="s">
        <v>231</v>
      </c>
      <c r="B66" t="s">
        <v>232</v>
      </c>
      <c r="C66" t="s">
        <v>60</v>
      </c>
      <c r="D66" t="s">
        <v>56</v>
      </c>
      <c r="E66" t="s">
        <v>17</v>
      </c>
      <c r="F66">
        <v>31.34</v>
      </c>
      <c r="G66" s="1">
        <v>45760</v>
      </c>
      <c r="H66" s="1">
        <v>42860</v>
      </c>
      <c r="I66" t="s">
        <v>233</v>
      </c>
      <c r="J66" t="s">
        <v>19</v>
      </c>
      <c r="K66">
        <v>1</v>
      </c>
      <c r="L66" t="s">
        <v>27</v>
      </c>
      <c r="M66" s="1">
        <f t="shared" ca="1" si="0"/>
        <v>46204</v>
      </c>
      <c r="N66">
        <f t="shared" ca="1" si="1"/>
        <v>1</v>
      </c>
    </row>
    <row r="67" spans="1:14" x14ac:dyDescent="0.3">
      <c r="A67" t="s">
        <v>234</v>
      </c>
      <c r="B67" t="s">
        <v>235</v>
      </c>
      <c r="C67" t="s">
        <v>23</v>
      </c>
      <c r="D67" t="s">
        <v>16</v>
      </c>
      <c r="E67" t="s">
        <v>24</v>
      </c>
      <c r="F67">
        <v>5.35</v>
      </c>
      <c r="G67" s="1">
        <v>45750</v>
      </c>
      <c r="H67" s="1">
        <v>43350</v>
      </c>
      <c r="I67" t="s">
        <v>236</v>
      </c>
      <c r="J67" t="s">
        <v>19</v>
      </c>
      <c r="K67">
        <v>2</v>
      </c>
      <c r="L67" t="s">
        <v>27</v>
      </c>
      <c r="M67" s="1">
        <f t="shared" ref="M67:M130" ca="1" si="2">TODAY()</f>
        <v>46204</v>
      </c>
      <c r="N67">
        <f t="shared" ref="N67:N130" ca="1" si="3">IF(G67&lt;M67,1,0)</f>
        <v>1</v>
      </c>
    </row>
    <row r="68" spans="1:14" x14ac:dyDescent="0.3">
      <c r="A68" t="s">
        <v>237</v>
      </c>
      <c r="B68" t="s">
        <v>238</v>
      </c>
      <c r="C68" t="s">
        <v>47</v>
      </c>
      <c r="D68" t="s">
        <v>40</v>
      </c>
      <c r="E68" t="s">
        <v>52</v>
      </c>
      <c r="F68">
        <v>21.38</v>
      </c>
      <c r="G68" s="1">
        <v>45907</v>
      </c>
      <c r="H68" s="1">
        <v>44321</v>
      </c>
      <c r="I68" t="s">
        <v>239</v>
      </c>
      <c r="J68" t="s">
        <v>75</v>
      </c>
      <c r="K68">
        <v>3</v>
      </c>
      <c r="L68" t="s">
        <v>27</v>
      </c>
      <c r="M68" s="1">
        <f t="shared" ca="1" si="2"/>
        <v>46204</v>
      </c>
      <c r="N68">
        <f t="shared" ca="1" si="3"/>
        <v>1</v>
      </c>
    </row>
    <row r="69" spans="1:14" x14ac:dyDescent="0.3">
      <c r="A69" t="s">
        <v>240</v>
      </c>
      <c r="B69" t="s">
        <v>241</v>
      </c>
      <c r="C69" t="s">
        <v>34</v>
      </c>
      <c r="D69" t="s">
        <v>40</v>
      </c>
      <c r="E69" t="s">
        <v>17</v>
      </c>
      <c r="F69">
        <v>7.58</v>
      </c>
      <c r="G69" s="1">
        <v>46029</v>
      </c>
      <c r="H69" s="1">
        <v>42968</v>
      </c>
      <c r="I69" t="s">
        <v>242</v>
      </c>
      <c r="J69" t="s">
        <v>94</v>
      </c>
      <c r="K69">
        <v>4</v>
      </c>
      <c r="L69" t="s">
        <v>20</v>
      </c>
      <c r="M69" s="1">
        <f t="shared" ca="1" si="2"/>
        <v>46204</v>
      </c>
      <c r="N69">
        <f t="shared" ca="1" si="3"/>
        <v>1</v>
      </c>
    </row>
    <row r="70" spans="1:14" x14ac:dyDescent="0.3">
      <c r="A70" t="s">
        <v>243</v>
      </c>
      <c r="B70" t="s">
        <v>244</v>
      </c>
      <c r="C70" t="s">
        <v>34</v>
      </c>
      <c r="D70" t="s">
        <v>69</v>
      </c>
      <c r="E70" t="s">
        <v>17</v>
      </c>
      <c r="F70">
        <v>20.64</v>
      </c>
      <c r="G70" s="1">
        <v>45895</v>
      </c>
      <c r="H70" s="1">
        <v>42740</v>
      </c>
      <c r="I70" t="s">
        <v>245</v>
      </c>
      <c r="J70" t="s">
        <v>75</v>
      </c>
      <c r="K70">
        <v>2</v>
      </c>
      <c r="L70" t="s">
        <v>20</v>
      </c>
      <c r="M70" s="1">
        <f t="shared" ca="1" si="2"/>
        <v>46204</v>
      </c>
      <c r="N70">
        <f t="shared" ca="1" si="3"/>
        <v>1</v>
      </c>
    </row>
    <row r="71" spans="1:14" x14ac:dyDescent="0.3">
      <c r="A71" t="s">
        <v>246</v>
      </c>
      <c r="B71" t="s">
        <v>247</v>
      </c>
      <c r="C71" t="s">
        <v>60</v>
      </c>
      <c r="D71" t="s">
        <v>16</v>
      </c>
      <c r="E71" t="s">
        <v>24</v>
      </c>
      <c r="F71">
        <v>13.14</v>
      </c>
      <c r="G71" s="1">
        <v>45746</v>
      </c>
      <c r="H71" s="1">
        <v>44935</v>
      </c>
      <c r="I71" t="s">
        <v>248</v>
      </c>
      <c r="J71" t="s">
        <v>37</v>
      </c>
      <c r="K71">
        <v>2</v>
      </c>
      <c r="L71" t="s">
        <v>27</v>
      </c>
      <c r="M71" s="1">
        <f t="shared" ca="1" si="2"/>
        <v>46204</v>
      </c>
      <c r="N71">
        <f t="shared" ca="1" si="3"/>
        <v>1</v>
      </c>
    </row>
    <row r="72" spans="1:14" x14ac:dyDescent="0.3">
      <c r="A72" t="s">
        <v>249</v>
      </c>
      <c r="B72" t="s">
        <v>250</v>
      </c>
      <c r="C72" t="s">
        <v>15</v>
      </c>
      <c r="D72" t="s">
        <v>16</v>
      </c>
      <c r="E72" t="s">
        <v>17</v>
      </c>
      <c r="F72">
        <v>37.99</v>
      </c>
      <c r="G72" s="1">
        <v>45886</v>
      </c>
      <c r="H72" s="1">
        <v>44011</v>
      </c>
      <c r="I72" t="s">
        <v>251</v>
      </c>
      <c r="J72" t="s">
        <v>19</v>
      </c>
      <c r="K72">
        <v>2</v>
      </c>
      <c r="L72" t="s">
        <v>20</v>
      </c>
      <c r="M72" s="1">
        <f t="shared" ca="1" si="2"/>
        <v>46204</v>
      </c>
      <c r="N72">
        <f t="shared" ca="1" si="3"/>
        <v>1</v>
      </c>
    </row>
    <row r="73" spans="1:14" x14ac:dyDescent="0.3">
      <c r="A73" t="s">
        <v>252</v>
      </c>
      <c r="B73" t="s">
        <v>253</v>
      </c>
      <c r="C73" t="s">
        <v>124</v>
      </c>
      <c r="D73" t="s">
        <v>16</v>
      </c>
      <c r="E73" t="s">
        <v>24</v>
      </c>
      <c r="F73">
        <v>31.67</v>
      </c>
      <c r="G73" s="1">
        <v>45866</v>
      </c>
      <c r="H73" s="1">
        <v>43253</v>
      </c>
      <c r="I73" t="s">
        <v>254</v>
      </c>
      <c r="J73" t="s">
        <v>26</v>
      </c>
      <c r="K73">
        <v>4</v>
      </c>
      <c r="L73" t="s">
        <v>20</v>
      </c>
      <c r="M73" s="1">
        <f t="shared" ca="1" si="2"/>
        <v>46204</v>
      </c>
      <c r="N73">
        <f t="shared" ca="1" si="3"/>
        <v>1</v>
      </c>
    </row>
    <row r="74" spans="1:14" x14ac:dyDescent="0.3">
      <c r="A74" t="s">
        <v>255</v>
      </c>
      <c r="B74" t="s">
        <v>256</v>
      </c>
      <c r="C74" t="s">
        <v>15</v>
      </c>
      <c r="D74" t="s">
        <v>73</v>
      </c>
      <c r="E74" t="s">
        <v>24</v>
      </c>
      <c r="F74">
        <v>29.39</v>
      </c>
      <c r="G74" s="1">
        <v>45856</v>
      </c>
      <c r="H74" s="1">
        <v>42461</v>
      </c>
      <c r="I74" t="s">
        <v>257</v>
      </c>
      <c r="J74" t="s">
        <v>66</v>
      </c>
      <c r="K74">
        <v>3</v>
      </c>
      <c r="L74" t="s">
        <v>27</v>
      </c>
      <c r="M74" s="1">
        <f t="shared" ca="1" si="2"/>
        <v>46204</v>
      </c>
      <c r="N74">
        <f t="shared" ca="1" si="3"/>
        <v>1</v>
      </c>
    </row>
    <row r="75" spans="1:14" x14ac:dyDescent="0.3">
      <c r="A75" t="s">
        <v>258</v>
      </c>
      <c r="B75" t="s">
        <v>259</v>
      </c>
      <c r="C75" t="s">
        <v>60</v>
      </c>
      <c r="D75" t="s">
        <v>56</v>
      </c>
      <c r="E75" t="s">
        <v>52</v>
      </c>
      <c r="F75">
        <v>30.92</v>
      </c>
      <c r="G75" s="1">
        <v>46069</v>
      </c>
      <c r="H75" s="1">
        <v>44758</v>
      </c>
      <c r="I75" t="s">
        <v>260</v>
      </c>
      <c r="J75" t="s">
        <v>19</v>
      </c>
      <c r="K75">
        <v>1</v>
      </c>
      <c r="L75" t="s">
        <v>20</v>
      </c>
      <c r="M75" s="1">
        <f t="shared" ca="1" si="2"/>
        <v>46204</v>
      </c>
      <c r="N75">
        <f t="shared" ca="1" si="3"/>
        <v>1</v>
      </c>
    </row>
    <row r="76" spans="1:14" x14ac:dyDescent="0.3">
      <c r="A76" t="s">
        <v>261</v>
      </c>
      <c r="B76" t="s">
        <v>262</v>
      </c>
      <c r="C76" t="s">
        <v>60</v>
      </c>
      <c r="D76" t="s">
        <v>69</v>
      </c>
      <c r="E76" t="s">
        <v>17</v>
      </c>
      <c r="F76">
        <v>24.21</v>
      </c>
      <c r="G76" s="1">
        <v>45879</v>
      </c>
      <c r="H76" s="1">
        <v>43033</v>
      </c>
      <c r="I76" t="s">
        <v>263</v>
      </c>
      <c r="J76" t="s">
        <v>26</v>
      </c>
      <c r="K76">
        <v>4</v>
      </c>
      <c r="L76" t="s">
        <v>27</v>
      </c>
      <c r="M76" s="1">
        <f t="shared" ca="1" si="2"/>
        <v>46204</v>
      </c>
      <c r="N76">
        <f t="shared" ca="1" si="3"/>
        <v>1</v>
      </c>
    </row>
    <row r="77" spans="1:14" x14ac:dyDescent="0.3">
      <c r="A77" t="s">
        <v>264</v>
      </c>
      <c r="B77" t="s">
        <v>265</v>
      </c>
      <c r="C77" t="s">
        <v>64</v>
      </c>
      <c r="D77" t="s">
        <v>73</v>
      </c>
      <c r="E77" t="s">
        <v>24</v>
      </c>
      <c r="F77">
        <v>1.68</v>
      </c>
      <c r="G77" s="1">
        <v>45814</v>
      </c>
      <c r="H77" s="1">
        <v>44714</v>
      </c>
      <c r="I77" t="s">
        <v>266</v>
      </c>
      <c r="J77" t="s">
        <v>66</v>
      </c>
      <c r="K77">
        <v>1</v>
      </c>
      <c r="L77" t="s">
        <v>20</v>
      </c>
      <c r="M77" s="1">
        <f t="shared" ca="1" si="2"/>
        <v>46204</v>
      </c>
      <c r="N77">
        <f t="shared" ca="1" si="3"/>
        <v>1</v>
      </c>
    </row>
    <row r="78" spans="1:14" x14ac:dyDescent="0.3">
      <c r="A78" t="s">
        <v>267</v>
      </c>
      <c r="B78" t="s">
        <v>268</v>
      </c>
      <c r="C78" t="s">
        <v>60</v>
      </c>
      <c r="D78" t="s">
        <v>56</v>
      </c>
      <c r="E78" t="s">
        <v>24</v>
      </c>
      <c r="F78">
        <v>8.5299999999999994</v>
      </c>
      <c r="G78" s="1">
        <v>45996</v>
      </c>
      <c r="H78" s="1">
        <v>42840</v>
      </c>
      <c r="I78" t="s">
        <v>269</v>
      </c>
      <c r="J78" t="s">
        <v>94</v>
      </c>
      <c r="K78">
        <v>3</v>
      </c>
      <c r="L78" t="s">
        <v>20</v>
      </c>
      <c r="M78" s="1">
        <f t="shared" ca="1" si="2"/>
        <v>46204</v>
      </c>
      <c r="N78">
        <f t="shared" ca="1" si="3"/>
        <v>1</v>
      </c>
    </row>
    <row r="79" spans="1:14" x14ac:dyDescent="0.3">
      <c r="A79" t="s">
        <v>270</v>
      </c>
      <c r="B79" t="s">
        <v>271</v>
      </c>
      <c r="C79" t="s">
        <v>64</v>
      </c>
      <c r="D79" t="s">
        <v>16</v>
      </c>
      <c r="E79" t="s">
        <v>17</v>
      </c>
      <c r="F79">
        <v>15.92</v>
      </c>
      <c r="G79" s="1">
        <v>45945</v>
      </c>
      <c r="H79" s="1">
        <v>43659</v>
      </c>
      <c r="I79" t="s">
        <v>272</v>
      </c>
      <c r="J79" t="s">
        <v>75</v>
      </c>
      <c r="K79">
        <v>4</v>
      </c>
      <c r="L79" t="s">
        <v>27</v>
      </c>
      <c r="M79" s="1">
        <f t="shared" ca="1" si="2"/>
        <v>46204</v>
      </c>
      <c r="N79">
        <f t="shared" ca="1" si="3"/>
        <v>1</v>
      </c>
    </row>
    <row r="80" spans="1:14" x14ac:dyDescent="0.3">
      <c r="A80" t="s">
        <v>273</v>
      </c>
      <c r="B80" t="s">
        <v>274</v>
      </c>
      <c r="C80" t="s">
        <v>34</v>
      </c>
      <c r="D80" t="s">
        <v>40</v>
      </c>
      <c r="E80" t="s">
        <v>30</v>
      </c>
      <c r="F80">
        <v>23.59</v>
      </c>
      <c r="G80" s="1">
        <v>46039</v>
      </c>
      <c r="H80" s="1">
        <v>44262</v>
      </c>
      <c r="I80" t="s">
        <v>275</v>
      </c>
      <c r="J80" t="s">
        <v>26</v>
      </c>
      <c r="K80">
        <v>1</v>
      </c>
      <c r="L80" t="s">
        <v>20</v>
      </c>
      <c r="M80" s="1">
        <f t="shared" ca="1" si="2"/>
        <v>46204</v>
      </c>
      <c r="N80">
        <f t="shared" ca="1" si="3"/>
        <v>1</v>
      </c>
    </row>
    <row r="81" spans="1:14" x14ac:dyDescent="0.3">
      <c r="A81" t="s">
        <v>276</v>
      </c>
      <c r="B81" t="s">
        <v>277</v>
      </c>
      <c r="C81" t="s">
        <v>23</v>
      </c>
      <c r="D81" t="s">
        <v>40</v>
      </c>
      <c r="E81" t="s">
        <v>30</v>
      </c>
      <c r="F81">
        <v>6.13</v>
      </c>
      <c r="G81" s="1">
        <v>46004</v>
      </c>
      <c r="H81" s="1">
        <v>43800</v>
      </c>
      <c r="I81" t="s">
        <v>278</v>
      </c>
      <c r="J81" t="s">
        <v>66</v>
      </c>
      <c r="K81">
        <v>5</v>
      </c>
      <c r="L81" t="s">
        <v>27</v>
      </c>
      <c r="M81" s="1">
        <f t="shared" ca="1" si="2"/>
        <v>46204</v>
      </c>
      <c r="N81">
        <f t="shared" ca="1" si="3"/>
        <v>1</v>
      </c>
    </row>
    <row r="82" spans="1:14" x14ac:dyDescent="0.3">
      <c r="A82" t="s">
        <v>279</v>
      </c>
      <c r="B82" t="s">
        <v>280</v>
      </c>
      <c r="C82" t="s">
        <v>15</v>
      </c>
      <c r="D82" t="s">
        <v>35</v>
      </c>
      <c r="E82" t="s">
        <v>52</v>
      </c>
      <c r="F82">
        <v>34.53</v>
      </c>
      <c r="G82" s="1">
        <v>46040</v>
      </c>
      <c r="H82" s="1">
        <v>43980</v>
      </c>
      <c r="I82" t="s">
        <v>281</v>
      </c>
      <c r="J82" t="s">
        <v>66</v>
      </c>
      <c r="K82">
        <v>4</v>
      </c>
      <c r="L82" t="s">
        <v>20</v>
      </c>
      <c r="M82" s="1">
        <f t="shared" ca="1" si="2"/>
        <v>46204</v>
      </c>
      <c r="N82">
        <f t="shared" ca="1" si="3"/>
        <v>1</v>
      </c>
    </row>
    <row r="83" spans="1:14" x14ac:dyDescent="0.3">
      <c r="A83" t="s">
        <v>282</v>
      </c>
      <c r="B83" t="s">
        <v>283</v>
      </c>
      <c r="C83" t="s">
        <v>15</v>
      </c>
      <c r="D83" t="s">
        <v>73</v>
      </c>
      <c r="E83" t="s">
        <v>17</v>
      </c>
      <c r="F83">
        <v>18.89</v>
      </c>
      <c r="G83" s="1">
        <v>46040</v>
      </c>
      <c r="H83" s="1">
        <v>45488</v>
      </c>
      <c r="I83" t="s">
        <v>284</v>
      </c>
      <c r="J83" t="s">
        <v>66</v>
      </c>
      <c r="K83">
        <v>1</v>
      </c>
      <c r="L83" t="s">
        <v>27</v>
      </c>
      <c r="M83" s="1">
        <f t="shared" ca="1" si="2"/>
        <v>46204</v>
      </c>
      <c r="N83">
        <f t="shared" ca="1" si="3"/>
        <v>1</v>
      </c>
    </row>
    <row r="84" spans="1:14" x14ac:dyDescent="0.3">
      <c r="A84" t="s">
        <v>285</v>
      </c>
      <c r="B84" t="s">
        <v>286</v>
      </c>
      <c r="C84" t="s">
        <v>23</v>
      </c>
      <c r="D84" t="s">
        <v>40</v>
      </c>
      <c r="E84" t="s">
        <v>24</v>
      </c>
      <c r="F84">
        <v>36.81</v>
      </c>
      <c r="G84" s="1">
        <v>45764</v>
      </c>
      <c r="H84" s="1">
        <v>44334</v>
      </c>
      <c r="I84" t="s">
        <v>287</v>
      </c>
      <c r="J84" t="s">
        <v>19</v>
      </c>
      <c r="K84">
        <v>2</v>
      </c>
      <c r="L84" t="s">
        <v>27</v>
      </c>
      <c r="M84" s="1">
        <f t="shared" ca="1" si="2"/>
        <v>46204</v>
      </c>
      <c r="N84">
        <f t="shared" ca="1" si="3"/>
        <v>1</v>
      </c>
    </row>
    <row r="85" spans="1:14" x14ac:dyDescent="0.3">
      <c r="A85" t="s">
        <v>288</v>
      </c>
      <c r="B85" t="s">
        <v>289</v>
      </c>
      <c r="C85" t="s">
        <v>60</v>
      </c>
      <c r="D85" t="s">
        <v>16</v>
      </c>
      <c r="E85" t="s">
        <v>24</v>
      </c>
      <c r="F85">
        <v>26.36</v>
      </c>
      <c r="G85" s="1">
        <v>45757</v>
      </c>
      <c r="H85" s="1">
        <v>42354</v>
      </c>
      <c r="I85" t="s">
        <v>290</v>
      </c>
      <c r="J85" t="s">
        <v>37</v>
      </c>
      <c r="K85">
        <v>5</v>
      </c>
      <c r="L85" t="s">
        <v>20</v>
      </c>
      <c r="M85" s="1">
        <f t="shared" ca="1" si="2"/>
        <v>46204</v>
      </c>
      <c r="N85">
        <f t="shared" ca="1" si="3"/>
        <v>1</v>
      </c>
    </row>
    <row r="86" spans="1:14" x14ac:dyDescent="0.3">
      <c r="A86" t="s">
        <v>291</v>
      </c>
      <c r="B86" t="s">
        <v>292</v>
      </c>
      <c r="C86" t="s">
        <v>60</v>
      </c>
      <c r="D86" t="s">
        <v>35</v>
      </c>
      <c r="E86" t="s">
        <v>17</v>
      </c>
      <c r="F86">
        <v>5.38</v>
      </c>
      <c r="G86" s="1">
        <v>45857</v>
      </c>
      <c r="H86" s="1">
        <v>44096</v>
      </c>
      <c r="I86" t="s">
        <v>293</v>
      </c>
      <c r="J86" t="s">
        <v>19</v>
      </c>
      <c r="K86">
        <v>4</v>
      </c>
      <c r="L86" t="s">
        <v>20</v>
      </c>
      <c r="M86" s="1">
        <f t="shared" ca="1" si="2"/>
        <v>46204</v>
      </c>
      <c r="N86">
        <f t="shared" ca="1" si="3"/>
        <v>1</v>
      </c>
    </row>
    <row r="87" spans="1:14" x14ac:dyDescent="0.3">
      <c r="A87" t="s">
        <v>294</v>
      </c>
      <c r="B87" t="s">
        <v>295</v>
      </c>
      <c r="C87" t="s">
        <v>23</v>
      </c>
      <c r="D87" t="s">
        <v>73</v>
      </c>
      <c r="E87" t="s">
        <v>24</v>
      </c>
      <c r="F87">
        <v>8.1999999999999993</v>
      </c>
      <c r="G87" s="1">
        <v>46011</v>
      </c>
      <c r="H87" s="1">
        <v>44132</v>
      </c>
      <c r="I87" t="s">
        <v>296</v>
      </c>
      <c r="J87" t="s">
        <v>94</v>
      </c>
      <c r="K87">
        <v>5</v>
      </c>
      <c r="L87" t="s">
        <v>20</v>
      </c>
      <c r="M87" s="1">
        <f t="shared" ca="1" si="2"/>
        <v>46204</v>
      </c>
      <c r="N87">
        <f t="shared" ca="1" si="3"/>
        <v>1</v>
      </c>
    </row>
    <row r="88" spans="1:14" x14ac:dyDescent="0.3">
      <c r="A88" t="s">
        <v>297</v>
      </c>
      <c r="B88" t="s">
        <v>298</v>
      </c>
      <c r="C88" t="s">
        <v>64</v>
      </c>
      <c r="D88" t="s">
        <v>73</v>
      </c>
      <c r="E88" t="s">
        <v>52</v>
      </c>
      <c r="F88">
        <v>3.5</v>
      </c>
      <c r="G88" s="1">
        <v>45959</v>
      </c>
      <c r="H88" s="1">
        <v>44294</v>
      </c>
      <c r="I88" t="s">
        <v>299</v>
      </c>
      <c r="J88" t="s">
        <v>26</v>
      </c>
      <c r="K88">
        <v>2</v>
      </c>
      <c r="L88" t="s">
        <v>27</v>
      </c>
      <c r="M88" s="1">
        <f t="shared" ca="1" si="2"/>
        <v>46204</v>
      </c>
      <c r="N88">
        <f t="shared" ca="1" si="3"/>
        <v>1</v>
      </c>
    </row>
    <row r="89" spans="1:14" x14ac:dyDescent="0.3">
      <c r="A89" t="s">
        <v>300</v>
      </c>
      <c r="B89" t="s">
        <v>301</v>
      </c>
      <c r="C89" t="s">
        <v>47</v>
      </c>
      <c r="D89" t="s">
        <v>40</v>
      </c>
      <c r="E89" t="s">
        <v>52</v>
      </c>
      <c r="F89">
        <v>20.63</v>
      </c>
      <c r="G89" s="1">
        <v>45752</v>
      </c>
      <c r="H89" s="1">
        <v>45391</v>
      </c>
      <c r="I89" t="s">
        <v>302</v>
      </c>
      <c r="J89" t="s">
        <v>94</v>
      </c>
      <c r="K89">
        <v>5</v>
      </c>
      <c r="L89" t="s">
        <v>27</v>
      </c>
      <c r="M89" s="1">
        <f t="shared" ca="1" si="2"/>
        <v>46204</v>
      </c>
      <c r="N89">
        <f t="shared" ca="1" si="3"/>
        <v>1</v>
      </c>
    </row>
    <row r="90" spans="1:14" x14ac:dyDescent="0.3">
      <c r="A90" t="s">
        <v>303</v>
      </c>
      <c r="B90" t="s">
        <v>304</v>
      </c>
      <c r="C90" t="s">
        <v>23</v>
      </c>
      <c r="D90" t="s">
        <v>16</v>
      </c>
      <c r="E90" t="s">
        <v>52</v>
      </c>
      <c r="F90">
        <v>6.58</v>
      </c>
      <c r="G90" s="1">
        <v>45737</v>
      </c>
      <c r="H90" s="1">
        <v>45260</v>
      </c>
      <c r="I90" t="s">
        <v>305</v>
      </c>
      <c r="J90" t="s">
        <v>37</v>
      </c>
      <c r="K90">
        <v>1</v>
      </c>
      <c r="L90" t="s">
        <v>27</v>
      </c>
      <c r="M90" s="1">
        <f t="shared" ca="1" si="2"/>
        <v>46204</v>
      </c>
      <c r="N90">
        <f t="shared" ca="1" si="3"/>
        <v>1</v>
      </c>
    </row>
    <row r="91" spans="1:14" x14ac:dyDescent="0.3">
      <c r="A91" t="s">
        <v>306</v>
      </c>
      <c r="B91" t="s">
        <v>307</v>
      </c>
      <c r="C91" t="s">
        <v>124</v>
      </c>
      <c r="D91" t="s">
        <v>56</v>
      </c>
      <c r="E91" t="s">
        <v>24</v>
      </c>
      <c r="F91">
        <v>5.4</v>
      </c>
      <c r="G91" s="1">
        <v>45777</v>
      </c>
      <c r="H91" s="1">
        <v>43172</v>
      </c>
      <c r="I91" t="s">
        <v>308</v>
      </c>
      <c r="J91" t="s">
        <v>49</v>
      </c>
      <c r="K91">
        <v>5</v>
      </c>
      <c r="L91" t="s">
        <v>20</v>
      </c>
      <c r="M91" s="1">
        <f t="shared" ca="1" si="2"/>
        <v>46204</v>
      </c>
      <c r="N91">
        <f t="shared" ca="1" si="3"/>
        <v>1</v>
      </c>
    </row>
    <row r="92" spans="1:14" x14ac:dyDescent="0.3">
      <c r="A92" t="s">
        <v>309</v>
      </c>
      <c r="B92" t="s">
        <v>310</v>
      </c>
      <c r="C92" t="s">
        <v>124</v>
      </c>
      <c r="D92" t="s">
        <v>40</v>
      </c>
      <c r="E92" t="s">
        <v>17</v>
      </c>
      <c r="F92">
        <v>34.590000000000003</v>
      </c>
      <c r="G92" s="1">
        <v>46062</v>
      </c>
      <c r="H92" s="1">
        <v>42831</v>
      </c>
      <c r="I92" t="s">
        <v>311</v>
      </c>
      <c r="J92" t="s">
        <v>19</v>
      </c>
      <c r="K92">
        <v>3</v>
      </c>
      <c r="L92" t="s">
        <v>20</v>
      </c>
      <c r="M92" s="1">
        <f t="shared" ca="1" si="2"/>
        <v>46204</v>
      </c>
      <c r="N92">
        <f t="shared" ca="1" si="3"/>
        <v>1</v>
      </c>
    </row>
    <row r="93" spans="1:14" x14ac:dyDescent="0.3">
      <c r="A93" t="s">
        <v>312</v>
      </c>
      <c r="B93" t="s">
        <v>313</v>
      </c>
      <c r="C93" t="s">
        <v>60</v>
      </c>
      <c r="D93" t="s">
        <v>73</v>
      </c>
      <c r="E93" t="s">
        <v>52</v>
      </c>
      <c r="F93">
        <v>32.840000000000003</v>
      </c>
      <c r="G93" s="1">
        <v>45874</v>
      </c>
      <c r="H93" s="1">
        <v>43189</v>
      </c>
      <c r="I93" t="s">
        <v>314</v>
      </c>
      <c r="J93" t="s">
        <v>19</v>
      </c>
      <c r="K93">
        <v>5</v>
      </c>
      <c r="L93" t="s">
        <v>27</v>
      </c>
      <c r="M93" s="1">
        <f t="shared" ca="1" si="2"/>
        <v>46204</v>
      </c>
      <c r="N93">
        <f t="shared" ca="1" si="3"/>
        <v>1</v>
      </c>
    </row>
    <row r="94" spans="1:14" x14ac:dyDescent="0.3">
      <c r="A94" t="s">
        <v>315</v>
      </c>
      <c r="B94" t="s">
        <v>316</v>
      </c>
      <c r="C94" t="s">
        <v>64</v>
      </c>
      <c r="D94" t="s">
        <v>56</v>
      </c>
      <c r="E94" t="s">
        <v>30</v>
      </c>
      <c r="F94">
        <v>3.5</v>
      </c>
      <c r="G94" s="1">
        <v>45980</v>
      </c>
      <c r="H94" s="1">
        <v>43863</v>
      </c>
      <c r="I94" t="s">
        <v>317</v>
      </c>
      <c r="J94" t="s">
        <v>66</v>
      </c>
      <c r="K94">
        <v>5</v>
      </c>
      <c r="L94" t="s">
        <v>20</v>
      </c>
      <c r="M94" s="1">
        <f t="shared" ca="1" si="2"/>
        <v>46204</v>
      </c>
      <c r="N94">
        <f t="shared" ca="1" si="3"/>
        <v>1</v>
      </c>
    </row>
    <row r="95" spans="1:14" x14ac:dyDescent="0.3">
      <c r="A95" t="s">
        <v>318</v>
      </c>
      <c r="B95" t="s">
        <v>319</v>
      </c>
      <c r="C95" t="s">
        <v>47</v>
      </c>
      <c r="D95" t="s">
        <v>16</v>
      </c>
      <c r="E95" t="s">
        <v>24</v>
      </c>
      <c r="F95">
        <v>6.93</v>
      </c>
      <c r="G95" s="1">
        <v>46068</v>
      </c>
      <c r="H95" s="1">
        <v>42721</v>
      </c>
      <c r="I95" t="s">
        <v>320</v>
      </c>
      <c r="J95" t="s">
        <v>49</v>
      </c>
      <c r="K95">
        <v>1</v>
      </c>
      <c r="L95" t="s">
        <v>27</v>
      </c>
      <c r="M95" s="1">
        <f t="shared" ca="1" si="2"/>
        <v>46204</v>
      </c>
      <c r="N95">
        <f t="shared" ca="1" si="3"/>
        <v>1</v>
      </c>
    </row>
    <row r="96" spans="1:14" x14ac:dyDescent="0.3">
      <c r="A96" t="s">
        <v>321</v>
      </c>
      <c r="B96" t="s">
        <v>322</v>
      </c>
      <c r="C96" t="s">
        <v>47</v>
      </c>
      <c r="D96" t="s">
        <v>73</v>
      </c>
      <c r="E96" t="s">
        <v>30</v>
      </c>
      <c r="F96">
        <v>3.72</v>
      </c>
      <c r="G96" s="1">
        <v>45766</v>
      </c>
      <c r="H96" s="1">
        <v>44940</v>
      </c>
      <c r="I96" t="s">
        <v>323</v>
      </c>
      <c r="J96" t="s">
        <v>75</v>
      </c>
      <c r="K96">
        <v>4</v>
      </c>
      <c r="L96" t="s">
        <v>27</v>
      </c>
      <c r="M96" s="1">
        <f t="shared" ca="1" si="2"/>
        <v>46204</v>
      </c>
      <c r="N96">
        <f t="shared" ca="1" si="3"/>
        <v>1</v>
      </c>
    </row>
    <row r="97" spans="1:14" x14ac:dyDescent="0.3">
      <c r="A97" t="s">
        <v>324</v>
      </c>
      <c r="B97" t="s">
        <v>325</v>
      </c>
      <c r="C97" t="s">
        <v>15</v>
      </c>
      <c r="D97" t="s">
        <v>73</v>
      </c>
      <c r="E97" t="s">
        <v>24</v>
      </c>
      <c r="F97">
        <v>20.309999999999999</v>
      </c>
      <c r="G97" s="1">
        <v>45754</v>
      </c>
      <c r="H97" s="1">
        <v>43364</v>
      </c>
      <c r="I97" t="s">
        <v>326</v>
      </c>
      <c r="J97" t="s">
        <v>94</v>
      </c>
      <c r="K97">
        <v>4</v>
      </c>
      <c r="L97" t="s">
        <v>27</v>
      </c>
      <c r="M97" s="1">
        <f t="shared" ca="1" si="2"/>
        <v>46204</v>
      </c>
      <c r="N97">
        <f t="shared" ca="1" si="3"/>
        <v>1</v>
      </c>
    </row>
    <row r="98" spans="1:14" x14ac:dyDescent="0.3">
      <c r="A98" t="s">
        <v>327</v>
      </c>
      <c r="B98" t="s">
        <v>328</v>
      </c>
      <c r="C98" t="s">
        <v>34</v>
      </c>
      <c r="D98" t="s">
        <v>73</v>
      </c>
      <c r="E98" t="s">
        <v>30</v>
      </c>
      <c r="F98">
        <v>5.86</v>
      </c>
      <c r="G98" s="1">
        <v>45720</v>
      </c>
      <c r="H98" s="1">
        <v>43062</v>
      </c>
      <c r="I98" t="s">
        <v>329</v>
      </c>
      <c r="J98" t="s">
        <v>66</v>
      </c>
      <c r="K98">
        <v>4</v>
      </c>
      <c r="L98" t="s">
        <v>27</v>
      </c>
      <c r="M98" s="1">
        <f t="shared" ca="1" si="2"/>
        <v>46204</v>
      </c>
      <c r="N98">
        <f t="shared" ca="1" si="3"/>
        <v>1</v>
      </c>
    </row>
    <row r="99" spans="1:14" x14ac:dyDescent="0.3">
      <c r="A99" t="s">
        <v>330</v>
      </c>
      <c r="B99" t="s">
        <v>331</v>
      </c>
      <c r="C99" t="s">
        <v>64</v>
      </c>
      <c r="D99" t="s">
        <v>73</v>
      </c>
      <c r="E99" t="s">
        <v>24</v>
      </c>
      <c r="F99">
        <v>32.380000000000003</v>
      </c>
      <c r="G99" s="1">
        <v>46040</v>
      </c>
      <c r="H99" s="1">
        <v>45244</v>
      </c>
      <c r="I99" t="s">
        <v>332</v>
      </c>
      <c r="J99" t="s">
        <v>94</v>
      </c>
      <c r="K99">
        <v>3</v>
      </c>
      <c r="L99" t="s">
        <v>27</v>
      </c>
      <c r="M99" s="1">
        <f t="shared" ca="1" si="2"/>
        <v>46204</v>
      </c>
      <c r="N99">
        <f t="shared" ca="1" si="3"/>
        <v>1</v>
      </c>
    </row>
    <row r="100" spans="1:14" x14ac:dyDescent="0.3">
      <c r="A100" t="s">
        <v>333</v>
      </c>
      <c r="B100" t="s">
        <v>334</v>
      </c>
      <c r="C100" t="s">
        <v>15</v>
      </c>
      <c r="D100" t="s">
        <v>69</v>
      </c>
      <c r="E100" t="s">
        <v>30</v>
      </c>
      <c r="F100">
        <v>23.16</v>
      </c>
      <c r="G100" s="1">
        <v>45846</v>
      </c>
      <c r="H100" s="1">
        <v>43717</v>
      </c>
      <c r="I100" t="s">
        <v>335</v>
      </c>
      <c r="J100" t="s">
        <v>37</v>
      </c>
      <c r="K100">
        <v>3</v>
      </c>
      <c r="L100" t="s">
        <v>27</v>
      </c>
      <c r="M100" s="1">
        <f t="shared" ca="1" si="2"/>
        <v>46204</v>
      </c>
      <c r="N100">
        <f t="shared" ca="1" si="3"/>
        <v>1</v>
      </c>
    </row>
    <row r="101" spans="1:14" x14ac:dyDescent="0.3">
      <c r="A101" t="s">
        <v>336</v>
      </c>
      <c r="B101" t="s">
        <v>337</v>
      </c>
      <c r="C101" t="s">
        <v>124</v>
      </c>
      <c r="D101" t="s">
        <v>16</v>
      </c>
      <c r="E101" t="s">
        <v>52</v>
      </c>
      <c r="F101">
        <v>2.37</v>
      </c>
      <c r="G101" s="1">
        <v>45973</v>
      </c>
      <c r="H101" s="1">
        <v>44993</v>
      </c>
      <c r="I101" t="s">
        <v>338</v>
      </c>
      <c r="J101" t="s">
        <v>26</v>
      </c>
      <c r="K101">
        <v>3</v>
      </c>
      <c r="L101" t="s">
        <v>27</v>
      </c>
      <c r="M101" s="1">
        <f t="shared" ca="1" si="2"/>
        <v>46204</v>
      </c>
      <c r="N101">
        <f t="shared" ca="1" si="3"/>
        <v>1</v>
      </c>
    </row>
    <row r="102" spans="1:14" x14ac:dyDescent="0.3">
      <c r="A102" t="s">
        <v>339</v>
      </c>
      <c r="B102" t="s">
        <v>340</v>
      </c>
      <c r="C102" t="s">
        <v>60</v>
      </c>
      <c r="D102" t="s">
        <v>73</v>
      </c>
      <c r="E102" t="s">
        <v>30</v>
      </c>
      <c r="F102">
        <v>25.55</v>
      </c>
      <c r="G102" s="1">
        <v>45985</v>
      </c>
      <c r="H102" s="1">
        <v>42258</v>
      </c>
      <c r="I102" t="s">
        <v>341</v>
      </c>
      <c r="J102" t="s">
        <v>66</v>
      </c>
      <c r="K102">
        <v>5</v>
      </c>
      <c r="L102" t="s">
        <v>20</v>
      </c>
      <c r="M102" s="1">
        <f t="shared" ca="1" si="2"/>
        <v>46204</v>
      </c>
      <c r="N102">
        <f t="shared" ca="1" si="3"/>
        <v>1</v>
      </c>
    </row>
    <row r="103" spans="1:14" x14ac:dyDescent="0.3">
      <c r="A103" t="s">
        <v>342</v>
      </c>
      <c r="B103" t="s">
        <v>343</v>
      </c>
      <c r="C103" t="s">
        <v>64</v>
      </c>
      <c r="D103" t="s">
        <v>69</v>
      </c>
      <c r="E103" t="s">
        <v>30</v>
      </c>
      <c r="F103">
        <v>11.06</v>
      </c>
      <c r="G103" s="1">
        <v>45883</v>
      </c>
      <c r="H103" s="1">
        <v>44058</v>
      </c>
      <c r="I103" t="s">
        <v>344</v>
      </c>
      <c r="J103" t="s">
        <v>19</v>
      </c>
      <c r="K103">
        <v>3</v>
      </c>
      <c r="L103" t="s">
        <v>20</v>
      </c>
      <c r="M103" s="1">
        <f t="shared" ca="1" si="2"/>
        <v>46204</v>
      </c>
      <c r="N103">
        <f t="shared" ca="1" si="3"/>
        <v>1</v>
      </c>
    </row>
    <row r="104" spans="1:14" x14ac:dyDescent="0.3">
      <c r="A104" t="s">
        <v>345</v>
      </c>
      <c r="B104" t="s">
        <v>346</v>
      </c>
      <c r="C104" t="s">
        <v>47</v>
      </c>
      <c r="D104" t="s">
        <v>35</v>
      </c>
      <c r="E104" t="s">
        <v>52</v>
      </c>
      <c r="F104">
        <v>29.38</v>
      </c>
      <c r="G104" s="1">
        <v>45750</v>
      </c>
      <c r="H104" s="1">
        <v>42850</v>
      </c>
      <c r="I104" t="s">
        <v>347</v>
      </c>
      <c r="J104" t="s">
        <v>49</v>
      </c>
      <c r="K104">
        <v>3</v>
      </c>
      <c r="L104" t="s">
        <v>20</v>
      </c>
      <c r="M104" s="1">
        <f t="shared" ca="1" si="2"/>
        <v>46204</v>
      </c>
      <c r="N104">
        <f t="shared" ca="1" si="3"/>
        <v>1</v>
      </c>
    </row>
    <row r="105" spans="1:14" x14ac:dyDescent="0.3">
      <c r="A105" t="s">
        <v>348</v>
      </c>
      <c r="B105" t="s">
        <v>349</v>
      </c>
      <c r="C105" t="s">
        <v>64</v>
      </c>
      <c r="D105" t="s">
        <v>56</v>
      </c>
      <c r="E105" t="s">
        <v>30</v>
      </c>
      <c r="F105">
        <v>14.3</v>
      </c>
      <c r="G105" s="1">
        <v>45967</v>
      </c>
      <c r="H105" s="1">
        <v>45474</v>
      </c>
      <c r="I105" t="s">
        <v>350</v>
      </c>
      <c r="J105" t="s">
        <v>19</v>
      </c>
      <c r="K105">
        <v>2</v>
      </c>
      <c r="L105" t="s">
        <v>27</v>
      </c>
      <c r="M105" s="1">
        <f t="shared" ca="1" si="2"/>
        <v>46204</v>
      </c>
      <c r="N105">
        <f t="shared" ca="1" si="3"/>
        <v>1</v>
      </c>
    </row>
    <row r="106" spans="1:14" x14ac:dyDescent="0.3">
      <c r="A106" t="s">
        <v>351</v>
      </c>
      <c r="B106" t="s">
        <v>352</v>
      </c>
      <c r="C106" t="s">
        <v>23</v>
      </c>
      <c r="D106" t="s">
        <v>56</v>
      </c>
      <c r="E106" t="s">
        <v>30</v>
      </c>
      <c r="F106">
        <v>4.1500000000000004</v>
      </c>
      <c r="G106" s="1">
        <v>46002</v>
      </c>
      <c r="H106" s="1">
        <v>44757</v>
      </c>
      <c r="I106" t="s">
        <v>353</v>
      </c>
      <c r="J106" t="s">
        <v>26</v>
      </c>
      <c r="K106">
        <v>2</v>
      </c>
      <c r="L106" t="s">
        <v>20</v>
      </c>
      <c r="M106" s="1">
        <f t="shared" ca="1" si="2"/>
        <v>46204</v>
      </c>
      <c r="N106">
        <f t="shared" ca="1" si="3"/>
        <v>1</v>
      </c>
    </row>
    <row r="107" spans="1:14" x14ac:dyDescent="0.3">
      <c r="A107" t="s">
        <v>354</v>
      </c>
      <c r="B107" t="s">
        <v>355</v>
      </c>
      <c r="C107" t="s">
        <v>15</v>
      </c>
      <c r="D107" t="s">
        <v>73</v>
      </c>
      <c r="E107" t="s">
        <v>52</v>
      </c>
      <c r="F107">
        <v>17.66</v>
      </c>
      <c r="G107" s="1">
        <v>46043</v>
      </c>
      <c r="H107" s="1">
        <v>42557</v>
      </c>
      <c r="I107" t="s">
        <v>356</v>
      </c>
      <c r="J107" t="s">
        <v>37</v>
      </c>
      <c r="K107">
        <v>3</v>
      </c>
      <c r="L107" t="s">
        <v>27</v>
      </c>
      <c r="M107" s="1">
        <f t="shared" ca="1" si="2"/>
        <v>46204</v>
      </c>
      <c r="N107">
        <f t="shared" ca="1" si="3"/>
        <v>1</v>
      </c>
    </row>
    <row r="108" spans="1:14" x14ac:dyDescent="0.3">
      <c r="A108" t="s">
        <v>357</v>
      </c>
      <c r="B108" t="s">
        <v>358</v>
      </c>
      <c r="C108" t="s">
        <v>64</v>
      </c>
      <c r="D108" t="s">
        <v>73</v>
      </c>
      <c r="E108" t="s">
        <v>17</v>
      </c>
      <c r="F108">
        <v>23.38</v>
      </c>
      <c r="G108" s="1">
        <v>45891</v>
      </c>
      <c r="H108" s="1">
        <v>44104</v>
      </c>
      <c r="I108" t="s">
        <v>359</v>
      </c>
      <c r="J108" t="s">
        <v>66</v>
      </c>
      <c r="K108">
        <v>5</v>
      </c>
      <c r="L108" t="s">
        <v>20</v>
      </c>
      <c r="M108" s="1">
        <f t="shared" ca="1" si="2"/>
        <v>46204</v>
      </c>
      <c r="N108">
        <f t="shared" ca="1" si="3"/>
        <v>1</v>
      </c>
    </row>
    <row r="109" spans="1:14" x14ac:dyDescent="0.3">
      <c r="A109" t="s">
        <v>360</v>
      </c>
      <c r="B109" t="s">
        <v>361</v>
      </c>
      <c r="C109" t="s">
        <v>60</v>
      </c>
      <c r="D109" t="s">
        <v>35</v>
      </c>
      <c r="E109" t="s">
        <v>52</v>
      </c>
      <c r="F109">
        <v>6.61</v>
      </c>
      <c r="G109" s="1">
        <v>45776</v>
      </c>
      <c r="H109" s="1">
        <v>42495</v>
      </c>
      <c r="I109" t="s">
        <v>362</v>
      </c>
      <c r="J109" t="s">
        <v>66</v>
      </c>
      <c r="K109">
        <v>5</v>
      </c>
      <c r="L109" t="s">
        <v>27</v>
      </c>
      <c r="M109" s="1">
        <f t="shared" ca="1" si="2"/>
        <v>46204</v>
      </c>
      <c r="N109">
        <f t="shared" ca="1" si="3"/>
        <v>1</v>
      </c>
    </row>
    <row r="110" spans="1:14" x14ac:dyDescent="0.3">
      <c r="A110" t="s">
        <v>363</v>
      </c>
      <c r="B110" t="s">
        <v>364</v>
      </c>
      <c r="C110" t="s">
        <v>124</v>
      </c>
      <c r="D110" t="s">
        <v>16</v>
      </c>
      <c r="E110" t="s">
        <v>30</v>
      </c>
      <c r="F110">
        <v>21.48</v>
      </c>
      <c r="G110" s="1">
        <v>46064</v>
      </c>
      <c r="H110" s="1">
        <v>44988</v>
      </c>
      <c r="I110" t="s">
        <v>365</v>
      </c>
      <c r="J110" t="s">
        <v>75</v>
      </c>
      <c r="K110">
        <v>5</v>
      </c>
      <c r="L110" t="s">
        <v>27</v>
      </c>
      <c r="M110" s="1">
        <f t="shared" ca="1" si="2"/>
        <v>46204</v>
      </c>
      <c r="N110">
        <f t="shared" ca="1" si="3"/>
        <v>1</v>
      </c>
    </row>
    <row r="111" spans="1:14" x14ac:dyDescent="0.3">
      <c r="A111" t="s">
        <v>366</v>
      </c>
      <c r="B111" t="s">
        <v>367</v>
      </c>
      <c r="C111" t="s">
        <v>64</v>
      </c>
      <c r="D111" t="s">
        <v>40</v>
      </c>
      <c r="E111" t="s">
        <v>52</v>
      </c>
      <c r="F111">
        <v>17.190000000000001</v>
      </c>
      <c r="G111" s="1">
        <v>45989</v>
      </c>
      <c r="H111" s="1">
        <v>44579</v>
      </c>
      <c r="I111" t="s">
        <v>368</v>
      </c>
      <c r="J111" t="s">
        <v>49</v>
      </c>
      <c r="K111">
        <v>2</v>
      </c>
      <c r="L111" t="s">
        <v>20</v>
      </c>
      <c r="M111" s="1">
        <f t="shared" ca="1" si="2"/>
        <v>46204</v>
      </c>
      <c r="N111">
        <f t="shared" ca="1" si="3"/>
        <v>1</v>
      </c>
    </row>
    <row r="112" spans="1:14" x14ac:dyDescent="0.3">
      <c r="A112" t="s">
        <v>369</v>
      </c>
      <c r="B112" t="s">
        <v>370</v>
      </c>
      <c r="C112" t="s">
        <v>34</v>
      </c>
      <c r="D112" t="s">
        <v>73</v>
      </c>
      <c r="E112" t="s">
        <v>30</v>
      </c>
      <c r="F112">
        <v>38.69</v>
      </c>
      <c r="G112" s="1">
        <v>45831</v>
      </c>
      <c r="H112" s="1">
        <v>43632</v>
      </c>
      <c r="I112" t="s">
        <v>371</v>
      </c>
      <c r="J112" t="s">
        <v>94</v>
      </c>
      <c r="K112">
        <v>5</v>
      </c>
      <c r="L112" t="s">
        <v>20</v>
      </c>
      <c r="M112" s="1">
        <f t="shared" ca="1" si="2"/>
        <v>46204</v>
      </c>
      <c r="N112">
        <f t="shared" ca="1" si="3"/>
        <v>1</v>
      </c>
    </row>
    <row r="113" spans="1:14" x14ac:dyDescent="0.3">
      <c r="A113" t="s">
        <v>372</v>
      </c>
      <c r="B113" t="s">
        <v>373</v>
      </c>
      <c r="C113" t="s">
        <v>34</v>
      </c>
      <c r="D113" t="s">
        <v>69</v>
      </c>
      <c r="E113" t="s">
        <v>24</v>
      </c>
      <c r="F113">
        <v>35.24</v>
      </c>
      <c r="G113" s="1">
        <v>45788</v>
      </c>
      <c r="H113" s="1">
        <v>43092</v>
      </c>
      <c r="I113" t="s">
        <v>374</v>
      </c>
      <c r="J113" t="s">
        <v>75</v>
      </c>
      <c r="K113">
        <v>3</v>
      </c>
      <c r="L113" t="s">
        <v>27</v>
      </c>
      <c r="M113" s="1">
        <f t="shared" ca="1" si="2"/>
        <v>46204</v>
      </c>
      <c r="N113">
        <f t="shared" ca="1" si="3"/>
        <v>1</v>
      </c>
    </row>
    <row r="114" spans="1:14" x14ac:dyDescent="0.3">
      <c r="A114" t="s">
        <v>375</v>
      </c>
      <c r="B114" t="s">
        <v>376</v>
      </c>
      <c r="C114" t="s">
        <v>23</v>
      </c>
      <c r="D114" t="s">
        <v>35</v>
      </c>
      <c r="E114" t="s">
        <v>17</v>
      </c>
      <c r="F114">
        <v>38.409999999999997</v>
      </c>
      <c r="G114" s="1">
        <v>45900</v>
      </c>
      <c r="H114" s="1">
        <v>44765</v>
      </c>
      <c r="I114" t="s">
        <v>377</v>
      </c>
      <c r="J114" t="s">
        <v>94</v>
      </c>
      <c r="K114">
        <v>2</v>
      </c>
      <c r="L114" t="s">
        <v>20</v>
      </c>
      <c r="M114" s="1">
        <f t="shared" ca="1" si="2"/>
        <v>46204</v>
      </c>
      <c r="N114">
        <f t="shared" ca="1" si="3"/>
        <v>1</v>
      </c>
    </row>
    <row r="115" spans="1:14" x14ac:dyDescent="0.3">
      <c r="A115" t="s">
        <v>378</v>
      </c>
      <c r="B115" t="s">
        <v>379</v>
      </c>
      <c r="C115" t="s">
        <v>60</v>
      </c>
      <c r="D115" t="s">
        <v>16</v>
      </c>
      <c r="E115" t="s">
        <v>30</v>
      </c>
      <c r="F115">
        <v>11.83</v>
      </c>
      <c r="G115" s="1">
        <v>45789</v>
      </c>
      <c r="H115" s="1">
        <v>44677</v>
      </c>
      <c r="I115" t="s">
        <v>380</v>
      </c>
      <c r="J115" t="s">
        <v>94</v>
      </c>
      <c r="K115">
        <v>3</v>
      </c>
      <c r="L115" t="s">
        <v>27</v>
      </c>
      <c r="M115" s="1">
        <f t="shared" ca="1" si="2"/>
        <v>46204</v>
      </c>
      <c r="N115">
        <f t="shared" ca="1" si="3"/>
        <v>1</v>
      </c>
    </row>
    <row r="116" spans="1:14" x14ac:dyDescent="0.3">
      <c r="A116" t="s">
        <v>381</v>
      </c>
      <c r="B116" t="s">
        <v>382</v>
      </c>
      <c r="C116" t="s">
        <v>124</v>
      </c>
      <c r="D116" t="s">
        <v>56</v>
      </c>
      <c r="E116" t="s">
        <v>30</v>
      </c>
      <c r="F116">
        <v>20.149999999999999</v>
      </c>
      <c r="G116" s="1">
        <v>45818</v>
      </c>
      <c r="H116" s="1">
        <v>43613</v>
      </c>
      <c r="I116" t="s">
        <v>383</v>
      </c>
      <c r="J116" t="s">
        <v>26</v>
      </c>
      <c r="K116">
        <v>3</v>
      </c>
      <c r="L116" t="s">
        <v>20</v>
      </c>
      <c r="M116" s="1">
        <f t="shared" ca="1" si="2"/>
        <v>46204</v>
      </c>
      <c r="N116">
        <f t="shared" ca="1" si="3"/>
        <v>1</v>
      </c>
    </row>
    <row r="117" spans="1:14" x14ac:dyDescent="0.3">
      <c r="A117" t="s">
        <v>384</v>
      </c>
      <c r="B117" t="s">
        <v>385</v>
      </c>
      <c r="C117" t="s">
        <v>124</v>
      </c>
      <c r="D117" t="s">
        <v>40</v>
      </c>
      <c r="E117" t="s">
        <v>24</v>
      </c>
      <c r="F117">
        <v>39.39</v>
      </c>
      <c r="G117" s="1">
        <v>45945</v>
      </c>
      <c r="H117" s="1">
        <v>45350</v>
      </c>
      <c r="I117" t="s">
        <v>386</v>
      </c>
      <c r="J117" t="s">
        <v>19</v>
      </c>
      <c r="K117">
        <v>4</v>
      </c>
      <c r="L117" t="s">
        <v>20</v>
      </c>
      <c r="M117" s="1">
        <f t="shared" ca="1" si="2"/>
        <v>46204</v>
      </c>
      <c r="N117">
        <f t="shared" ca="1" si="3"/>
        <v>1</v>
      </c>
    </row>
    <row r="118" spans="1:14" x14ac:dyDescent="0.3">
      <c r="A118" t="s">
        <v>387</v>
      </c>
      <c r="B118" t="s">
        <v>388</v>
      </c>
      <c r="C118" t="s">
        <v>47</v>
      </c>
      <c r="D118" t="s">
        <v>56</v>
      </c>
      <c r="E118" t="s">
        <v>24</v>
      </c>
      <c r="F118">
        <v>35.659999999999997</v>
      </c>
      <c r="G118" s="1">
        <v>45799</v>
      </c>
      <c r="H118" s="1">
        <v>42715</v>
      </c>
      <c r="I118" t="s">
        <v>389</v>
      </c>
      <c r="J118" t="s">
        <v>19</v>
      </c>
      <c r="K118">
        <v>1</v>
      </c>
      <c r="L118" t="s">
        <v>27</v>
      </c>
      <c r="M118" s="1">
        <f t="shared" ca="1" si="2"/>
        <v>46204</v>
      </c>
      <c r="N118">
        <f t="shared" ca="1" si="3"/>
        <v>1</v>
      </c>
    </row>
    <row r="119" spans="1:14" x14ac:dyDescent="0.3">
      <c r="A119" t="s">
        <v>390</v>
      </c>
      <c r="B119" t="s">
        <v>391</v>
      </c>
      <c r="C119" t="s">
        <v>23</v>
      </c>
      <c r="D119" t="s">
        <v>73</v>
      </c>
      <c r="E119" t="s">
        <v>24</v>
      </c>
      <c r="F119">
        <v>22.67</v>
      </c>
      <c r="G119" s="1">
        <v>45889</v>
      </c>
      <c r="H119" s="1">
        <v>43089</v>
      </c>
      <c r="I119" t="s">
        <v>392</v>
      </c>
      <c r="J119" t="s">
        <v>19</v>
      </c>
      <c r="K119">
        <v>4</v>
      </c>
      <c r="L119" t="s">
        <v>27</v>
      </c>
      <c r="M119" s="1">
        <f t="shared" ca="1" si="2"/>
        <v>46204</v>
      </c>
      <c r="N119">
        <f t="shared" ca="1" si="3"/>
        <v>1</v>
      </c>
    </row>
    <row r="120" spans="1:14" x14ac:dyDescent="0.3">
      <c r="A120" t="s">
        <v>393</v>
      </c>
      <c r="B120" t="s">
        <v>394</v>
      </c>
      <c r="C120" t="s">
        <v>47</v>
      </c>
      <c r="D120" t="s">
        <v>73</v>
      </c>
      <c r="E120" t="s">
        <v>17</v>
      </c>
      <c r="F120">
        <v>30.11</v>
      </c>
      <c r="G120" s="1">
        <v>45741</v>
      </c>
      <c r="H120" s="1">
        <v>42540</v>
      </c>
      <c r="I120" t="s">
        <v>395</v>
      </c>
      <c r="J120" t="s">
        <v>94</v>
      </c>
      <c r="K120">
        <v>4</v>
      </c>
      <c r="L120" t="s">
        <v>20</v>
      </c>
      <c r="M120" s="1">
        <f t="shared" ca="1" si="2"/>
        <v>46204</v>
      </c>
      <c r="N120">
        <f t="shared" ca="1" si="3"/>
        <v>1</v>
      </c>
    </row>
    <row r="121" spans="1:14" x14ac:dyDescent="0.3">
      <c r="A121" t="s">
        <v>396</v>
      </c>
      <c r="B121" t="s">
        <v>397</v>
      </c>
      <c r="C121" t="s">
        <v>34</v>
      </c>
      <c r="D121" t="s">
        <v>40</v>
      </c>
      <c r="E121" t="s">
        <v>17</v>
      </c>
      <c r="F121">
        <v>19.64</v>
      </c>
      <c r="G121" s="1">
        <v>46057</v>
      </c>
      <c r="H121" s="1">
        <v>44073</v>
      </c>
      <c r="I121" t="s">
        <v>398</v>
      </c>
      <c r="J121" t="s">
        <v>19</v>
      </c>
      <c r="K121">
        <v>1</v>
      </c>
      <c r="L121" t="s">
        <v>20</v>
      </c>
      <c r="M121" s="1">
        <f t="shared" ca="1" si="2"/>
        <v>46204</v>
      </c>
      <c r="N121">
        <f t="shared" ca="1" si="3"/>
        <v>1</v>
      </c>
    </row>
    <row r="122" spans="1:14" x14ac:dyDescent="0.3">
      <c r="A122" t="s">
        <v>399</v>
      </c>
      <c r="B122" t="s">
        <v>400</v>
      </c>
      <c r="C122" t="s">
        <v>64</v>
      </c>
      <c r="D122" t="s">
        <v>73</v>
      </c>
      <c r="E122" t="s">
        <v>30</v>
      </c>
      <c r="F122">
        <v>8.5</v>
      </c>
      <c r="G122" s="1">
        <v>45787</v>
      </c>
      <c r="H122" s="1">
        <v>42449</v>
      </c>
      <c r="I122" t="s">
        <v>401</v>
      </c>
      <c r="J122" t="s">
        <v>37</v>
      </c>
      <c r="K122">
        <v>5</v>
      </c>
      <c r="L122" t="s">
        <v>20</v>
      </c>
      <c r="M122" s="1">
        <f t="shared" ca="1" si="2"/>
        <v>46204</v>
      </c>
      <c r="N122">
        <f t="shared" ca="1" si="3"/>
        <v>1</v>
      </c>
    </row>
    <row r="123" spans="1:14" x14ac:dyDescent="0.3">
      <c r="A123" t="s">
        <v>402</v>
      </c>
      <c r="B123" t="s">
        <v>403</v>
      </c>
      <c r="C123" t="s">
        <v>124</v>
      </c>
      <c r="D123" t="s">
        <v>69</v>
      </c>
      <c r="E123" t="s">
        <v>52</v>
      </c>
      <c r="F123">
        <v>2.36</v>
      </c>
      <c r="G123" s="1">
        <v>45973</v>
      </c>
      <c r="H123" s="1">
        <v>42576</v>
      </c>
      <c r="I123" t="s">
        <v>404</v>
      </c>
      <c r="J123" t="s">
        <v>66</v>
      </c>
      <c r="K123">
        <v>1</v>
      </c>
      <c r="L123" t="s">
        <v>27</v>
      </c>
      <c r="M123" s="1">
        <f t="shared" ca="1" si="2"/>
        <v>46204</v>
      </c>
      <c r="N123">
        <f t="shared" ca="1" si="3"/>
        <v>1</v>
      </c>
    </row>
    <row r="124" spans="1:14" x14ac:dyDescent="0.3">
      <c r="A124" t="s">
        <v>405</v>
      </c>
      <c r="B124" t="s">
        <v>406</v>
      </c>
      <c r="C124" t="s">
        <v>124</v>
      </c>
      <c r="D124" t="s">
        <v>16</v>
      </c>
      <c r="E124" t="s">
        <v>30</v>
      </c>
      <c r="F124">
        <v>9.14</v>
      </c>
      <c r="G124" s="1">
        <v>45962</v>
      </c>
      <c r="H124" s="1">
        <v>44335</v>
      </c>
      <c r="I124" t="s">
        <v>407</v>
      </c>
      <c r="J124" t="s">
        <v>94</v>
      </c>
      <c r="K124">
        <v>3</v>
      </c>
      <c r="L124" t="s">
        <v>27</v>
      </c>
      <c r="M124" s="1">
        <f t="shared" ca="1" si="2"/>
        <v>46204</v>
      </c>
      <c r="N124">
        <f t="shared" ca="1" si="3"/>
        <v>1</v>
      </c>
    </row>
    <row r="125" spans="1:14" x14ac:dyDescent="0.3">
      <c r="A125" t="s">
        <v>408</v>
      </c>
      <c r="B125" t="s">
        <v>409</v>
      </c>
      <c r="C125" t="s">
        <v>64</v>
      </c>
      <c r="D125" t="s">
        <v>16</v>
      </c>
      <c r="E125" t="s">
        <v>24</v>
      </c>
      <c r="F125">
        <v>23.42</v>
      </c>
      <c r="G125" s="1">
        <v>46014</v>
      </c>
      <c r="H125" s="1">
        <v>43683</v>
      </c>
      <c r="I125" t="s">
        <v>410</v>
      </c>
      <c r="J125" t="s">
        <v>19</v>
      </c>
      <c r="K125">
        <v>4</v>
      </c>
      <c r="L125" t="s">
        <v>27</v>
      </c>
      <c r="M125" s="1">
        <f t="shared" ca="1" si="2"/>
        <v>46204</v>
      </c>
      <c r="N125">
        <f t="shared" ca="1" si="3"/>
        <v>1</v>
      </c>
    </row>
    <row r="126" spans="1:14" x14ac:dyDescent="0.3">
      <c r="A126" t="s">
        <v>411</v>
      </c>
      <c r="B126" t="s">
        <v>412</v>
      </c>
      <c r="C126" t="s">
        <v>124</v>
      </c>
      <c r="D126" t="s">
        <v>73</v>
      </c>
      <c r="E126" t="s">
        <v>24</v>
      </c>
      <c r="F126">
        <v>26.82</v>
      </c>
      <c r="G126" s="1">
        <v>46008</v>
      </c>
      <c r="H126" s="1">
        <v>42398</v>
      </c>
      <c r="I126" t="s">
        <v>413</v>
      </c>
      <c r="J126" t="s">
        <v>66</v>
      </c>
      <c r="K126">
        <v>4</v>
      </c>
      <c r="L126" t="s">
        <v>20</v>
      </c>
      <c r="M126" s="1">
        <f t="shared" ca="1" si="2"/>
        <v>46204</v>
      </c>
      <c r="N126">
        <f t="shared" ca="1" si="3"/>
        <v>1</v>
      </c>
    </row>
    <row r="127" spans="1:14" x14ac:dyDescent="0.3">
      <c r="A127" t="s">
        <v>414</v>
      </c>
      <c r="B127" t="s">
        <v>415</v>
      </c>
      <c r="C127" t="s">
        <v>60</v>
      </c>
      <c r="D127" t="s">
        <v>35</v>
      </c>
      <c r="E127" t="s">
        <v>24</v>
      </c>
      <c r="F127">
        <v>19.43</v>
      </c>
      <c r="G127" s="1">
        <v>45916</v>
      </c>
      <c r="H127" s="1">
        <v>42656</v>
      </c>
      <c r="I127" t="s">
        <v>416</v>
      </c>
      <c r="J127" t="s">
        <v>49</v>
      </c>
      <c r="K127">
        <v>5</v>
      </c>
      <c r="L127" t="s">
        <v>20</v>
      </c>
      <c r="M127" s="1">
        <f t="shared" ca="1" si="2"/>
        <v>46204</v>
      </c>
      <c r="N127">
        <f t="shared" ca="1" si="3"/>
        <v>1</v>
      </c>
    </row>
    <row r="128" spans="1:14" x14ac:dyDescent="0.3">
      <c r="A128" t="s">
        <v>417</v>
      </c>
      <c r="B128" t="s">
        <v>418</v>
      </c>
      <c r="C128" t="s">
        <v>34</v>
      </c>
      <c r="D128" t="s">
        <v>40</v>
      </c>
      <c r="E128" t="s">
        <v>17</v>
      </c>
      <c r="F128">
        <v>21.07</v>
      </c>
      <c r="G128" s="1">
        <v>45821</v>
      </c>
      <c r="H128" s="1">
        <v>42974</v>
      </c>
      <c r="I128" t="s">
        <v>419</v>
      </c>
      <c r="J128" t="s">
        <v>94</v>
      </c>
      <c r="K128">
        <v>5</v>
      </c>
      <c r="L128" t="s">
        <v>27</v>
      </c>
      <c r="M128" s="1">
        <f t="shared" ca="1" si="2"/>
        <v>46204</v>
      </c>
      <c r="N128">
        <f t="shared" ca="1" si="3"/>
        <v>1</v>
      </c>
    </row>
    <row r="129" spans="1:14" x14ac:dyDescent="0.3">
      <c r="A129" t="s">
        <v>420</v>
      </c>
      <c r="B129" t="s">
        <v>421</v>
      </c>
      <c r="C129" t="s">
        <v>34</v>
      </c>
      <c r="D129" t="s">
        <v>56</v>
      </c>
      <c r="E129" t="s">
        <v>17</v>
      </c>
      <c r="F129">
        <v>38.67</v>
      </c>
      <c r="G129" s="1">
        <v>46032</v>
      </c>
      <c r="H129" s="1">
        <v>42890</v>
      </c>
      <c r="I129" t="s">
        <v>422</v>
      </c>
      <c r="J129" t="s">
        <v>19</v>
      </c>
      <c r="K129">
        <v>3</v>
      </c>
      <c r="L129" t="s">
        <v>20</v>
      </c>
      <c r="M129" s="1">
        <f t="shared" ca="1" si="2"/>
        <v>46204</v>
      </c>
      <c r="N129">
        <f t="shared" ca="1" si="3"/>
        <v>1</v>
      </c>
    </row>
    <row r="130" spans="1:14" x14ac:dyDescent="0.3">
      <c r="A130" t="s">
        <v>423</v>
      </c>
      <c r="B130" t="s">
        <v>424</v>
      </c>
      <c r="C130" t="s">
        <v>124</v>
      </c>
      <c r="D130" t="s">
        <v>73</v>
      </c>
      <c r="E130" t="s">
        <v>17</v>
      </c>
      <c r="F130">
        <v>38.619999999999997</v>
      </c>
      <c r="G130" s="1">
        <v>45732</v>
      </c>
      <c r="H130" s="1">
        <v>43866</v>
      </c>
      <c r="I130" t="s">
        <v>425</v>
      </c>
      <c r="J130" t="s">
        <v>49</v>
      </c>
      <c r="K130">
        <v>1</v>
      </c>
      <c r="L130" t="s">
        <v>27</v>
      </c>
      <c r="M130" s="1">
        <f t="shared" ca="1" si="2"/>
        <v>46204</v>
      </c>
      <c r="N130">
        <f t="shared" ca="1" si="3"/>
        <v>1</v>
      </c>
    </row>
    <row r="131" spans="1:14" x14ac:dyDescent="0.3">
      <c r="A131" t="s">
        <v>426</v>
      </c>
      <c r="B131" t="s">
        <v>427</v>
      </c>
      <c r="C131" t="s">
        <v>23</v>
      </c>
      <c r="D131" t="s">
        <v>56</v>
      </c>
      <c r="E131" t="s">
        <v>30</v>
      </c>
      <c r="F131">
        <v>2.21</v>
      </c>
      <c r="G131" s="1">
        <v>46056</v>
      </c>
      <c r="H131" s="1">
        <v>45448</v>
      </c>
      <c r="I131" t="s">
        <v>428</v>
      </c>
      <c r="J131" t="s">
        <v>66</v>
      </c>
      <c r="K131">
        <v>4</v>
      </c>
      <c r="L131" t="s">
        <v>20</v>
      </c>
      <c r="M131" s="1">
        <f t="shared" ref="M131:M194" ca="1" si="4">TODAY()</f>
        <v>46204</v>
      </c>
      <c r="N131">
        <f t="shared" ref="N131:N194" ca="1" si="5">IF(G131&lt;M131,1,0)</f>
        <v>1</v>
      </c>
    </row>
    <row r="132" spans="1:14" x14ac:dyDescent="0.3">
      <c r="A132" t="s">
        <v>429</v>
      </c>
      <c r="B132" t="s">
        <v>430</v>
      </c>
      <c r="C132" t="s">
        <v>64</v>
      </c>
      <c r="D132" t="s">
        <v>69</v>
      </c>
      <c r="E132" t="s">
        <v>52</v>
      </c>
      <c r="F132">
        <v>26.24</v>
      </c>
      <c r="G132" s="1">
        <v>45737</v>
      </c>
      <c r="H132" s="1">
        <v>44321</v>
      </c>
      <c r="I132" t="s">
        <v>431</v>
      </c>
      <c r="J132" t="s">
        <v>37</v>
      </c>
      <c r="K132">
        <v>2</v>
      </c>
      <c r="L132" t="s">
        <v>20</v>
      </c>
      <c r="M132" s="1">
        <f t="shared" ca="1" si="4"/>
        <v>46204</v>
      </c>
      <c r="N132">
        <f t="shared" ca="1" si="5"/>
        <v>1</v>
      </c>
    </row>
    <row r="133" spans="1:14" x14ac:dyDescent="0.3">
      <c r="A133" t="s">
        <v>432</v>
      </c>
      <c r="B133" t="s">
        <v>433</v>
      </c>
      <c r="C133" t="s">
        <v>64</v>
      </c>
      <c r="D133" t="s">
        <v>40</v>
      </c>
      <c r="E133" t="s">
        <v>30</v>
      </c>
      <c r="F133">
        <v>2.5099999999999998</v>
      </c>
      <c r="G133" s="1">
        <v>46017</v>
      </c>
      <c r="H133" s="1">
        <v>43046</v>
      </c>
      <c r="I133" t="s">
        <v>434</v>
      </c>
      <c r="J133" t="s">
        <v>94</v>
      </c>
      <c r="K133">
        <v>1</v>
      </c>
      <c r="L133" t="s">
        <v>27</v>
      </c>
      <c r="M133" s="1">
        <f t="shared" ca="1" si="4"/>
        <v>46204</v>
      </c>
      <c r="N133">
        <f t="shared" ca="1" si="5"/>
        <v>1</v>
      </c>
    </row>
    <row r="134" spans="1:14" x14ac:dyDescent="0.3">
      <c r="A134" t="s">
        <v>435</v>
      </c>
      <c r="B134" t="s">
        <v>436</v>
      </c>
      <c r="C134" t="s">
        <v>124</v>
      </c>
      <c r="D134" t="s">
        <v>35</v>
      </c>
      <c r="E134" t="s">
        <v>30</v>
      </c>
      <c r="F134">
        <v>16.329999999999998</v>
      </c>
      <c r="G134" s="1">
        <v>45985</v>
      </c>
      <c r="H134" s="1">
        <v>44731</v>
      </c>
      <c r="I134" t="s">
        <v>437</v>
      </c>
      <c r="J134" t="s">
        <v>19</v>
      </c>
      <c r="K134">
        <v>3</v>
      </c>
      <c r="L134" t="s">
        <v>27</v>
      </c>
      <c r="M134" s="1">
        <f t="shared" ca="1" si="4"/>
        <v>46204</v>
      </c>
      <c r="N134">
        <f t="shared" ca="1" si="5"/>
        <v>1</v>
      </c>
    </row>
    <row r="135" spans="1:14" x14ac:dyDescent="0.3">
      <c r="A135" t="s">
        <v>438</v>
      </c>
      <c r="B135" t="s">
        <v>439</v>
      </c>
      <c r="C135" t="s">
        <v>15</v>
      </c>
      <c r="D135" t="s">
        <v>16</v>
      </c>
      <c r="E135" t="s">
        <v>52</v>
      </c>
      <c r="F135">
        <v>37.24</v>
      </c>
      <c r="G135" s="1">
        <v>45807</v>
      </c>
      <c r="H135" s="1">
        <v>43298</v>
      </c>
      <c r="I135" t="s">
        <v>440</v>
      </c>
      <c r="J135" t="s">
        <v>26</v>
      </c>
      <c r="K135">
        <v>4</v>
      </c>
      <c r="L135" t="s">
        <v>27</v>
      </c>
      <c r="M135" s="1">
        <f t="shared" ca="1" si="4"/>
        <v>46204</v>
      </c>
      <c r="N135">
        <f t="shared" ca="1" si="5"/>
        <v>1</v>
      </c>
    </row>
    <row r="136" spans="1:14" x14ac:dyDescent="0.3">
      <c r="A136" t="s">
        <v>441</v>
      </c>
      <c r="B136" t="s">
        <v>442</v>
      </c>
      <c r="C136" t="s">
        <v>34</v>
      </c>
      <c r="D136" t="s">
        <v>40</v>
      </c>
      <c r="E136" t="s">
        <v>24</v>
      </c>
      <c r="F136">
        <v>12.45</v>
      </c>
      <c r="G136" s="1">
        <v>45830</v>
      </c>
      <c r="H136" s="1">
        <v>42551</v>
      </c>
      <c r="I136" t="s">
        <v>443</v>
      </c>
      <c r="J136" t="s">
        <v>66</v>
      </c>
      <c r="K136">
        <v>4</v>
      </c>
      <c r="L136" t="s">
        <v>20</v>
      </c>
      <c r="M136" s="1">
        <f t="shared" ca="1" si="4"/>
        <v>46204</v>
      </c>
      <c r="N136">
        <f t="shared" ca="1" si="5"/>
        <v>1</v>
      </c>
    </row>
    <row r="137" spans="1:14" x14ac:dyDescent="0.3">
      <c r="A137" t="s">
        <v>444</v>
      </c>
      <c r="B137" t="s">
        <v>445</v>
      </c>
      <c r="C137" t="s">
        <v>64</v>
      </c>
      <c r="D137" t="s">
        <v>56</v>
      </c>
      <c r="E137" t="s">
        <v>17</v>
      </c>
      <c r="F137">
        <v>21.06</v>
      </c>
      <c r="G137" s="1">
        <v>45905</v>
      </c>
      <c r="H137" s="1">
        <v>44009</v>
      </c>
      <c r="I137" t="s">
        <v>446</v>
      </c>
      <c r="J137" t="s">
        <v>49</v>
      </c>
      <c r="K137">
        <v>2</v>
      </c>
      <c r="L137" t="s">
        <v>27</v>
      </c>
      <c r="M137" s="1">
        <f t="shared" ca="1" si="4"/>
        <v>46204</v>
      </c>
      <c r="N137">
        <f t="shared" ca="1" si="5"/>
        <v>1</v>
      </c>
    </row>
    <row r="138" spans="1:14" x14ac:dyDescent="0.3">
      <c r="A138" t="s">
        <v>447</v>
      </c>
      <c r="B138" t="s">
        <v>448</v>
      </c>
      <c r="C138" t="s">
        <v>23</v>
      </c>
      <c r="D138" t="s">
        <v>35</v>
      </c>
      <c r="E138" t="s">
        <v>30</v>
      </c>
      <c r="F138">
        <v>27.61</v>
      </c>
      <c r="G138" s="1">
        <v>45753</v>
      </c>
      <c r="H138" s="1">
        <v>43103</v>
      </c>
      <c r="I138" t="s">
        <v>449</v>
      </c>
      <c r="J138" t="s">
        <v>26</v>
      </c>
      <c r="K138">
        <v>3</v>
      </c>
      <c r="L138" t="s">
        <v>27</v>
      </c>
      <c r="M138" s="1">
        <f t="shared" ca="1" si="4"/>
        <v>46204</v>
      </c>
      <c r="N138">
        <f t="shared" ca="1" si="5"/>
        <v>1</v>
      </c>
    </row>
    <row r="139" spans="1:14" x14ac:dyDescent="0.3">
      <c r="A139" t="s">
        <v>450</v>
      </c>
      <c r="B139" t="s">
        <v>451</v>
      </c>
      <c r="C139" t="s">
        <v>15</v>
      </c>
      <c r="D139" t="s">
        <v>69</v>
      </c>
      <c r="E139" t="s">
        <v>24</v>
      </c>
      <c r="F139">
        <v>10.65</v>
      </c>
      <c r="G139" s="1">
        <v>45935</v>
      </c>
      <c r="H139" s="1">
        <v>43950</v>
      </c>
      <c r="I139" t="s">
        <v>452</v>
      </c>
      <c r="J139" t="s">
        <v>94</v>
      </c>
      <c r="K139">
        <v>5</v>
      </c>
      <c r="L139" t="s">
        <v>20</v>
      </c>
      <c r="M139" s="1">
        <f t="shared" ca="1" si="4"/>
        <v>46204</v>
      </c>
      <c r="N139">
        <f t="shared" ca="1" si="5"/>
        <v>1</v>
      </c>
    </row>
    <row r="140" spans="1:14" x14ac:dyDescent="0.3">
      <c r="A140" t="s">
        <v>453</v>
      </c>
      <c r="B140" t="s">
        <v>454</v>
      </c>
      <c r="C140" t="s">
        <v>124</v>
      </c>
      <c r="D140" t="s">
        <v>16</v>
      </c>
      <c r="E140" t="s">
        <v>52</v>
      </c>
      <c r="F140">
        <v>13.52</v>
      </c>
      <c r="G140" s="1">
        <v>45959</v>
      </c>
      <c r="H140" s="1">
        <v>44550</v>
      </c>
      <c r="I140" t="s">
        <v>455</v>
      </c>
      <c r="J140" t="s">
        <v>26</v>
      </c>
      <c r="K140">
        <v>5</v>
      </c>
      <c r="L140" t="s">
        <v>27</v>
      </c>
      <c r="M140" s="1">
        <f t="shared" ca="1" si="4"/>
        <v>46204</v>
      </c>
      <c r="N140">
        <f t="shared" ca="1" si="5"/>
        <v>1</v>
      </c>
    </row>
    <row r="141" spans="1:14" x14ac:dyDescent="0.3">
      <c r="A141" t="s">
        <v>456</v>
      </c>
      <c r="B141" t="s">
        <v>457</v>
      </c>
      <c r="C141" t="s">
        <v>124</v>
      </c>
      <c r="D141" t="s">
        <v>73</v>
      </c>
      <c r="E141" t="s">
        <v>30</v>
      </c>
      <c r="F141">
        <v>7.09</v>
      </c>
      <c r="G141" s="1">
        <v>45833</v>
      </c>
      <c r="H141" s="1">
        <v>42497</v>
      </c>
      <c r="I141" t="s">
        <v>458</v>
      </c>
      <c r="J141" t="s">
        <v>26</v>
      </c>
      <c r="K141">
        <v>3</v>
      </c>
      <c r="L141" t="s">
        <v>27</v>
      </c>
      <c r="M141" s="1">
        <f t="shared" ca="1" si="4"/>
        <v>46204</v>
      </c>
      <c r="N141">
        <f t="shared" ca="1" si="5"/>
        <v>1</v>
      </c>
    </row>
    <row r="142" spans="1:14" x14ac:dyDescent="0.3">
      <c r="A142" t="s">
        <v>459</v>
      </c>
      <c r="B142" t="s">
        <v>460</v>
      </c>
      <c r="C142" t="s">
        <v>15</v>
      </c>
      <c r="D142" t="s">
        <v>73</v>
      </c>
      <c r="E142" t="s">
        <v>30</v>
      </c>
      <c r="F142">
        <v>17.59</v>
      </c>
      <c r="G142" s="1">
        <v>46008</v>
      </c>
      <c r="H142" s="1">
        <v>42634</v>
      </c>
      <c r="I142" t="s">
        <v>461</v>
      </c>
      <c r="J142" t="s">
        <v>26</v>
      </c>
      <c r="K142">
        <v>3</v>
      </c>
      <c r="L142" t="s">
        <v>27</v>
      </c>
      <c r="M142" s="1">
        <f t="shared" ca="1" si="4"/>
        <v>46204</v>
      </c>
      <c r="N142">
        <f t="shared" ca="1" si="5"/>
        <v>1</v>
      </c>
    </row>
    <row r="143" spans="1:14" x14ac:dyDescent="0.3">
      <c r="A143" t="s">
        <v>462</v>
      </c>
      <c r="B143" t="s">
        <v>463</v>
      </c>
      <c r="C143" t="s">
        <v>64</v>
      </c>
      <c r="D143" t="s">
        <v>40</v>
      </c>
      <c r="E143" t="s">
        <v>30</v>
      </c>
      <c r="F143">
        <v>10.59</v>
      </c>
      <c r="G143" s="1">
        <v>45893</v>
      </c>
      <c r="H143" s="1">
        <v>43972</v>
      </c>
      <c r="I143" t="s">
        <v>464</v>
      </c>
      <c r="J143" t="s">
        <v>37</v>
      </c>
      <c r="K143">
        <v>3</v>
      </c>
      <c r="L143" t="s">
        <v>20</v>
      </c>
      <c r="M143" s="1">
        <f t="shared" ca="1" si="4"/>
        <v>46204</v>
      </c>
      <c r="N143">
        <f t="shared" ca="1" si="5"/>
        <v>1</v>
      </c>
    </row>
    <row r="144" spans="1:14" x14ac:dyDescent="0.3">
      <c r="A144" t="s">
        <v>465</v>
      </c>
      <c r="B144" t="s">
        <v>466</v>
      </c>
      <c r="C144" t="s">
        <v>64</v>
      </c>
      <c r="D144" t="s">
        <v>40</v>
      </c>
      <c r="E144" t="s">
        <v>24</v>
      </c>
      <c r="F144">
        <v>29.72</v>
      </c>
      <c r="G144" s="1">
        <v>45754</v>
      </c>
      <c r="H144" s="1">
        <v>44893</v>
      </c>
      <c r="I144" t="s">
        <v>467</v>
      </c>
      <c r="J144" t="s">
        <v>75</v>
      </c>
      <c r="K144">
        <v>1</v>
      </c>
      <c r="L144" t="s">
        <v>27</v>
      </c>
      <c r="M144" s="1">
        <f t="shared" ca="1" si="4"/>
        <v>46204</v>
      </c>
      <c r="N144">
        <f t="shared" ca="1" si="5"/>
        <v>1</v>
      </c>
    </row>
    <row r="145" spans="1:14" x14ac:dyDescent="0.3">
      <c r="A145" t="s">
        <v>468</v>
      </c>
      <c r="B145" t="s">
        <v>469</v>
      </c>
      <c r="C145" t="s">
        <v>47</v>
      </c>
      <c r="D145" t="s">
        <v>35</v>
      </c>
      <c r="E145" t="s">
        <v>17</v>
      </c>
      <c r="F145">
        <v>31.94</v>
      </c>
      <c r="G145" s="1">
        <v>45770</v>
      </c>
      <c r="H145" s="1">
        <v>44008</v>
      </c>
      <c r="I145" t="s">
        <v>470</v>
      </c>
      <c r="J145" t="s">
        <v>75</v>
      </c>
      <c r="K145">
        <v>3</v>
      </c>
      <c r="L145" t="s">
        <v>27</v>
      </c>
      <c r="M145" s="1">
        <f t="shared" ca="1" si="4"/>
        <v>46204</v>
      </c>
      <c r="N145">
        <f t="shared" ca="1" si="5"/>
        <v>1</v>
      </c>
    </row>
    <row r="146" spans="1:14" x14ac:dyDescent="0.3">
      <c r="A146" t="s">
        <v>471</v>
      </c>
      <c r="B146" t="s">
        <v>472</v>
      </c>
      <c r="C146" t="s">
        <v>64</v>
      </c>
      <c r="D146" t="s">
        <v>16</v>
      </c>
      <c r="E146" t="s">
        <v>17</v>
      </c>
      <c r="F146">
        <v>32.19</v>
      </c>
      <c r="G146" s="1">
        <v>45752</v>
      </c>
      <c r="H146" s="1">
        <v>43646</v>
      </c>
      <c r="I146" t="s">
        <v>473</v>
      </c>
      <c r="J146" t="s">
        <v>37</v>
      </c>
      <c r="K146">
        <v>2</v>
      </c>
      <c r="L146" t="s">
        <v>27</v>
      </c>
      <c r="M146" s="1">
        <f t="shared" ca="1" si="4"/>
        <v>46204</v>
      </c>
      <c r="N146">
        <f t="shared" ca="1" si="5"/>
        <v>1</v>
      </c>
    </row>
    <row r="147" spans="1:14" x14ac:dyDescent="0.3">
      <c r="A147" t="s">
        <v>474</v>
      </c>
      <c r="B147" t="s">
        <v>475</v>
      </c>
      <c r="C147" t="s">
        <v>15</v>
      </c>
      <c r="D147" t="s">
        <v>40</v>
      </c>
      <c r="E147" t="s">
        <v>24</v>
      </c>
      <c r="F147">
        <v>31.02</v>
      </c>
      <c r="G147" s="1">
        <v>45889</v>
      </c>
      <c r="H147" s="1">
        <v>45435</v>
      </c>
      <c r="I147" t="s">
        <v>476</v>
      </c>
      <c r="J147" t="s">
        <v>94</v>
      </c>
      <c r="K147">
        <v>3</v>
      </c>
      <c r="L147" t="s">
        <v>20</v>
      </c>
      <c r="M147" s="1">
        <f t="shared" ca="1" si="4"/>
        <v>46204</v>
      </c>
      <c r="N147">
        <f t="shared" ca="1" si="5"/>
        <v>1</v>
      </c>
    </row>
    <row r="148" spans="1:14" x14ac:dyDescent="0.3">
      <c r="A148" t="s">
        <v>477</v>
      </c>
      <c r="B148" t="s">
        <v>478</v>
      </c>
      <c r="C148" t="s">
        <v>124</v>
      </c>
      <c r="D148" t="s">
        <v>56</v>
      </c>
      <c r="E148" t="s">
        <v>24</v>
      </c>
      <c r="F148">
        <v>31.98</v>
      </c>
      <c r="G148" s="1">
        <v>45961</v>
      </c>
      <c r="H148" s="1">
        <v>43531</v>
      </c>
      <c r="I148" t="s">
        <v>479</v>
      </c>
      <c r="J148" t="s">
        <v>94</v>
      </c>
      <c r="K148">
        <v>5</v>
      </c>
      <c r="L148" t="s">
        <v>27</v>
      </c>
      <c r="M148" s="1">
        <f t="shared" ca="1" si="4"/>
        <v>46204</v>
      </c>
      <c r="N148">
        <f t="shared" ca="1" si="5"/>
        <v>1</v>
      </c>
    </row>
    <row r="149" spans="1:14" x14ac:dyDescent="0.3">
      <c r="A149" t="s">
        <v>480</v>
      </c>
      <c r="B149" t="s">
        <v>481</v>
      </c>
      <c r="C149" t="s">
        <v>47</v>
      </c>
      <c r="D149" t="s">
        <v>16</v>
      </c>
      <c r="E149" t="s">
        <v>17</v>
      </c>
      <c r="F149">
        <v>20.3</v>
      </c>
      <c r="G149" s="1">
        <v>45864</v>
      </c>
      <c r="H149" s="1">
        <v>43362</v>
      </c>
      <c r="I149" t="s">
        <v>482</v>
      </c>
      <c r="J149" t="s">
        <v>19</v>
      </c>
      <c r="K149">
        <v>3</v>
      </c>
      <c r="L149" t="s">
        <v>27</v>
      </c>
      <c r="M149" s="1">
        <f t="shared" ca="1" si="4"/>
        <v>46204</v>
      </c>
      <c r="N149">
        <f t="shared" ca="1" si="5"/>
        <v>1</v>
      </c>
    </row>
    <row r="150" spans="1:14" x14ac:dyDescent="0.3">
      <c r="A150" t="s">
        <v>483</v>
      </c>
      <c r="B150" t="s">
        <v>484</v>
      </c>
      <c r="C150" t="s">
        <v>47</v>
      </c>
      <c r="D150" t="s">
        <v>56</v>
      </c>
      <c r="E150" t="s">
        <v>30</v>
      </c>
      <c r="F150">
        <v>3.53</v>
      </c>
      <c r="G150" s="1">
        <v>45879</v>
      </c>
      <c r="H150" s="1">
        <v>45430</v>
      </c>
      <c r="I150" t="s">
        <v>485</v>
      </c>
      <c r="J150" t="s">
        <v>94</v>
      </c>
      <c r="K150">
        <v>3</v>
      </c>
      <c r="L150" t="s">
        <v>20</v>
      </c>
      <c r="M150" s="1">
        <f t="shared" ca="1" si="4"/>
        <v>46204</v>
      </c>
      <c r="N150">
        <f t="shared" ca="1" si="5"/>
        <v>1</v>
      </c>
    </row>
    <row r="151" spans="1:14" x14ac:dyDescent="0.3">
      <c r="A151" t="s">
        <v>486</v>
      </c>
      <c r="B151" t="s">
        <v>487</v>
      </c>
      <c r="C151" t="s">
        <v>64</v>
      </c>
      <c r="D151" t="s">
        <v>16</v>
      </c>
      <c r="E151" t="s">
        <v>24</v>
      </c>
      <c r="F151">
        <v>6.24</v>
      </c>
      <c r="G151" s="1">
        <v>45949</v>
      </c>
      <c r="H151" s="1">
        <v>44229</v>
      </c>
      <c r="I151" t="s">
        <v>488</v>
      </c>
      <c r="J151" t="s">
        <v>19</v>
      </c>
      <c r="K151">
        <v>1</v>
      </c>
      <c r="L151" t="s">
        <v>20</v>
      </c>
      <c r="M151" s="1">
        <f t="shared" ca="1" si="4"/>
        <v>46204</v>
      </c>
      <c r="N151">
        <f t="shared" ca="1" si="5"/>
        <v>1</v>
      </c>
    </row>
    <row r="152" spans="1:14" x14ac:dyDescent="0.3">
      <c r="A152" t="s">
        <v>489</v>
      </c>
      <c r="B152" t="s">
        <v>490</v>
      </c>
      <c r="C152" t="s">
        <v>15</v>
      </c>
      <c r="D152" t="s">
        <v>56</v>
      </c>
      <c r="E152" t="s">
        <v>17</v>
      </c>
      <c r="F152">
        <v>15.6</v>
      </c>
      <c r="G152" s="1">
        <v>45708</v>
      </c>
      <c r="H152" s="1">
        <v>44811</v>
      </c>
      <c r="I152" t="s">
        <v>491</v>
      </c>
      <c r="J152" t="s">
        <v>49</v>
      </c>
      <c r="K152">
        <v>5</v>
      </c>
      <c r="L152" t="s">
        <v>27</v>
      </c>
      <c r="M152" s="1">
        <f t="shared" ca="1" si="4"/>
        <v>46204</v>
      </c>
      <c r="N152">
        <f t="shared" ca="1" si="5"/>
        <v>1</v>
      </c>
    </row>
    <row r="153" spans="1:14" x14ac:dyDescent="0.3">
      <c r="A153" t="s">
        <v>492</v>
      </c>
      <c r="B153" t="s">
        <v>493</v>
      </c>
      <c r="C153" t="s">
        <v>124</v>
      </c>
      <c r="D153" t="s">
        <v>73</v>
      </c>
      <c r="E153" t="s">
        <v>17</v>
      </c>
      <c r="F153">
        <v>38.08</v>
      </c>
      <c r="G153" s="1">
        <v>45739</v>
      </c>
      <c r="H153" s="1">
        <v>44447</v>
      </c>
      <c r="I153" t="s">
        <v>494</v>
      </c>
      <c r="J153" t="s">
        <v>19</v>
      </c>
      <c r="K153">
        <v>1</v>
      </c>
      <c r="L153" t="s">
        <v>27</v>
      </c>
      <c r="M153" s="1">
        <f t="shared" ca="1" si="4"/>
        <v>46204</v>
      </c>
      <c r="N153">
        <f t="shared" ca="1" si="5"/>
        <v>1</v>
      </c>
    </row>
    <row r="154" spans="1:14" x14ac:dyDescent="0.3">
      <c r="A154" t="s">
        <v>495</v>
      </c>
      <c r="B154" t="s">
        <v>496</v>
      </c>
      <c r="C154" t="s">
        <v>124</v>
      </c>
      <c r="D154" t="s">
        <v>73</v>
      </c>
      <c r="E154" t="s">
        <v>30</v>
      </c>
      <c r="F154">
        <v>1.88</v>
      </c>
      <c r="G154" s="1">
        <v>45812</v>
      </c>
      <c r="H154" s="1">
        <v>42884</v>
      </c>
      <c r="I154" t="s">
        <v>497</v>
      </c>
      <c r="J154" t="s">
        <v>19</v>
      </c>
      <c r="K154">
        <v>3</v>
      </c>
      <c r="L154" t="s">
        <v>20</v>
      </c>
      <c r="M154" s="1">
        <f t="shared" ca="1" si="4"/>
        <v>46204</v>
      </c>
      <c r="N154">
        <f t="shared" ca="1" si="5"/>
        <v>1</v>
      </c>
    </row>
    <row r="155" spans="1:14" x14ac:dyDescent="0.3">
      <c r="A155" t="s">
        <v>498</v>
      </c>
      <c r="B155" t="s">
        <v>499</v>
      </c>
      <c r="C155" t="s">
        <v>47</v>
      </c>
      <c r="D155" t="s">
        <v>56</v>
      </c>
      <c r="E155" t="s">
        <v>24</v>
      </c>
      <c r="F155">
        <v>14.97</v>
      </c>
      <c r="G155" s="1">
        <v>45816</v>
      </c>
      <c r="H155" s="1">
        <v>44351</v>
      </c>
      <c r="I155" t="s">
        <v>500</v>
      </c>
      <c r="J155" t="s">
        <v>94</v>
      </c>
      <c r="K155">
        <v>2</v>
      </c>
      <c r="L155" t="s">
        <v>27</v>
      </c>
      <c r="M155" s="1">
        <f t="shared" ca="1" si="4"/>
        <v>46204</v>
      </c>
      <c r="N155">
        <f t="shared" ca="1" si="5"/>
        <v>1</v>
      </c>
    </row>
    <row r="156" spans="1:14" x14ac:dyDescent="0.3">
      <c r="A156" t="s">
        <v>501</v>
      </c>
      <c r="B156" t="s">
        <v>502</v>
      </c>
      <c r="C156" t="s">
        <v>47</v>
      </c>
      <c r="D156" t="s">
        <v>16</v>
      </c>
      <c r="E156" t="s">
        <v>17</v>
      </c>
      <c r="F156">
        <v>14.95</v>
      </c>
      <c r="G156" s="1">
        <v>45996</v>
      </c>
      <c r="H156" s="1">
        <v>44236</v>
      </c>
      <c r="I156" t="s">
        <v>503</v>
      </c>
      <c r="J156" t="s">
        <v>26</v>
      </c>
      <c r="K156">
        <v>1</v>
      </c>
      <c r="L156" t="s">
        <v>20</v>
      </c>
      <c r="M156" s="1">
        <f t="shared" ca="1" si="4"/>
        <v>46204</v>
      </c>
      <c r="N156">
        <f t="shared" ca="1" si="5"/>
        <v>1</v>
      </c>
    </row>
    <row r="157" spans="1:14" x14ac:dyDescent="0.3">
      <c r="A157" t="s">
        <v>504</v>
      </c>
      <c r="B157" t="s">
        <v>505</v>
      </c>
      <c r="C157" t="s">
        <v>60</v>
      </c>
      <c r="D157" t="s">
        <v>35</v>
      </c>
      <c r="E157" t="s">
        <v>30</v>
      </c>
      <c r="F157">
        <v>4.2300000000000004</v>
      </c>
      <c r="G157" s="1">
        <v>45818</v>
      </c>
      <c r="H157" s="1">
        <v>42669</v>
      </c>
      <c r="I157" t="s">
        <v>506</v>
      </c>
      <c r="J157" t="s">
        <v>37</v>
      </c>
      <c r="K157">
        <v>5</v>
      </c>
      <c r="L157" t="s">
        <v>20</v>
      </c>
      <c r="M157" s="1">
        <f t="shared" ca="1" si="4"/>
        <v>46204</v>
      </c>
      <c r="N157">
        <f t="shared" ca="1" si="5"/>
        <v>1</v>
      </c>
    </row>
    <row r="158" spans="1:14" x14ac:dyDescent="0.3">
      <c r="A158" t="s">
        <v>507</v>
      </c>
      <c r="B158" t="s">
        <v>508</v>
      </c>
      <c r="C158" t="s">
        <v>15</v>
      </c>
      <c r="D158" t="s">
        <v>73</v>
      </c>
      <c r="E158" t="s">
        <v>24</v>
      </c>
      <c r="F158">
        <v>15.25</v>
      </c>
      <c r="G158" s="1">
        <v>45799</v>
      </c>
      <c r="H158" s="1">
        <v>42396</v>
      </c>
      <c r="I158" t="s">
        <v>509</v>
      </c>
      <c r="J158" t="s">
        <v>66</v>
      </c>
      <c r="K158">
        <v>1</v>
      </c>
      <c r="L158" t="s">
        <v>27</v>
      </c>
      <c r="M158" s="1">
        <f t="shared" ca="1" si="4"/>
        <v>46204</v>
      </c>
      <c r="N158">
        <f t="shared" ca="1" si="5"/>
        <v>1</v>
      </c>
    </row>
    <row r="159" spans="1:14" x14ac:dyDescent="0.3">
      <c r="A159" t="s">
        <v>510</v>
      </c>
      <c r="B159" t="s">
        <v>511</v>
      </c>
      <c r="C159" t="s">
        <v>124</v>
      </c>
      <c r="D159" t="s">
        <v>69</v>
      </c>
      <c r="E159" t="s">
        <v>52</v>
      </c>
      <c r="F159">
        <v>15.75</v>
      </c>
      <c r="G159" s="1">
        <v>45739</v>
      </c>
      <c r="H159" s="1">
        <v>44625</v>
      </c>
      <c r="I159" t="s">
        <v>512</v>
      </c>
      <c r="J159" t="s">
        <v>19</v>
      </c>
      <c r="K159">
        <v>3</v>
      </c>
      <c r="L159" t="s">
        <v>27</v>
      </c>
      <c r="M159" s="1">
        <f t="shared" ca="1" si="4"/>
        <v>46204</v>
      </c>
      <c r="N159">
        <f t="shared" ca="1" si="5"/>
        <v>1</v>
      </c>
    </row>
    <row r="160" spans="1:14" x14ac:dyDescent="0.3">
      <c r="A160" t="s">
        <v>513</v>
      </c>
      <c r="B160" t="s">
        <v>514</v>
      </c>
      <c r="C160" t="s">
        <v>124</v>
      </c>
      <c r="D160" t="s">
        <v>56</v>
      </c>
      <c r="E160" t="s">
        <v>24</v>
      </c>
      <c r="F160">
        <v>11.08</v>
      </c>
      <c r="G160" s="1">
        <v>45721</v>
      </c>
      <c r="H160" s="1">
        <v>43246</v>
      </c>
      <c r="I160" t="s">
        <v>515</v>
      </c>
      <c r="J160" t="s">
        <v>26</v>
      </c>
      <c r="K160">
        <v>3</v>
      </c>
      <c r="L160" t="s">
        <v>20</v>
      </c>
      <c r="M160" s="1">
        <f t="shared" ca="1" si="4"/>
        <v>46204</v>
      </c>
      <c r="N160">
        <f t="shared" ca="1" si="5"/>
        <v>1</v>
      </c>
    </row>
    <row r="161" spans="1:14" x14ac:dyDescent="0.3">
      <c r="A161" t="s">
        <v>516</v>
      </c>
      <c r="B161" t="s">
        <v>517</v>
      </c>
      <c r="C161" t="s">
        <v>60</v>
      </c>
      <c r="D161" t="s">
        <v>73</v>
      </c>
      <c r="E161" t="s">
        <v>17</v>
      </c>
      <c r="F161">
        <v>23.66</v>
      </c>
      <c r="G161" s="1">
        <v>45851</v>
      </c>
      <c r="H161" s="1">
        <v>42736</v>
      </c>
      <c r="I161" t="s">
        <v>518</v>
      </c>
      <c r="J161" t="s">
        <v>49</v>
      </c>
      <c r="K161">
        <v>5</v>
      </c>
      <c r="L161" t="s">
        <v>20</v>
      </c>
      <c r="M161" s="1">
        <f t="shared" ca="1" si="4"/>
        <v>46204</v>
      </c>
      <c r="N161">
        <f t="shared" ca="1" si="5"/>
        <v>1</v>
      </c>
    </row>
    <row r="162" spans="1:14" x14ac:dyDescent="0.3">
      <c r="A162" t="s">
        <v>519</v>
      </c>
      <c r="B162" t="s">
        <v>520</v>
      </c>
      <c r="C162" t="s">
        <v>34</v>
      </c>
      <c r="D162" t="s">
        <v>69</v>
      </c>
      <c r="E162" t="s">
        <v>52</v>
      </c>
      <c r="F162">
        <v>8.4600000000000009</v>
      </c>
      <c r="G162" s="1">
        <v>46041</v>
      </c>
      <c r="H162" s="1">
        <v>43856</v>
      </c>
      <c r="I162" t="s">
        <v>521</v>
      </c>
      <c r="J162" t="s">
        <v>37</v>
      </c>
      <c r="K162">
        <v>1</v>
      </c>
      <c r="L162" t="s">
        <v>20</v>
      </c>
      <c r="M162" s="1">
        <f t="shared" ca="1" si="4"/>
        <v>46204</v>
      </c>
      <c r="N162">
        <f t="shared" ca="1" si="5"/>
        <v>1</v>
      </c>
    </row>
    <row r="163" spans="1:14" x14ac:dyDescent="0.3">
      <c r="A163" t="s">
        <v>522</v>
      </c>
      <c r="B163" t="s">
        <v>523</v>
      </c>
      <c r="C163" t="s">
        <v>15</v>
      </c>
      <c r="D163" t="s">
        <v>16</v>
      </c>
      <c r="E163" t="s">
        <v>17</v>
      </c>
      <c r="F163">
        <v>34.15</v>
      </c>
      <c r="G163" s="1">
        <v>46028</v>
      </c>
      <c r="H163" s="1">
        <v>42678</v>
      </c>
      <c r="I163" t="s">
        <v>524</v>
      </c>
      <c r="J163" t="s">
        <v>66</v>
      </c>
      <c r="K163">
        <v>2</v>
      </c>
      <c r="L163" t="s">
        <v>27</v>
      </c>
      <c r="M163" s="1">
        <f t="shared" ca="1" si="4"/>
        <v>46204</v>
      </c>
      <c r="N163">
        <f t="shared" ca="1" si="5"/>
        <v>1</v>
      </c>
    </row>
    <row r="164" spans="1:14" x14ac:dyDescent="0.3">
      <c r="A164" t="s">
        <v>525</v>
      </c>
      <c r="B164" t="s">
        <v>526</v>
      </c>
      <c r="C164" t="s">
        <v>15</v>
      </c>
      <c r="D164" t="s">
        <v>16</v>
      </c>
      <c r="E164" t="s">
        <v>52</v>
      </c>
      <c r="F164">
        <v>35.81</v>
      </c>
      <c r="G164" s="1">
        <v>45755</v>
      </c>
      <c r="H164" s="1">
        <v>45295</v>
      </c>
      <c r="I164" t="s">
        <v>527</v>
      </c>
      <c r="J164" t="s">
        <v>19</v>
      </c>
      <c r="K164">
        <v>3</v>
      </c>
      <c r="L164" t="s">
        <v>27</v>
      </c>
      <c r="M164" s="1">
        <f t="shared" ca="1" si="4"/>
        <v>46204</v>
      </c>
      <c r="N164">
        <f t="shared" ca="1" si="5"/>
        <v>1</v>
      </c>
    </row>
    <row r="165" spans="1:14" x14ac:dyDescent="0.3">
      <c r="A165" t="s">
        <v>528</v>
      </c>
      <c r="B165" t="s">
        <v>529</v>
      </c>
      <c r="C165" t="s">
        <v>15</v>
      </c>
      <c r="D165" t="s">
        <v>35</v>
      </c>
      <c r="E165" t="s">
        <v>17</v>
      </c>
      <c r="F165">
        <v>19.440000000000001</v>
      </c>
      <c r="G165" s="1">
        <v>45779</v>
      </c>
      <c r="H165" s="1">
        <v>43539</v>
      </c>
      <c r="I165" t="s">
        <v>530</v>
      </c>
      <c r="J165" t="s">
        <v>19</v>
      </c>
      <c r="K165">
        <v>1</v>
      </c>
      <c r="L165" t="s">
        <v>20</v>
      </c>
      <c r="M165" s="1">
        <f t="shared" ca="1" si="4"/>
        <v>46204</v>
      </c>
      <c r="N165">
        <f t="shared" ca="1" si="5"/>
        <v>1</v>
      </c>
    </row>
    <row r="166" spans="1:14" x14ac:dyDescent="0.3">
      <c r="A166" t="s">
        <v>531</v>
      </c>
      <c r="B166" t="s">
        <v>532</v>
      </c>
      <c r="C166" t="s">
        <v>64</v>
      </c>
      <c r="D166" t="s">
        <v>73</v>
      </c>
      <c r="E166" t="s">
        <v>30</v>
      </c>
      <c r="F166">
        <v>5.96</v>
      </c>
      <c r="G166" s="1">
        <v>45709</v>
      </c>
      <c r="H166" s="1">
        <v>44807</v>
      </c>
      <c r="I166" t="s">
        <v>533</v>
      </c>
      <c r="J166" t="s">
        <v>49</v>
      </c>
      <c r="K166">
        <v>5</v>
      </c>
      <c r="L166" t="s">
        <v>20</v>
      </c>
      <c r="M166" s="1">
        <f t="shared" ca="1" si="4"/>
        <v>46204</v>
      </c>
      <c r="N166">
        <f t="shared" ca="1" si="5"/>
        <v>1</v>
      </c>
    </row>
    <row r="167" spans="1:14" x14ac:dyDescent="0.3">
      <c r="A167" t="s">
        <v>534</v>
      </c>
      <c r="B167" t="s">
        <v>535</v>
      </c>
      <c r="C167" t="s">
        <v>60</v>
      </c>
      <c r="D167" t="s">
        <v>35</v>
      </c>
      <c r="E167" t="s">
        <v>17</v>
      </c>
      <c r="F167">
        <v>22.26</v>
      </c>
      <c r="G167" s="1">
        <v>46061</v>
      </c>
      <c r="H167" s="1">
        <v>43577</v>
      </c>
      <c r="I167" t="s">
        <v>536</v>
      </c>
      <c r="J167" t="s">
        <v>49</v>
      </c>
      <c r="K167">
        <v>3</v>
      </c>
      <c r="L167" t="s">
        <v>20</v>
      </c>
      <c r="M167" s="1">
        <f t="shared" ca="1" si="4"/>
        <v>46204</v>
      </c>
      <c r="N167">
        <f t="shared" ca="1" si="5"/>
        <v>1</v>
      </c>
    </row>
    <row r="168" spans="1:14" x14ac:dyDescent="0.3">
      <c r="A168" t="s">
        <v>537</v>
      </c>
      <c r="B168" t="s">
        <v>538</v>
      </c>
      <c r="C168" t="s">
        <v>47</v>
      </c>
      <c r="D168" t="s">
        <v>40</v>
      </c>
      <c r="E168" t="s">
        <v>24</v>
      </c>
      <c r="F168">
        <v>19.350000000000001</v>
      </c>
      <c r="G168" s="1">
        <v>45750</v>
      </c>
      <c r="H168" s="1">
        <v>43716</v>
      </c>
      <c r="I168" t="s">
        <v>539</v>
      </c>
      <c r="J168" t="s">
        <v>19</v>
      </c>
      <c r="K168">
        <v>5</v>
      </c>
      <c r="L168" t="s">
        <v>20</v>
      </c>
      <c r="M168" s="1">
        <f t="shared" ca="1" si="4"/>
        <v>46204</v>
      </c>
      <c r="N168">
        <f t="shared" ca="1" si="5"/>
        <v>1</v>
      </c>
    </row>
    <row r="169" spans="1:14" x14ac:dyDescent="0.3">
      <c r="A169" t="s">
        <v>540</v>
      </c>
      <c r="B169" t="s">
        <v>541</v>
      </c>
      <c r="C169" t="s">
        <v>15</v>
      </c>
      <c r="D169" t="s">
        <v>40</v>
      </c>
      <c r="E169" t="s">
        <v>17</v>
      </c>
      <c r="F169">
        <v>35.33</v>
      </c>
      <c r="G169" s="1">
        <v>45864</v>
      </c>
      <c r="H169" s="1">
        <v>45222</v>
      </c>
      <c r="I169" t="s">
        <v>542</v>
      </c>
      <c r="J169" t="s">
        <v>75</v>
      </c>
      <c r="K169">
        <v>1</v>
      </c>
      <c r="L169" t="s">
        <v>20</v>
      </c>
      <c r="M169" s="1">
        <f t="shared" ca="1" si="4"/>
        <v>46204</v>
      </c>
      <c r="N169">
        <f t="shared" ca="1" si="5"/>
        <v>1</v>
      </c>
    </row>
    <row r="170" spans="1:14" x14ac:dyDescent="0.3">
      <c r="A170" t="s">
        <v>543</v>
      </c>
      <c r="B170" t="s">
        <v>544</v>
      </c>
      <c r="C170" t="s">
        <v>60</v>
      </c>
      <c r="D170" t="s">
        <v>69</v>
      </c>
      <c r="E170" t="s">
        <v>52</v>
      </c>
      <c r="F170">
        <v>27.17</v>
      </c>
      <c r="G170" s="1">
        <v>45916</v>
      </c>
      <c r="H170" s="1">
        <v>45191</v>
      </c>
      <c r="I170" t="s">
        <v>545</v>
      </c>
      <c r="J170" t="s">
        <v>49</v>
      </c>
      <c r="K170">
        <v>4</v>
      </c>
      <c r="L170" t="s">
        <v>27</v>
      </c>
      <c r="M170" s="1">
        <f t="shared" ca="1" si="4"/>
        <v>46204</v>
      </c>
      <c r="N170">
        <f t="shared" ca="1" si="5"/>
        <v>1</v>
      </c>
    </row>
    <row r="171" spans="1:14" x14ac:dyDescent="0.3">
      <c r="A171" t="s">
        <v>546</v>
      </c>
      <c r="B171" t="s">
        <v>547</v>
      </c>
      <c r="C171" t="s">
        <v>34</v>
      </c>
      <c r="D171" t="s">
        <v>73</v>
      </c>
      <c r="E171" t="s">
        <v>52</v>
      </c>
      <c r="F171">
        <v>28.23</v>
      </c>
      <c r="G171" s="1">
        <v>45764</v>
      </c>
      <c r="H171" s="1">
        <v>45463</v>
      </c>
      <c r="I171" t="s">
        <v>548</v>
      </c>
      <c r="J171" t="s">
        <v>66</v>
      </c>
      <c r="K171">
        <v>4</v>
      </c>
      <c r="L171" t="s">
        <v>20</v>
      </c>
      <c r="M171" s="1">
        <f t="shared" ca="1" si="4"/>
        <v>46204</v>
      </c>
      <c r="N171">
        <f t="shared" ca="1" si="5"/>
        <v>1</v>
      </c>
    </row>
    <row r="172" spans="1:14" x14ac:dyDescent="0.3">
      <c r="A172" t="s">
        <v>549</v>
      </c>
      <c r="B172" t="s">
        <v>550</v>
      </c>
      <c r="C172" t="s">
        <v>34</v>
      </c>
      <c r="D172" t="s">
        <v>56</v>
      </c>
      <c r="E172" t="s">
        <v>52</v>
      </c>
      <c r="F172">
        <v>16.54</v>
      </c>
      <c r="G172" s="1">
        <v>45715</v>
      </c>
      <c r="H172" s="1">
        <v>45212</v>
      </c>
      <c r="I172" t="s">
        <v>551</v>
      </c>
      <c r="J172" t="s">
        <v>26</v>
      </c>
      <c r="K172">
        <v>3</v>
      </c>
      <c r="L172" t="s">
        <v>27</v>
      </c>
      <c r="M172" s="1">
        <f t="shared" ca="1" si="4"/>
        <v>46204</v>
      </c>
      <c r="N172">
        <f t="shared" ca="1" si="5"/>
        <v>1</v>
      </c>
    </row>
    <row r="173" spans="1:14" x14ac:dyDescent="0.3">
      <c r="A173" t="s">
        <v>552</v>
      </c>
      <c r="B173" t="s">
        <v>553</v>
      </c>
      <c r="C173" t="s">
        <v>64</v>
      </c>
      <c r="D173" t="s">
        <v>16</v>
      </c>
      <c r="E173" t="s">
        <v>17</v>
      </c>
      <c r="F173">
        <v>9.31</v>
      </c>
      <c r="G173" s="1">
        <v>46031</v>
      </c>
      <c r="H173" s="1">
        <v>44948</v>
      </c>
      <c r="I173" t="s">
        <v>554</v>
      </c>
      <c r="J173" t="s">
        <v>66</v>
      </c>
      <c r="K173">
        <v>3</v>
      </c>
      <c r="L173" t="s">
        <v>27</v>
      </c>
      <c r="M173" s="1">
        <f t="shared" ca="1" si="4"/>
        <v>46204</v>
      </c>
      <c r="N173">
        <f t="shared" ca="1" si="5"/>
        <v>1</v>
      </c>
    </row>
    <row r="174" spans="1:14" x14ac:dyDescent="0.3">
      <c r="A174" t="s">
        <v>555</v>
      </c>
      <c r="B174" t="s">
        <v>556</v>
      </c>
      <c r="C174" t="s">
        <v>34</v>
      </c>
      <c r="D174" t="s">
        <v>35</v>
      </c>
      <c r="E174" t="s">
        <v>24</v>
      </c>
      <c r="F174">
        <v>6.51</v>
      </c>
      <c r="G174" s="1">
        <v>45727</v>
      </c>
      <c r="H174" s="1">
        <v>43350</v>
      </c>
      <c r="I174" t="s">
        <v>557</v>
      </c>
      <c r="J174" t="s">
        <v>19</v>
      </c>
      <c r="K174">
        <v>4</v>
      </c>
      <c r="L174" t="s">
        <v>27</v>
      </c>
      <c r="M174" s="1">
        <f t="shared" ca="1" si="4"/>
        <v>46204</v>
      </c>
      <c r="N174">
        <f t="shared" ca="1" si="5"/>
        <v>1</v>
      </c>
    </row>
    <row r="175" spans="1:14" x14ac:dyDescent="0.3">
      <c r="A175" t="s">
        <v>558</v>
      </c>
      <c r="B175" t="s">
        <v>559</v>
      </c>
      <c r="C175" t="s">
        <v>15</v>
      </c>
      <c r="D175" t="s">
        <v>56</v>
      </c>
      <c r="E175" t="s">
        <v>30</v>
      </c>
      <c r="F175">
        <v>1.19</v>
      </c>
      <c r="G175" s="1">
        <v>45761</v>
      </c>
      <c r="H175" s="1">
        <v>42243</v>
      </c>
      <c r="I175" t="s">
        <v>560</v>
      </c>
      <c r="J175" t="s">
        <v>66</v>
      </c>
      <c r="K175">
        <v>1</v>
      </c>
      <c r="L175" t="s">
        <v>20</v>
      </c>
      <c r="M175" s="1">
        <f t="shared" ca="1" si="4"/>
        <v>46204</v>
      </c>
      <c r="N175">
        <f t="shared" ca="1" si="5"/>
        <v>1</v>
      </c>
    </row>
    <row r="176" spans="1:14" x14ac:dyDescent="0.3">
      <c r="A176" t="s">
        <v>561</v>
      </c>
      <c r="B176" t="s">
        <v>562</v>
      </c>
      <c r="C176" t="s">
        <v>15</v>
      </c>
      <c r="D176" t="s">
        <v>16</v>
      </c>
      <c r="E176" t="s">
        <v>52</v>
      </c>
      <c r="F176">
        <v>19.78</v>
      </c>
      <c r="G176" s="1">
        <v>45971</v>
      </c>
      <c r="H176" s="1">
        <v>43843</v>
      </c>
      <c r="I176" t="s">
        <v>563</v>
      </c>
      <c r="J176" t="s">
        <v>66</v>
      </c>
      <c r="K176">
        <v>2</v>
      </c>
      <c r="L176" t="s">
        <v>20</v>
      </c>
      <c r="M176" s="1">
        <f t="shared" ca="1" si="4"/>
        <v>46204</v>
      </c>
      <c r="N176">
        <f t="shared" ca="1" si="5"/>
        <v>1</v>
      </c>
    </row>
    <row r="177" spans="1:14" x14ac:dyDescent="0.3">
      <c r="A177" t="s">
        <v>564</v>
      </c>
      <c r="B177" t="s">
        <v>565</v>
      </c>
      <c r="C177" t="s">
        <v>60</v>
      </c>
      <c r="D177" t="s">
        <v>73</v>
      </c>
      <c r="E177" t="s">
        <v>52</v>
      </c>
      <c r="F177">
        <v>11.39</v>
      </c>
      <c r="G177" s="1">
        <v>45757</v>
      </c>
      <c r="H177" s="1">
        <v>42606</v>
      </c>
      <c r="I177" t="s">
        <v>566</v>
      </c>
      <c r="J177" t="s">
        <v>94</v>
      </c>
      <c r="K177">
        <v>3</v>
      </c>
      <c r="L177" t="s">
        <v>27</v>
      </c>
      <c r="M177" s="1">
        <f t="shared" ca="1" si="4"/>
        <v>46204</v>
      </c>
      <c r="N177">
        <f t="shared" ca="1" si="5"/>
        <v>1</v>
      </c>
    </row>
    <row r="178" spans="1:14" x14ac:dyDescent="0.3">
      <c r="A178" t="s">
        <v>567</v>
      </c>
      <c r="B178" t="s">
        <v>568</v>
      </c>
      <c r="C178" t="s">
        <v>60</v>
      </c>
      <c r="D178" t="s">
        <v>40</v>
      </c>
      <c r="E178" t="s">
        <v>30</v>
      </c>
      <c r="F178">
        <v>4.47</v>
      </c>
      <c r="G178" s="1">
        <v>46033</v>
      </c>
      <c r="H178" s="1">
        <v>44271</v>
      </c>
      <c r="I178" t="s">
        <v>569</v>
      </c>
      <c r="J178" t="s">
        <v>19</v>
      </c>
      <c r="K178">
        <v>5</v>
      </c>
      <c r="L178" t="s">
        <v>27</v>
      </c>
      <c r="M178" s="1">
        <f t="shared" ca="1" si="4"/>
        <v>46204</v>
      </c>
      <c r="N178">
        <f t="shared" ca="1" si="5"/>
        <v>1</v>
      </c>
    </row>
    <row r="179" spans="1:14" x14ac:dyDescent="0.3">
      <c r="A179" t="s">
        <v>570</v>
      </c>
      <c r="B179" t="s">
        <v>571</v>
      </c>
      <c r="C179" t="s">
        <v>34</v>
      </c>
      <c r="D179" t="s">
        <v>16</v>
      </c>
      <c r="E179" t="s">
        <v>24</v>
      </c>
      <c r="F179">
        <v>2.54</v>
      </c>
      <c r="G179" s="1">
        <v>45706</v>
      </c>
      <c r="H179" s="1">
        <v>45468</v>
      </c>
      <c r="I179" t="s">
        <v>572</v>
      </c>
      <c r="J179" t="s">
        <v>75</v>
      </c>
      <c r="K179">
        <v>4</v>
      </c>
      <c r="L179" t="s">
        <v>20</v>
      </c>
      <c r="M179" s="1">
        <f t="shared" ca="1" si="4"/>
        <v>46204</v>
      </c>
      <c r="N179">
        <f t="shared" ca="1" si="5"/>
        <v>1</v>
      </c>
    </row>
    <row r="180" spans="1:14" x14ac:dyDescent="0.3">
      <c r="A180" t="s">
        <v>573</v>
      </c>
      <c r="B180" t="s">
        <v>574</v>
      </c>
      <c r="C180" t="s">
        <v>124</v>
      </c>
      <c r="D180" t="s">
        <v>73</v>
      </c>
      <c r="E180" t="s">
        <v>52</v>
      </c>
      <c r="F180">
        <v>15.54</v>
      </c>
      <c r="G180" s="1">
        <v>45722</v>
      </c>
      <c r="H180" s="1">
        <v>42665</v>
      </c>
      <c r="I180" t="s">
        <v>575</v>
      </c>
      <c r="J180" t="s">
        <v>19</v>
      </c>
      <c r="K180">
        <v>5</v>
      </c>
      <c r="L180" t="s">
        <v>20</v>
      </c>
      <c r="M180" s="1">
        <f t="shared" ca="1" si="4"/>
        <v>46204</v>
      </c>
      <c r="N180">
        <f t="shared" ca="1" si="5"/>
        <v>1</v>
      </c>
    </row>
    <row r="181" spans="1:14" x14ac:dyDescent="0.3">
      <c r="A181" t="s">
        <v>576</v>
      </c>
      <c r="B181" t="s">
        <v>577</v>
      </c>
      <c r="C181" t="s">
        <v>34</v>
      </c>
      <c r="D181" t="s">
        <v>35</v>
      </c>
      <c r="E181" t="s">
        <v>52</v>
      </c>
      <c r="F181">
        <v>39.119999999999997</v>
      </c>
      <c r="G181" s="1">
        <v>45730</v>
      </c>
      <c r="H181" s="1">
        <v>45134</v>
      </c>
      <c r="I181" t="s">
        <v>578</v>
      </c>
      <c r="J181" t="s">
        <v>49</v>
      </c>
      <c r="K181">
        <v>5</v>
      </c>
      <c r="L181" t="s">
        <v>20</v>
      </c>
      <c r="M181" s="1">
        <f t="shared" ca="1" si="4"/>
        <v>46204</v>
      </c>
      <c r="N181">
        <f t="shared" ca="1" si="5"/>
        <v>1</v>
      </c>
    </row>
    <row r="182" spans="1:14" x14ac:dyDescent="0.3">
      <c r="A182" t="s">
        <v>579</v>
      </c>
      <c r="B182" t="s">
        <v>580</v>
      </c>
      <c r="C182" t="s">
        <v>34</v>
      </c>
      <c r="D182" t="s">
        <v>73</v>
      </c>
      <c r="E182" t="s">
        <v>52</v>
      </c>
      <c r="F182">
        <v>36.869999999999997</v>
      </c>
      <c r="G182" s="1">
        <v>45895</v>
      </c>
      <c r="H182" s="1">
        <v>42644</v>
      </c>
      <c r="I182" t="s">
        <v>581</v>
      </c>
      <c r="J182" t="s">
        <v>26</v>
      </c>
      <c r="K182">
        <v>3</v>
      </c>
      <c r="L182" t="s">
        <v>27</v>
      </c>
      <c r="M182" s="1">
        <f t="shared" ca="1" si="4"/>
        <v>46204</v>
      </c>
      <c r="N182">
        <f t="shared" ca="1" si="5"/>
        <v>1</v>
      </c>
    </row>
    <row r="183" spans="1:14" x14ac:dyDescent="0.3">
      <c r="A183" t="s">
        <v>582</v>
      </c>
      <c r="B183" t="s">
        <v>583</v>
      </c>
      <c r="C183" t="s">
        <v>15</v>
      </c>
      <c r="D183" t="s">
        <v>40</v>
      </c>
      <c r="E183" t="s">
        <v>30</v>
      </c>
      <c r="F183">
        <v>33.76</v>
      </c>
      <c r="G183" s="1">
        <v>45789</v>
      </c>
      <c r="H183" s="1">
        <v>42725</v>
      </c>
      <c r="I183" t="s">
        <v>584</v>
      </c>
      <c r="J183" t="s">
        <v>49</v>
      </c>
      <c r="K183">
        <v>5</v>
      </c>
      <c r="L183" t="s">
        <v>27</v>
      </c>
      <c r="M183" s="1">
        <f t="shared" ca="1" si="4"/>
        <v>46204</v>
      </c>
      <c r="N183">
        <f t="shared" ca="1" si="5"/>
        <v>1</v>
      </c>
    </row>
    <row r="184" spans="1:14" x14ac:dyDescent="0.3">
      <c r="A184" t="s">
        <v>585</v>
      </c>
      <c r="B184" t="s">
        <v>586</v>
      </c>
      <c r="C184" t="s">
        <v>124</v>
      </c>
      <c r="D184" t="s">
        <v>56</v>
      </c>
      <c r="E184" t="s">
        <v>52</v>
      </c>
      <c r="F184">
        <v>10.52</v>
      </c>
      <c r="G184" s="1">
        <v>45780</v>
      </c>
      <c r="H184" s="1">
        <v>42441</v>
      </c>
      <c r="I184" t="s">
        <v>587</v>
      </c>
      <c r="J184" t="s">
        <v>19</v>
      </c>
      <c r="K184">
        <v>1</v>
      </c>
      <c r="L184" t="s">
        <v>27</v>
      </c>
      <c r="M184" s="1">
        <f t="shared" ca="1" si="4"/>
        <v>46204</v>
      </c>
      <c r="N184">
        <f t="shared" ca="1" si="5"/>
        <v>1</v>
      </c>
    </row>
    <row r="185" spans="1:14" x14ac:dyDescent="0.3">
      <c r="A185" t="s">
        <v>588</v>
      </c>
      <c r="B185" t="s">
        <v>589</v>
      </c>
      <c r="C185" t="s">
        <v>124</v>
      </c>
      <c r="D185" t="s">
        <v>16</v>
      </c>
      <c r="E185" t="s">
        <v>24</v>
      </c>
      <c r="F185">
        <v>18.510000000000002</v>
      </c>
      <c r="G185" s="1">
        <v>45926</v>
      </c>
      <c r="H185" s="1">
        <v>42344</v>
      </c>
      <c r="I185" t="s">
        <v>590</v>
      </c>
      <c r="J185" t="s">
        <v>26</v>
      </c>
      <c r="K185">
        <v>2</v>
      </c>
      <c r="L185" t="s">
        <v>27</v>
      </c>
      <c r="M185" s="1">
        <f t="shared" ca="1" si="4"/>
        <v>46204</v>
      </c>
      <c r="N185">
        <f t="shared" ca="1" si="5"/>
        <v>1</v>
      </c>
    </row>
    <row r="186" spans="1:14" x14ac:dyDescent="0.3">
      <c r="A186" t="s">
        <v>591</v>
      </c>
      <c r="B186" t="s">
        <v>592</v>
      </c>
      <c r="C186" t="s">
        <v>64</v>
      </c>
      <c r="D186" t="s">
        <v>16</v>
      </c>
      <c r="E186" t="s">
        <v>24</v>
      </c>
      <c r="F186">
        <v>22.28</v>
      </c>
      <c r="G186" s="1">
        <v>46052</v>
      </c>
      <c r="H186" s="1">
        <v>42422</v>
      </c>
      <c r="I186" t="s">
        <v>593</v>
      </c>
      <c r="J186" t="s">
        <v>49</v>
      </c>
      <c r="K186">
        <v>2</v>
      </c>
      <c r="L186" t="s">
        <v>20</v>
      </c>
      <c r="M186" s="1">
        <f t="shared" ca="1" si="4"/>
        <v>46204</v>
      </c>
      <c r="N186">
        <f t="shared" ca="1" si="5"/>
        <v>1</v>
      </c>
    </row>
    <row r="187" spans="1:14" x14ac:dyDescent="0.3">
      <c r="A187" t="s">
        <v>594</v>
      </c>
      <c r="B187" t="s">
        <v>595</v>
      </c>
      <c r="C187" t="s">
        <v>64</v>
      </c>
      <c r="D187" t="s">
        <v>69</v>
      </c>
      <c r="E187" t="s">
        <v>52</v>
      </c>
      <c r="F187">
        <v>2.4300000000000002</v>
      </c>
      <c r="G187" s="1">
        <v>45854</v>
      </c>
      <c r="H187" s="1">
        <v>43220</v>
      </c>
      <c r="I187" t="s">
        <v>596</v>
      </c>
      <c r="J187" t="s">
        <v>26</v>
      </c>
      <c r="K187">
        <v>2</v>
      </c>
      <c r="L187" t="s">
        <v>27</v>
      </c>
      <c r="M187" s="1">
        <f t="shared" ca="1" si="4"/>
        <v>46204</v>
      </c>
      <c r="N187">
        <f t="shared" ca="1" si="5"/>
        <v>1</v>
      </c>
    </row>
    <row r="188" spans="1:14" x14ac:dyDescent="0.3">
      <c r="A188" t="s">
        <v>597</v>
      </c>
      <c r="B188" t="s">
        <v>598</v>
      </c>
      <c r="C188" t="s">
        <v>64</v>
      </c>
      <c r="D188" t="s">
        <v>16</v>
      </c>
      <c r="E188" t="s">
        <v>52</v>
      </c>
      <c r="F188">
        <v>35.53</v>
      </c>
      <c r="G188" s="1">
        <v>45892</v>
      </c>
      <c r="H188" s="1">
        <v>44035</v>
      </c>
      <c r="I188" t="s">
        <v>599</v>
      </c>
      <c r="J188" t="s">
        <v>37</v>
      </c>
      <c r="K188">
        <v>4</v>
      </c>
      <c r="L188" t="s">
        <v>20</v>
      </c>
      <c r="M188" s="1">
        <f t="shared" ca="1" si="4"/>
        <v>46204</v>
      </c>
      <c r="N188">
        <f t="shared" ca="1" si="5"/>
        <v>1</v>
      </c>
    </row>
    <row r="189" spans="1:14" x14ac:dyDescent="0.3">
      <c r="A189" t="s">
        <v>600</v>
      </c>
      <c r="B189" t="s">
        <v>601</v>
      </c>
      <c r="C189" t="s">
        <v>60</v>
      </c>
      <c r="D189" t="s">
        <v>69</v>
      </c>
      <c r="E189" t="s">
        <v>17</v>
      </c>
      <c r="F189">
        <v>36.57</v>
      </c>
      <c r="G189" s="1">
        <v>46031</v>
      </c>
      <c r="H189" s="1">
        <v>43791</v>
      </c>
      <c r="I189" t="s">
        <v>602</v>
      </c>
      <c r="J189" t="s">
        <v>49</v>
      </c>
      <c r="K189">
        <v>5</v>
      </c>
      <c r="L189" t="s">
        <v>20</v>
      </c>
      <c r="M189" s="1">
        <f t="shared" ca="1" si="4"/>
        <v>46204</v>
      </c>
      <c r="N189">
        <f t="shared" ca="1" si="5"/>
        <v>1</v>
      </c>
    </row>
    <row r="190" spans="1:14" x14ac:dyDescent="0.3">
      <c r="A190" t="s">
        <v>603</v>
      </c>
      <c r="B190" t="s">
        <v>604</v>
      </c>
      <c r="C190" t="s">
        <v>60</v>
      </c>
      <c r="D190" t="s">
        <v>56</v>
      </c>
      <c r="E190" t="s">
        <v>24</v>
      </c>
      <c r="F190">
        <v>27.64</v>
      </c>
      <c r="G190" s="1">
        <v>46027</v>
      </c>
      <c r="H190" s="1">
        <v>43490</v>
      </c>
      <c r="I190" t="s">
        <v>605</v>
      </c>
      <c r="J190" t="s">
        <v>26</v>
      </c>
      <c r="K190">
        <v>3</v>
      </c>
      <c r="L190" t="s">
        <v>27</v>
      </c>
      <c r="M190" s="1">
        <f t="shared" ca="1" si="4"/>
        <v>46204</v>
      </c>
      <c r="N190">
        <f t="shared" ca="1" si="5"/>
        <v>1</v>
      </c>
    </row>
    <row r="191" spans="1:14" x14ac:dyDescent="0.3">
      <c r="A191" t="s">
        <v>606</v>
      </c>
      <c r="B191" t="s">
        <v>607</v>
      </c>
      <c r="C191" t="s">
        <v>47</v>
      </c>
      <c r="D191" t="s">
        <v>40</v>
      </c>
      <c r="E191" t="s">
        <v>24</v>
      </c>
      <c r="F191">
        <v>21.88</v>
      </c>
      <c r="G191" s="1">
        <v>46052</v>
      </c>
      <c r="H191" s="1">
        <v>42883</v>
      </c>
      <c r="I191" t="s">
        <v>608</v>
      </c>
      <c r="J191" t="s">
        <v>75</v>
      </c>
      <c r="K191">
        <v>5</v>
      </c>
      <c r="L191" t="s">
        <v>20</v>
      </c>
      <c r="M191" s="1">
        <f t="shared" ca="1" si="4"/>
        <v>46204</v>
      </c>
      <c r="N191">
        <f t="shared" ca="1" si="5"/>
        <v>1</v>
      </c>
    </row>
    <row r="192" spans="1:14" x14ac:dyDescent="0.3">
      <c r="A192" t="s">
        <v>609</v>
      </c>
      <c r="B192" t="s">
        <v>610</v>
      </c>
      <c r="C192" t="s">
        <v>124</v>
      </c>
      <c r="D192" t="s">
        <v>73</v>
      </c>
      <c r="E192" t="s">
        <v>30</v>
      </c>
      <c r="F192">
        <v>34.5</v>
      </c>
      <c r="G192" s="1">
        <v>45930</v>
      </c>
      <c r="H192" s="1">
        <v>42737</v>
      </c>
      <c r="I192" t="s">
        <v>611</v>
      </c>
      <c r="J192" t="s">
        <v>75</v>
      </c>
      <c r="K192">
        <v>3</v>
      </c>
      <c r="L192" t="s">
        <v>27</v>
      </c>
      <c r="M192" s="1">
        <f t="shared" ca="1" si="4"/>
        <v>46204</v>
      </c>
      <c r="N192">
        <f t="shared" ca="1" si="5"/>
        <v>1</v>
      </c>
    </row>
    <row r="193" spans="1:14" x14ac:dyDescent="0.3">
      <c r="A193" t="s">
        <v>612</v>
      </c>
      <c r="B193" t="s">
        <v>613</v>
      </c>
      <c r="C193" t="s">
        <v>15</v>
      </c>
      <c r="D193" t="s">
        <v>40</v>
      </c>
      <c r="E193" t="s">
        <v>24</v>
      </c>
      <c r="F193">
        <v>25.48</v>
      </c>
      <c r="G193" s="1">
        <v>45934</v>
      </c>
      <c r="H193" s="1">
        <v>42765</v>
      </c>
      <c r="I193" t="s">
        <v>614</v>
      </c>
      <c r="J193" t="s">
        <v>66</v>
      </c>
      <c r="K193">
        <v>2</v>
      </c>
      <c r="L193" t="s">
        <v>27</v>
      </c>
      <c r="M193" s="1">
        <f t="shared" ca="1" si="4"/>
        <v>46204</v>
      </c>
      <c r="N193">
        <f t="shared" ca="1" si="5"/>
        <v>1</v>
      </c>
    </row>
    <row r="194" spans="1:14" x14ac:dyDescent="0.3">
      <c r="A194" t="s">
        <v>615</v>
      </c>
      <c r="B194" t="s">
        <v>616</v>
      </c>
      <c r="C194" t="s">
        <v>60</v>
      </c>
      <c r="D194" t="s">
        <v>40</v>
      </c>
      <c r="E194" t="s">
        <v>30</v>
      </c>
      <c r="F194">
        <v>1.17</v>
      </c>
      <c r="G194" s="1">
        <v>45814</v>
      </c>
      <c r="H194" s="1">
        <v>43811</v>
      </c>
      <c r="I194" t="s">
        <v>617</v>
      </c>
      <c r="J194" t="s">
        <v>75</v>
      </c>
      <c r="K194">
        <v>4</v>
      </c>
      <c r="L194" t="s">
        <v>27</v>
      </c>
      <c r="M194" s="1">
        <f t="shared" ca="1" si="4"/>
        <v>46204</v>
      </c>
      <c r="N194">
        <f t="shared" ca="1" si="5"/>
        <v>1</v>
      </c>
    </row>
    <row r="195" spans="1:14" x14ac:dyDescent="0.3">
      <c r="A195" t="s">
        <v>618</v>
      </c>
      <c r="B195" t="s">
        <v>619</v>
      </c>
      <c r="C195" t="s">
        <v>64</v>
      </c>
      <c r="D195" t="s">
        <v>40</v>
      </c>
      <c r="E195" t="s">
        <v>17</v>
      </c>
      <c r="F195">
        <v>37.340000000000003</v>
      </c>
      <c r="G195" s="1">
        <v>46008</v>
      </c>
      <c r="H195" s="1">
        <v>44455</v>
      </c>
      <c r="I195" t="s">
        <v>620</v>
      </c>
      <c r="J195" t="s">
        <v>19</v>
      </c>
      <c r="K195">
        <v>4</v>
      </c>
      <c r="L195" t="s">
        <v>27</v>
      </c>
      <c r="M195" s="1">
        <f t="shared" ref="M195:M258" ca="1" si="6">TODAY()</f>
        <v>46204</v>
      </c>
      <c r="N195">
        <f t="shared" ref="N195:N258" ca="1" si="7">IF(G195&lt;M195,1,0)</f>
        <v>1</v>
      </c>
    </row>
    <row r="196" spans="1:14" x14ac:dyDescent="0.3">
      <c r="A196" t="s">
        <v>621</v>
      </c>
      <c r="B196" t="s">
        <v>622</v>
      </c>
      <c r="C196" t="s">
        <v>15</v>
      </c>
      <c r="D196" t="s">
        <v>56</v>
      </c>
      <c r="E196" t="s">
        <v>17</v>
      </c>
      <c r="F196">
        <v>6.67</v>
      </c>
      <c r="G196" s="1">
        <v>45917</v>
      </c>
      <c r="H196" s="1">
        <v>42773</v>
      </c>
      <c r="I196" t="s">
        <v>623</v>
      </c>
      <c r="J196" t="s">
        <v>94</v>
      </c>
      <c r="K196">
        <v>3</v>
      </c>
      <c r="L196" t="s">
        <v>20</v>
      </c>
      <c r="M196" s="1">
        <f t="shared" ca="1" si="6"/>
        <v>46204</v>
      </c>
      <c r="N196">
        <f t="shared" ca="1" si="7"/>
        <v>1</v>
      </c>
    </row>
    <row r="197" spans="1:14" x14ac:dyDescent="0.3">
      <c r="A197" t="s">
        <v>624</v>
      </c>
      <c r="B197" t="s">
        <v>625</v>
      </c>
      <c r="C197" t="s">
        <v>34</v>
      </c>
      <c r="D197" t="s">
        <v>40</v>
      </c>
      <c r="E197" t="s">
        <v>24</v>
      </c>
      <c r="F197">
        <v>1.25</v>
      </c>
      <c r="G197" s="1">
        <v>45993</v>
      </c>
      <c r="H197" s="1">
        <v>44485</v>
      </c>
      <c r="I197" t="s">
        <v>626</v>
      </c>
      <c r="J197" t="s">
        <v>37</v>
      </c>
      <c r="K197">
        <v>1</v>
      </c>
      <c r="L197" t="s">
        <v>20</v>
      </c>
      <c r="M197" s="1">
        <f t="shared" ca="1" si="6"/>
        <v>46204</v>
      </c>
      <c r="N197">
        <f t="shared" ca="1" si="7"/>
        <v>1</v>
      </c>
    </row>
    <row r="198" spans="1:14" x14ac:dyDescent="0.3">
      <c r="A198" t="s">
        <v>627</v>
      </c>
      <c r="B198" t="s">
        <v>628</v>
      </c>
      <c r="C198" t="s">
        <v>64</v>
      </c>
      <c r="D198" t="s">
        <v>56</v>
      </c>
      <c r="E198" t="s">
        <v>24</v>
      </c>
      <c r="F198">
        <v>3.37</v>
      </c>
      <c r="G198" s="1">
        <v>45859</v>
      </c>
      <c r="H198" s="1">
        <v>42274</v>
      </c>
      <c r="I198" t="s">
        <v>629</v>
      </c>
      <c r="J198" t="s">
        <v>66</v>
      </c>
      <c r="K198">
        <v>5</v>
      </c>
      <c r="L198" t="s">
        <v>27</v>
      </c>
      <c r="M198" s="1">
        <f t="shared" ca="1" si="6"/>
        <v>46204</v>
      </c>
      <c r="N198">
        <f t="shared" ca="1" si="7"/>
        <v>1</v>
      </c>
    </row>
    <row r="199" spans="1:14" x14ac:dyDescent="0.3">
      <c r="A199" t="s">
        <v>630</v>
      </c>
      <c r="B199" t="s">
        <v>631</v>
      </c>
      <c r="C199" t="s">
        <v>60</v>
      </c>
      <c r="D199" t="s">
        <v>56</v>
      </c>
      <c r="E199" t="s">
        <v>17</v>
      </c>
      <c r="F199">
        <v>23.09</v>
      </c>
      <c r="G199" s="1">
        <v>45779</v>
      </c>
      <c r="H199" s="1">
        <v>42736</v>
      </c>
      <c r="I199" t="s">
        <v>632</v>
      </c>
      <c r="J199" t="s">
        <v>19</v>
      </c>
      <c r="K199">
        <v>4</v>
      </c>
      <c r="L199" t="s">
        <v>27</v>
      </c>
      <c r="M199" s="1">
        <f t="shared" ca="1" si="6"/>
        <v>46204</v>
      </c>
      <c r="N199">
        <f t="shared" ca="1" si="7"/>
        <v>1</v>
      </c>
    </row>
    <row r="200" spans="1:14" x14ac:dyDescent="0.3">
      <c r="A200" t="s">
        <v>633</v>
      </c>
      <c r="B200" t="s">
        <v>634</v>
      </c>
      <c r="C200" t="s">
        <v>47</v>
      </c>
      <c r="D200" t="s">
        <v>73</v>
      </c>
      <c r="E200" t="s">
        <v>17</v>
      </c>
      <c r="F200">
        <v>22.5</v>
      </c>
      <c r="G200" s="1">
        <v>45920</v>
      </c>
      <c r="H200" s="1">
        <v>43089</v>
      </c>
      <c r="I200" t="s">
        <v>635</v>
      </c>
      <c r="J200" t="s">
        <v>19</v>
      </c>
      <c r="K200">
        <v>3</v>
      </c>
      <c r="L200" t="s">
        <v>27</v>
      </c>
      <c r="M200" s="1">
        <f t="shared" ca="1" si="6"/>
        <v>46204</v>
      </c>
      <c r="N200">
        <f t="shared" ca="1" si="7"/>
        <v>1</v>
      </c>
    </row>
    <row r="201" spans="1:14" x14ac:dyDescent="0.3">
      <c r="A201" t="s">
        <v>636</v>
      </c>
      <c r="B201" t="s">
        <v>637</v>
      </c>
      <c r="C201" t="s">
        <v>34</v>
      </c>
      <c r="D201" t="s">
        <v>73</v>
      </c>
      <c r="E201" t="s">
        <v>30</v>
      </c>
      <c r="F201">
        <v>19.55</v>
      </c>
      <c r="G201" s="1">
        <v>45813</v>
      </c>
      <c r="H201" s="1">
        <v>43621</v>
      </c>
      <c r="I201" t="s">
        <v>638</v>
      </c>
      <c r="J201" t="s">
        <v>75</v>
      </c>
      <c r="K201">
        <v>1</v>
      </c>
      <c r="L201" t="s">
        <v>27</v>
      </c>
      <c r="M201" s="1">
        <f t="shared" ca="1" si="6"/>
        <v>46204</v>
      </c>
      <c r="N201">
        <f t="shared" ca="1" si="7"/>
        <v>1</v>
      </c>
    </row>
    <row r="202" spans="1:14" x14ac:dyDescent="0.3">
      <c r="A202" t="s">
        <v>639</v>
      </c>
      <c r="B202" t="s">
        <v>640</v>
      </c>
      <c r="C202" t="s">
        <v>23</v>
      </c>
      <c r="D202" t="s">
        <v>35</v>
      </c>
      <c r="E202" t="s">
        <v>24</v>
      </c>
      <c r="F202">
        <v>4.43</v>
      </c>
      <c r="G202" s="1">
        <v>46059</v>
      </c>
      <c r="H202" s="1">
        <v>44711</v>
      </c>
      <c r="I202" t="s">
        <v>641</v>
      </c>
      <c r="J202" t="s">
        <v>37</v>
      </c>
      <c r="K202">
        <v>2</v>
      </c>
      <c r="L202" t="s">
        <v>20</v>
      </c>
      <c r="M202" s="1">
        <f t="shared" ca="1" si="6"/>
        <v>46204</v>
      </c>
      <c r="N202">
        <f t="shared" ca="1" si="7"/>
        <v>1</v>
      </c>
    </row>
    <row r="203" spans="1:14" x14ac:dyDescent="0.3">
      <c r="A203" t="s">
        <v>642</v>
      </c>
      <c r="B203" t="s">
        <v>643</v>
      </c>
      <c r="C203" t="s">
        <v>23</v>
      </c>
      <c r="D203" t="s">
        <v>35</v>
      </c>
      <c r="E203" t="s">
        <v>30</v>
      </c>
      <c r="F203">
        <v>5.55</v>
      </c>
      <c r="G203" s="1">
        <v>46046</v>
      </c>
      <c r="H203" s="1">
        <v>44425</v>
      </c>
      <c r="I203" t="s">
        <v>644</v>
      </c>
      <c r="J203" t="s">
        <v>37</v>
      </c>
      <c r="K203">
        <v>1</v>
      </c>
      <c r="L203" t="s">
        <v>27</v>
      </c>
      <c r="M203" s="1">
        <f t="shared" ca="1" si="6"/>
        <v>46204</v>
      </c>
      <c r="N203">
        <f t="shared" ca="1" si="7"/>
        <v>1</v>
      </c>
    </row>
    <row r="204" spans="1:14" x14ac:dyDescent="0.3">
      <c r="A204" t="s">
        <v>645</v>
      </c>
      <c r="B204" t="s">
        <v>646</v>
      </c>
      <c r="C204" t="s">
        <v>124</v>
      </c>
      <c r="D204" t="s">
        <v>69</v>
      </c>
      <c r="E204" t="s">
        <v>52</v>
      </c>
      <c r="F204">
        <v>29.27</v>
      </c>
      <c r="G204" s="1">
        <v>45948</v>
      </c>
      <c r="H204" s="1">
        <v>43096</v>
      </c>
      <c r="I204" t="s">
        <v>647</v>
      </c>
      <c r="J204" t="s">
        <v>19</v>
      </c>
      <c r="K204">
        <v>2</v>
      </c>
      <c r="L204" t="s">
        <v>27</v>
      </c>
      <c r="M204" s="1">
        <f t="shared" ca="1" si="6"/>
        <v>46204</v>
      </c>
      <c r="N204">
        <f t="shared" ca="1" si="7"/>
        <v>1</v>
      </c>
    </row>
    <row r="205" spans="1:14" x14ac:dyDescent="0.3">
      <c r="A205" t="s">
        <v>648</v>
      </c>
      <c r="B205" t="s">
        <v>649</v>
      </c>
      <c r="C205" t="s">
        <v>34</v>
      </c>
      <c r="D205" t="s">
        <v>16</v>
      </c>
      <c r="E205" t="s">
        <v>24</v>
      </c>
      <c r="F205">
        <v>34.799999999999997</v>
      </c>
      <c r="G205" s="1">
        <v>46026</v>
      </c>
      <c r="H205" s="1">
        <v>43609</v>
      </c>
      <c r="I205" t="s">
        <v>650</v>
      </c>
      <c r="J205" t="s">
        <v>94</v>
      </c>
      <c r="K205">
        <v>4</v>
      </c>
      <c r="L205" t="s">
        <v>27</v>
      </c>
      <c r="M205" s="1">
        <f t="shared" ca="1" si="6"/>
        <v>46204</v>
      </c>
      <c r="N205">
        <f t="shared" ca="1" si="7"/>
        <v>1</v>
      </c>
    </row>
    <row r="206" spans="1:14" x14ac:dyDescent="0.3">
      <c r="A206" t="s">
        <v>651</v>
      </c>
      <c r="B206" t="s">
        <v>652</v>
      </c>
      <c r="C206" t="s">
        <v>15</v>
      </c>
      <c r="D206" t="s">
        <v>35</v>
      </c>
      <c r="E206" t="s">
        <v>24</v>
      </c>
      <c r="F206">
        <v>31.19</v>
      </c>
      <c r="G206" s="1">
        <v>45853</v>
      </c>
      <c r="H206" s="1">
        <v>44262</v>
      </c>
      <c r="I206" t="s">
        <v>653</v>
      </c>
      <c r="J206" t="s">
        <v>49</v>
      </c>
      <c r="K206">
        <v>5</v>
      </c>
      <c r="L206" t="s">
        <v>20</v>
      </c>
      <c r="M206" s="1">
        <f t="shared" ca="1" si="6"/>
        <v>46204</v>
      </c>
      <c r="N206">
        <f t="shared" ca="1" si="7"/>
        <v>1</v>
      </c>
    </row>
    <row r="207" spans="1:14" x14ac:dyDescent="0.3">
      <c r="A207" t="s">
        <v>654</v>
      </c>
      <c r="B207" t="s">
        <v>655</v>
      </c>
      <c r="C207" t="s">
        <v>47</v>
      </c>
      <c r="D207" t="s">
        <v>56</v>
      </c>
      <c r="E207" t="s">
        <v>17</v>
      </c>
      <c r="F207">
        <v>9.08</v>
      </c>
      <c r="G207" s="1">
        <v>45915</v>
      </c>
      <c r="H207" s="1">
        <v>43999</v>
      </c>
      <c r="I207" t="s">
        <v>656</v>
      </c>
      <c r="J207" t="s">
        <v>66</v>
      </c>
      <c r="K207">
        <v>2</v>
      </c>
      <c r="L207" t="s">
        <v>20</v>
      </c>
      <c r="M207" s="1">
        <f t="shared" ca="1" si="6"/>
        <v>46204</v>
      </c>
      <c r="N207">
        <f t="shared" ca="1" si="7"/>
        <v>1</v>
      </c>
    </row>
    <row r="208" spans="1:14" x14ac:dyDescent="0.3">
      <c r="A208" t="s">
        <v>657</v>
      </c>
      <c r="B208" t="s">
        <v>658</v>
      </c>
      <c r="C208" t="s">
        <v>64</v>
      </c>
      <c r="D208" t="s">
        <v>73</v>
      </c>
      <c r="E208" t="s">
        <v>24</v>
      </c>
      <c r="F208">
        <v>6.67</v>
      </c>
      <c r="G208" s="1">
        <v>45839</v>
      </c>
      <c r="H208" s="1">
        <v>43097</v>
      </c>
      <c r="I208" t="s">
        <v>659</v>
      </c>
      <c r="J208" t="s">
        <v>66</v>
      </c>
      <c r="K208">
        <v>5</v>
      </c>
      <c r="L208" t="s">
        <v>20</v>
      </c>
      <c r="M208" s="1">
        <f t="shared" ca="1" si="6"/>
        <v>46204</v>
      </c>
      <c r="N208">
        <f t="shared" ca="1" si="7"/>
        <v>1</v>
      </c>
    </row>
    <row r="209" spans="1:14" x14ac:dyDescent="0.3">
      <c r="A209" t="s">
        <v>660</v>
      </c>
      <c r="B209" t="s">
        <v>661</v>
      </c>
      <c r="C209" t="s">
        <v>124</v>
      </c>
      <c r="D209" t="s">
        <v>40</v>
      </c>
      <c r="E209" t="s">
        <v>24</v>
      </c>
      <c r="F209">
        <v>39.89</v>
      </c>
      <c r="G209" s="1">
        <v>46033</v>
      </c>
      <c r="H209" s="1">
        <v>43171</v>
      </c>
      <c r="I209" t="s">
        <v>662</v>
      </c>
      <c r="J209" t="s">
        <v>49</v>
      </c>
      <c r="K209">
        <v>4</v>
      </c>
      <c r="L209" t="s">
        <v>20</v>
      </c>
      <c r="M209" s="1">
        <f t="shared" ca="1" si="6"/>
        <v>46204</v>
      </c>
      <c r="N209">
        <f t="shared" ca="1" si="7"/>
        <v>1</v>
      </c>
    </row>
    <row r="210" spans="1:14" x14ac:dyDescent="0.3">
      <c r="A210" t="s">
        <v>663</v>
      </c>
      <c r="B210" t="s">
        <v>664</v>
      </c>
      <c r="C210" t="s">
        <v>60</v>
      </c>
      <c r="D210" t="s">
        <v>40</v>
      </c>
      <c r="E210" t="s">
        <v>30</v>
      </c>
      <c r="F210">
        <v>11.79</v>
      </c>
      <c r="G210" s="1">
        <v>45836</v>
      </c>
      <c r="H210" s="1">
        <v>42861</v>
      </c>
      <c r="I210" t="s">
        <v>665</v>
      </c>
      <c r="J210" t="s">
        <v>19</v>
      </c>
      <c r="K210">
        <v>5</v>
      </c>
      <c r="L210" t="s">
        <v>20</v>
      </c>
      <c r="M210" s="1">
        <f t="shared" ca="1" si="6"/>
        <v>46204</v>
      </c>
      <c r="N210">
        <f t="shared" ca="1" si="7"/>
        <v>1</v>
      </c>
    </row>
    <row r="211" spans="1:14" x14ac:dyDescent="0.3">
      <c r="A211" t="s">
        <v>666</v>
      </c>
      <c r="B211" t="s">
        <v>667</v>
      </c>
      <c r="C211" t="s">
        <v>64</v>
      </c>
      <c r="D211" t="s">
        <v>69</v>
      </c>
      <c r="E211" t="s">
        <v>24</v>
      </c>
      <c r="F211">
        <v>9.7200000000000006</v>
      </c>
      <c r="G211" s="1">
        <v>46025</v>
      </c>
      <c r="H211" s="1">
        <v>45138</v>
      </c>
      <c r="I211" t="s">
        <v>668</v>
      </c>
      <c r="J211" t="s">
        <v>37</v>
      </c>
      <c r="K211">
        <v>3</v>
      </c>
      <c r="L211" t="s">
        <v>20</v>
      </c>
      <c r="M211" s="1">
        <f t="shared" ca="1" si="6"/>
        <v>46204</v>
      </c>
      <c r="N211">
        <f t="shared" ca="1" si="7"/>
        <v>1</v>
      </c>
    </row>
    <row r="212" spans="1:14" x14ac:dyDescent="0.3">
      <c r="A212" t="s">
        <v>669</v>
      </c>
      <c r="B212" t="s">
        <v>670</v>
      </c>
      <c r="C212" t="s">
        <v>15</v>
      </c>
      <c r="D212" t="s">
        <v>35</v>
      </c>
      <c r="E212" t="s">
        <v>30</v>
      </c>
      <c r="F212">
        <v>31.01</v>
      </c>
      <c r="G212" s="1">
        <v>45879</v>
      </c>
      <c r="H212" s="1">
        <v>42650</v>
      </c>
      <c r="I212" t="s">
        <v>671</v>
      </c>
      <c r="J212" t="s">
        <v>19</v>
      </c>
      <c r="K212">
        <v>3</v>
      </c>
      <c r="L212" t="s">
        <v>27</v>
      </c>
      <c r="M212" s="1">
        <f t="shared" ca="1" si="6"/>
        <v>46204</v>
      </c>
      <c r="N212">
        <f t="shared" ca="1" si="7"/>
        <v>1</v>
      </c>
    </row>
    <row r="213" spans="1:14" x14ac:dyDescent="0.3">
      <c r="A213" t="s">
        <v>672</v>
      </c>
      <c r="B213" t="s">
        <v>673</v>
      </c>
      <c r="C213" t="s">
        <v>60</v>
      </c>
      <c r="D213" t="s">
        <v>16</v>
      </c>
      <c r="E213" t="s">
        <v>24</v>
      </c>
      <c r="F213">
        <v>26.09</v>
      </c>
      <c r="G213" s="1">
        <v>45720</v>
      </c>
      <c r="H213" s="1">
        <v>43995</v>
      </c>
      <c r="I213" t="s">
        <v>674</v>
      </c>
      <c r="J213" t="s">
        <v>75</v>
      </c>
      <c r="K213">
        <v>5</v>
      </c>
      <c r="L213" t="s">
        <v>20</v>
      </c>
      <c r="M213" s="1">
        <f t="shared" ca="1" si="6"/>
        <v>46204</v>
      </c>
      <c r="N213">
        <f t="shared" ca="1" si="7"/>
        <v>1</v>
      </c>
    </row>
    <row r="214" spans="1:14" x14ac:dyDescent="0.3">
      <c r="A214" t="s">
        <v>675</v>
      </c>
      <c r="B214" t="s">
        <v>676</v>
      </c>
      <c r="C214" t="s">
        <v>47</v>
      </c>
      <c r="D214" t="s">
        <v>69</v>
      </c>
      <c r="E214" t="s">
        <v>17</v>
      </c>
      <c r="F214">
        <v>22.96</v>
      </c>
      <c r="G214" s="1">
        <v>45754</v>
      </c>
      <c r="H214" s="1">
        <v>43969</v>
      </c>
      <c r="I214" t="s">
        <v>677</v>
      </c>
      <c r="J214" t="s">
        <v>37</v>
      </c>
      <c r="K214">
        <v>2</v>
      </c>
      <c r="L214" t="s">
        <v>27</v>
      </c>
      <c r="M214" s="1">
        <f t="shared" ca="1" si="6"/>
        <v>46204</v>
      </c>
      <c r="N214">
        <f t="shared" ca="1" si="7"/>
        <v>1</v>
      </c>
    </row>
    <row r="215" spans="1:14" x14ac:dyDescent="0.3">
      <c r="A215" t="s">
        <v>678</v>
      </c>
      <c r="B215" t="s">
        <v>679</v>
      </c>
      <c r="C215" t="s">
        <v>47</v>
      </c>
      <c r="D215" t="s">
        <v>16</v>
      </c>
      <c r="E215" t="s">
        <v>52</v>
      </c>
      <c r="F215">
        <v>32.94</v>
      </c>
      <c r="G215" s="1">
        <v>45923</v>
      </c>
      <c r="H215" s="1">
        <v>42249</v>
      </c>
      <c r="I215" t="s">
        <v>680</v>
      </c>
      <c r="J215" t="s">
        <v>26</v>
      </c>
      <c r="K215">
        <v>3</v>
      </c>
      <c r="L215" t="s">
        <v>27</v>
      </c>
      <c r="M215" s="1">
        <f t="shared" ca="1" si="6"/>
        <v>46204</v>
      </c>
      <c r="N215">
        <f t="shared" ca="1" si="7"/>
        <v>1</v>
      </c>
    </row>
    <row r="216" spans="1:14" x14ac:dyDescent="0.3">
      <c r="A216" t="s">
        <v>681</v>
      </c>
      <c r="B216" t="s">
        <v>682</v>
      </c>
      <c r="C216" t="s">
        <v>47</v>
      </c>
      <c r="D216" t="s">
        <v>40</v>
      </c>
      <c r="E216" t="s">
        <v>52</v>
      </c>
      <c r="F216">
        <v>27.21</v>
      </c>
      <c r="G216" s="1">
        <v>45854</v>
      </c>
      <c r="H216" s="1">
        <v>43867</v>
      </c>
      <c r="I216" t="s">
        <v>683</v>
      </c>
      <c r="J216" t="s">
        <v>26</v>
      </c>
      <c r="K216">
        <v>3</v>
      </c>
      <c r="L216" t="s">
        <v>20</v>
      </c>
      <c r="M216" s="1">
        <f t="shared" ca="1" si="6"/>
        <v>46204</v>
      </c>
      <c r="N216">
        <f t="shared" ca="1" si="7"/>
        <v>1</v>
      </c>
    </row>
    <row r="217" spans="1:14" x14ac:dyDescent="0.3">
      <c r="A217" t="s">
        <v>684</v>
      </c>
      <c r="B217" t="s">
        <v>685</v>
      </c>
      <c r="C217" t="s">
        <v>124</v>
      </c>
      <c r="D217" t="s">
        <v>40</v>
      </c>
      <c r="E217" t="s">
        <v>24</v>
      </c>
      <c r="F217">
        <v>17.329999999999998</v>
      </c>
      <c r="G217" s="1">
        <v>45741</v>
      </c>
      <c r="H217" s="1">
        <v>45046</v>
      </c>
      <c r="I217" t="s">
        <v>686</v>
      </c>
      <c r="J217" t="s">
        <v>66</v>
      </c>
      <c r="K217">
        <v>4</v>
      </c>
      <c r="L217" t="s">
        <v>20</v>
      </c>
      <c r="M217" s="1">
        <f t="shared" ca="1" si="6"/>
        <v>46204</v>
      </c>
      <c r="N217">
        <f t="shared" ca="1" si="7"/>
        <v>1</v>
      </c>
    </row>
    <row r="218" spans="1:14" x14ac:dyDescent="0.3">
      <c r="A218" t="s">
        <v>687</v>
      </c>
      <c r="B218" t="s">
        <v>688</v>
      </c>
      <c r="C218" t="s">
        <v>34</v>
      </c>
      <c r="D218" t="s">
        <v>16</v>
      </c>
      <c r="E218" t="s">
        <v>52</v>
      </c>
      <c r="F218">
        <v>22.63</v>
      </c>
      <c r="G218" s="1">
        <v>45715</v>
      </c>
      <c r="H218" s="1">
        <v>45427</v>
      </c>
      <c r="I218" t="s">
        <v>689</v>
      </c>
      <c r="J218" t="s">
        <v>19</v>
      </c>
      <c r="K218">
        <v>4</v>
      </c>
      <c r="L218" t="s">
        <v>27</v>
      </c>
      <c r="M218" s="1">
        <f t="shared" ca="1" si="6"/>
        <v>46204</v>
      </c>
      <c r="N218">
        <f t="shared" ca="1" si="7"/>
        <v>1</v>
      </c>
    </row>
    <row r="219" spans="1:14" x14ac:dyDescent="0.3">
      <c r="A219" t="s">
        <v>690</v>
      </c>
      <c r="B219" t="s">
        <v>691</v>
      </c>
      <c r="C219" t="s">
        <v>47</v>
      </c>
      <c r="D219" t="s">
        <v>69</v>
      </c>
      <c r="E219" t="s">
        <v>17</v>
      </c>
      <c r="F219">
        <v>7.17</v>
      </c>
      <c r="G219" s="1">
        <v>45852</v>
      </c>
      <c r="H219" s="1">
        <v>45131</v>
      </c>
      <c r="I219" t="s">
        <v>692</v>
      </c>
      <c r="J219" t="s">
        <v>37</v>
      </c>
      <c r="K219">
        <v>5</v>
      </c>
      <c r="L219" t="s">
        <v>20</v>
      </c>
      <c r="M219" s="1">
        <f t="shared" ca="1" si="6"/>
        <v>46204</v>
      </c>
      <c r="N219">
        <f t="shared" ca="1" si="7"/>
        <v>1</v>
      </c>
    </row>
    <row r="220" spans="1:14" x14ac:dyDescent="0.3">
      <c r="A220" t="s">
        <v>693</v>
      </c>
      <c r="B220" t="s">
        <v>694</v>
      </c>
      <c r="C220" t="s">
        <v>15</v>
      </c>
      <c r="D220" t="s">
        <v>56</v>
      </c>
      <c r="E220" t="s">
        <v>30</v>
      </c>
      <c r="F220">
        <v>23.55</v>
      </c>
      <c r="G220" s="1">
        <v>45798</v>
      </c>
      <c r="H220" s="1">
        <v>45105</v>
      </c>
      <c r="I220" t="s">
        <v>695</v>
      </c>
      <c r="J220" t="s">
        <v>94</v>
      </c>
      <c r="K220">
        <v>2</v>
      </c>
      <c r="L220" t="s">
        <v>27</v>
      </c>
      <c r="M220" s="1">
        <f t="shared" ca="1" si="6"/>
        <v>46204</v>
      </c>
      <c r="N220">
        <f t="shared" ca="1" si="7"/>
        <v>1</v>
      </c>
    </row>
    <row r="221" spans="1:14" x14ac:dyDescent="0.3">
      <c r="A221" t="s">
        <v>696</v>
      </c>
      <c r="B221" t="s">
        <v>697</v>
      </c>
      <c r="C221" t="s">
        <v>47</v>
      </c>
      <c r="D221" t="s">
        <v>35</v>
      </c>
      <c r="E221" t="s">
        <v>17</v>
      </c>
      <c r="F221">
        <v>5.01</v>
      </c>
      <c r="G221" s="1">
        <v>46031</v>
      </c>
      <c r="H221" s="1">
        <v>45377</v>
      </c>
      <c r="I221" t="s">
        <v>698</v>
      </c>
      <c r="J221" t="s">
        <v>66</v>
      </c>
      <c r="K221">
        <v>1</v>
      </c>
      <c r="L221" t="s">
        <v>20</v>
      </c>
      <c r="M221" s="1">
        <f t="shared" ca="1" si="6"/>
        <v>46204</v>
      </c>
      <c r="N221">
        <f t="shared" ca="1" si="7"/>
        <v>1</v>
      </c>
    </row>
    <row r="222" spans="1:14" x14ac:dyDescent="0.3">
      <c r="A222" t="s">
        <v>699</v>
      </c>
      <c r="B222" t="s">
        <v>700</v>
      </c>
      <c r="C222" t="s">
        <v>60</v>
      </c>
      <c r="D222" t="s">
        <v>56</v>
      </c>
      <c r="E222" t="s">
        <v>24</v>
      </c>
      <c r="F222">
        <v>5.46</v>
      </c>
      <c r="G222" s="1">
        <v>45882</v>
      </c>
      <c r="H222" s="1">
        <v>44791</v>
      </c>
      <c r="I222" t="s">
        <v>701</v>
      </c>
      <c r="J222" t="s">
        <v>49</v>
      </c>
      <c r="K222">
        <v>3</v>
      </c>
      <c r="L222" t="s">
        <v>27</v>
      </c>
      <c r="M222" s="1">
        <f t="shared" ca="1" si="6"/>
        <v>46204</v>
      </c>
      <c r="N222">
        <f t="shared" ca="1" si="7"/>
        <v>1</v>
      </c>
    </row>
    <row r="223" spans="1:14" x14ac:dyDescent="0.3">
      <c r="A223" t="s">
        <v>702</v>
      </c>
      <c r="B223" t="s">
        <v>703</v>
      </c>
      <c r="C223" t="s">
        <v>23</v>
      </c>
      <c r="D223" t="s">
        <v>56</v>
      </c>
      <c r="E223" t="s">
        <v>30</v>
      </c>
      <c r="F223">
        <v>10.15</v>
      </c>
      <c r="G223" s="1">
        <v>45817</v>
      </c>
      <c r="H223" s="1">
        <v>43941</v>
      </c>
      <c r="I223" t="s">
        <v>704</v>
      </c>
      <c r="J223" t="s">
        <v>75</v>
      </c>
      <c r="K223">
        <v>5</v>
      </c>
      <c r="L223" t="s">
        <v>20</v>
      </c>
      <c r="M223" s="1">
        <f t="shared" ca="1" si="6"/>
        <v>46204</v>
      </c>
      <c r="N223">
        <f t="shared" ca="1" si="7"/>
        <v>1</v>
      </c>
    </row>
    <row r="224" spans="1:14" x14ac:dyDescent="0.3">
      <c r="A224" t="s">
        <v>705</v>
      </c>
      <c r="B224" t="s">
        <v>706</v>
      </c>
      <c r="C224" t="s">
        <v>15</v>
      </c>
      <c r="D224" t="s">
        <v>16</v>
      </c>
      <c r="E224" t="s">
        <v>24</v>
      </c>
      <c r="F224">
        <v>26.67</v>
      </c>
      <c r="G224" s="1">
        <v>46046</v>
      </c>
      <c r="H224" s="1">
        <v>42297</v>
      </c>
      <c r="I224" t="s">
        <v>707</v>
      </c>
      <c r="J224" t="s">
        <v>94</v>
      </c>
      <c r="K224">
        <v>5</v>
      </c>
      <c r="L224" t="s">
        <v>20</v>
      </c>
      <c r="M224" s="1">
        <f t="shared" ca="1" si="6"/>
        <v>46204</v>
      </c>
      <c r="N224">
        <f t="shared" ca="1" si="7"/>
        <v>1</v>
      </c>
    </row>
    <row r="225" spans="1:14" x14ac:dyDescent="0.3">
      <c r="A225" t="s">
        <v>708</v>
      </c>
      <c r="B225" t="s">
        <v>709</v>
      </c>
      <c r="C225" t="s">
        <v>23</v>
      </c>
      <c r="D225" t="s">
        <v>56</v>
      </c>
      <c r="E225" t="s">
        <v>52</v>
      </c>
      <c r="F225">
        <v>13.69</v>
      </c>
      <c r="G225" s="1">
        <v>45747</v>
      </c>
      <c r="H225" s="1">
        <v>43829</v>
      </c>
      <c r="I225" t="s">
        <v>710</v>
      </c>
      <c r="J225" t="s">
        <v>19</v>
      </c>
      <c r="K225">
        <v>1</v>
      </c>
      <c r="L225" t="s">
        <v>27</v>
      </c>
      <c r="M225" s="1">
        <f t="shared" ca="1" si="6"/>
        <v>46204</v>
      </c>
      <c r="N225">
        <f t="shared" ca="1" si="7"/>
        <v>1</v>
      </c>
    </row>
    <row r="226" spans="1:14" x14ac:dyDescent="0.3">
      <c r="A226" t="s">
        <v>711</v>
      </c>
      <c r="B226" t="s">
        <v>712</v>
      </c>
      <c r="C226" t="s">
        <v>23</v>
      </c>
      <c r="D226" t="s">
        <v>73</v>
      </c>
      <c r="E226" t="s">
        <v>30</v>
      </c>
      <c r="F226">
        <v>23.87</v>
      </c>
      <c r="G226" s="1">
        <v>45849</v>
      </c>
      <c r="H226" s="1">
        <v>45411</v>
      </c>
      <c r="I226" t="s">
        <v>713</v>
      </c>
      <c r="J226" t="s">
        <v>37</v>
      </c>
      <c r="K226">
        <v>2</v>
      </c>
      <c r="L226" t="s">
        <v>27</v>
      </c>
      <c r="M226" s="1">
        <f t="shared" ca="1" si="6"/>
        <v>46204</v>
      </c>
      <c r="N226">
        <f t="shared" ca="1" si="7"/>
        <v>1</v>
      </c>
    </row>
    <row r="227" spans="1:14" x14ac:dyDescent="0.3">
      <c r="A227" t="s">
        <v>714</v>
      </c>
      <c r="B227" t="s">
        <v>715</v>
      </c>
      <c r="C227" t="s">
        <v>15</v>
      </c>
      <c r="D227" t="s">
        <v>16</v>
      </c>
      <c r="E227" t="s">
        <v>52</v>
      </c>
      <c r="F227">
        <v>19.63</v>
      </c>
      <c r="G227" s="1">
        <v>45921</v>
      </c>
      <c r="H227" s="1">
        <v>42800</v>
      </c>
      <c r="I227" t="s">
        <v>716</v>
      </c>
      <c r="J227" t="s">
        <v>49</v>
      </c>
      <c r="K227">
        <v>5</v>
      </c>
      <c r="L227" t="s">
        <v>20</v>
      </c>
      <c r="M227" s="1">
        <f t="shared" ca="1" si="6"/>
        <v>46204</v>
      </c>
      <c r="N227">
        <f t="shared" ca="1" si="7"/>
        <v>1</v>
      </c>
    </row>
    <row r="228" spans="1:14" x14ac:dyDescent="0.3">
      <c r="A228" t="s">
        <v>717</v>
      </c>
      <c r="B228" t="s">
        <v>718</v>
      </c>
      <c r="C228" t="s">
        <v>64</v>
      </c>
      <c r="D228" t="s">
        <v>16</v>
      </c>
      <c r="E228" t="s">
        <v>30</v>
      </c>
      <c r="F228">
        <v>2.59</v>
      </c>
      <c r="G228" s="1">
        <v>45978</v>
      </c>
      <c r="H228" s="1">
        <v>44327</v>
      </c>
      <c r="I228" t="s">
        <v>719</v>
      </c>
      <c r="J228" t="s">
        <v>37</v>
      </c>
      <c r="K228">
        <v>4</v>
      </c>
      <c r="L228" t="s">
        <v>20</v>
      </c>
      <c r="M228" s="1">
        <f t="shared" ca="1" si="6"/>
        <v>46204</v>
      </c>
      <c r="N228">
        <f t="shared" ca="1" si="7"/>
        <v>1</v>
      </c>
    </row>
    <row r="229" spans="1:14" x14ac:dyDescent="0.3">
      <c r="A229" t="s">
        <v>720</v>
      </c>
      <c r="B229" t="s">
        <v>721</v>
      </c>
      <c r="C229" t="s">
        <v>15</v>
      </c>
      <c r="D229" t="s">
        <v>16</v>
      </c>
      <c r="E229" t="s">
        <v>24</v>
      </c>
      <c r="F229">
        <v>17.350000000000001</v>
      </c>
      <c r="G229" s="1">
        <v>45737</v>
      </c>
      <c r="H229" s="1">
        <v>43805</v>
      </c>
      <c r="I229" t="s">
        <v>722</v>
      </c>
      <c r="J229" t="s">
        <v>26</v>
      </c>
      <c r="K229">
        <v>5</v>
      </c>
      <c r="L229" t="s">
        <v>20</v>
      </c>
      <c r="M229" s="1">
        <f t="shared" ca="1" si="6"/>
        <v>46204</v>
      </c>
      <c r="N229">
        <f t="shared" ca="1" si="7"/>
        <v>1</v>
      </c>
    </row>
    <row r="230" spans="1:14" x14ac:dyDescent="0.3">
      <c r="A230" t="s">
        <v>723</v>
      </c>
      <c r="B230" t="s">
        <v>724</v>
      </c>
      <c r="C230" t="s">
        <v>23</v>
      </c>
      <c r="D230" t="s">
        <v>16</v>
      </c>
      <c r="E230" t="s">
        <v>52</v>
      </c>
      <c r="F230">
        <v>4.4800000000000004</v>
      </c>
      <c r="G230" s="1">
        <v>45816</v>
      </c>
      <c r="H230" s="1">
        <v>42736</v>
      </c>
      <c r="I230" t="s">
        <v>725</v>
      </c>
      <c r="J230" t="s">
        <v>26</v>
      </c>
      <c r="K230">
        <v>1</v>
      </c>
      <c r="L230" t="s">
        <v>27</v>
      </c>
      <c r="M230" s="1">
        <f t="shared" ca="1" si="6"/>
        <v>46204</v>
      </c>
      <c r="N230">
        <f t="shared" ca="1" si="7"/>
        <v>1</v>
      </c>
    </row>
    <row r="231" spans="1:14" x14ac:dyDescent="0.3">
      <c r="A231" t="s">
        <v>726</v>
      </c>
      <c r="B231" t="s">
        <v>727</v>
      </c>
      <c r="C231" t="s">
        <v>34</v>
      </c>
      <c r="D231" t="s">
        <v>56</v>
      </c>
      <c r="E231" t="s">
        <v>24</v>
      </c>
      <c r="F231">
        <v>5.9</v>
      </c>
      <c r="G231" s="1">
        <v>45899</v>
      </c>
      <c r="H231" s="1">
        <v>44092</v>
      </c>
      <c r="I231" t="s">
        <v>728</v>
      </c>
      <c r="J231" t="s">
        <v>26</v>
      </c>
      <c r="K231">
        <v>1</v>
      </c>
      <c r="L231" t="s">
        <v>20</v>
      </c>
      <c r="M231" s="1">
        <f t="shared" ca="1" si="6"/>
        <v>46204</v>
      </c>
      <c r="N231">
        <f t="shared" ca="1" si="7"/>
        <v>1</v>
      </c>
    </row>
    <row r="232" spans="1:14" x14ac:dyDescent="0.3">
      <c r="A232" t="s">
        <v>729</v>
      </c>
      <c r="B232" t="s">
        <v>730</v>
      </c>
      <c r="C232" t="s">
        <v>124</v>
      </c>
      <c r="D232" t="s">
        <v>69</v>
      </c>
      <c r="E232" t="s">
        <v>24</v>
      </c>
      <c r="F232">
        <v>26.94</v>
      </c>
      <c r="G232" s="1">
        <v>45877</v>
      </c>
      <c r="H232" s="1">
        <v>44286</v>
      </c>
      <c r="I232" t="s">
        <v>731</v>
      </c>
      <c r="J232" t="s">
        <v>37</v>
      </c>
      <c r="K232">
        <v>1</v>
      </c>
      <c r="L232" t="s">
        <v>20</v>
      </c>
      <c r="M232" s="1">
        <f t="shared" ca="1" si="6"/>
        <v>46204</v>
      </c>
      <c r="N232">
        <f t="shared" ca="1" si="7"/>
        <v>1</v>
      </c>
    </row>
    <row r="233" spans="1:14" x14ac:dyDescent="0.3">
      <c r="A233" t="s">
        <v>732</v>
      </c>
      <c r="B233" t="s">
        <v>733</v>
      </c>
      <c r="C233" t="s">
        <v>34</v>
      </c>
      <c r="D233" t="s">
        <v>40</v>
      </c>
      <c r="E233" t="s">
        <v>52</v>
      </c>
      <c r="F233">
        <v>5.05</v>
      </c>
      <c r="G233" s="1">
        <v>46007</v>
      </c>
      <c r="H233" s="1">
        <v>45255</v>
      </c>
      <c r="I233" t="s">
        <v>734</v>
      </c>
      <c r="J233" t="s">
        <v>26</v>
      </c>
      <c r="K233">
        <v>2</v>
      </c>
      <c r="L233" t="s">
        <v>20</v>
      </c>
      <c r="M233" s="1">
        <f t="shared" ca="1" si="6"/>
        <v>46204</v>
      </c>
      <c r="N233">
        <f t="shared" ca="1" si="7"/>
        <v>1</v>
      </c>
    </row>
    <row r="234" spans="1:14" x14ac:dyDescent="0.3">
      <c r="A234" t="s">
        <v>735</v>
      </c>
      <c r="B234" t="s">
        <v>736</v>
      </c>
      <c r="C234" t="s">
        <v>124</v>
      </c>
      <c r="D234" t="s">
        <v>16</v>
      </c>
      <c r="E234" t="s">
        <v>17</v>
      </c>
      <c r="F234">
        <v>24.45</v>
      </c>
      <c r="G234" s="1">
        <v>45859</v>
      </c>
      <c r="H234" s="1">
        <v>43718</v>
      </c>
      <c r="I234" t="s">
        <v>737</v>
      </c>
      <c r="J234" t="s">
        <v>49</v>
      </c>
      <c r="K234">
        <v>1</v>
      </c>
      <c r="L234" t="s">
        <v>27</v>
      </c>
      <c r="M234" s="1">
        <f t="shared" ca="1" si="6"/>
        <v>46204</v>
      </c>
      <c r="N234">
        <f t="shared" ca="1" si="7"/>
        <v>1</v>
      </c>
    </row>
    <row r="235" spans="1:14" x14ac:dyDescent="0.3">
      <c r="A235" t="s">
        <v>738</v>
      </c>
      <c r="B235" t="s">
        <v>739</v>
      </c>
      <c r="C235" t="s">
        <v>124</v>
      </c>
      <c r="D235" t="s">
        <v>16</v>
      </c>
      <c r="E235" t="s">
        <v>52</v>
      </c>
      <c r="F235">
        <v>27.27</v>
      </c>
      <c r="G235" s="1">
        <v>46032</v>
      </c>
      <c r="H235" s="1">
        <v>43257</v>
      </c>
      <c r="I235" t="s">
        <v>740</v>
      </c>
      <c r="J235" t="s">
        <v>66</v>
      </c>
      <c r="K235">
        <v>4</v>
      </c>
      <c r="L235" t="s">
        <v>27</v>
      </c>
      <c r="M235" s="1">
        <f t="shared" ca="1" si="6"/>
        <v>46204</v>
      </c>
      <c r="N235">
        <f t="shared" ca="1" si="7"/>
        <v>1</v>
      </c>
    </row>
    <row r="236" spans="1:14" x14ac:dyDescent="0.3">
      <c r="A236" t="s">
        <v>741</v>
      </c>
      <c r="B236" t="s">
        <v>742</v>
      </c>
      <c r="C236" t="s">
        <v>15</v>
      </c>
      <c r="D236" t="s">
        <v>73</v>
      </c>
      <c r="E236" t="s">
        <v>17</v>
      </c>
      <c r="F236">
        <v>3.77</v>
      </c>
      <c r="G236" s="1">
        <v>45726</v>
      </c>
      <c r="H236" s="1">
        <v>42364</v>
      </c>
      <c r="I236" t="s">
        <v>743</v>
      </c>
      <c r="J236" t="s">
        <v>49</v>
      </c>
      <c r="K236">
        <v>3</v>
      </c>
      <c r="L236" t="s">
        <v>20</v>
      </c>
      <c r="M236" s="1">
        <f t="shared" ca="1" si="6"/>
        <v>46204</v>
      </c>
      <c r="N236">
        <f t="shared" ca="1" si="7"/>
        <v>1</v>
      </c>
    </row>
    <row r="237" spans="1:14" x14ac:dyDescent="0.3">
      <c r="A237" t="s">
        <v>744</v>
      </c>
      <c r="B237" t="s">
        <v>745</v>
      </c>
      <c r="C237" t="s">
        <v>64</v>
      </c>
      <c r="D237" t="s">
        <v>69</v>
      </c>
      <c r="E237" t="s">
        <v>17</v>
      </c>
      <c r="F237">
        <v>30.99</v>
      </c>
      <c r="G237" s="1">
        <v>45764</v>
      </c>
      <c r="H237" s="1">
        <v>42551</v>
      </c>
      <c r="I237" t="s">
        <v>746</v>
      </c>
      <c r="J237" t="s">
        <v>26</v>
      </c>
      <c r="K237">
        <v>2</v>
      </c>
      <c r="L237" t="s">
        <v>20</v>
      </c>
      <c r="M237" s="1">
        <f t="shared" ca="1" si="6"/>
        <v>46204</v>
      </c>
      <c r="N237">
        <f t="shared" ca="1" si="7"/>
        <v>1</v>
      </c>
    </row>
    <row r="238" spans="1:14" x14ac:dyDescent="0.3">
      <c r="A238" t="s">
        <v>747</v>
      </c>
      <c r="B238" t="s">
        <v>748</v>
      </c>
      <c r="C238" t="s">
        <v>34</v>
      </c>
      <c r="D238" t="s">
        <v>69</v>
      </c>
      <c r="E238" t="s">
        <v>30</v>
      </c>
      <c r="F238">
        <v>7.37</v>
      </c>
      <c r="G238" s="1">
        <v>45888</v>
      </c>
      <c r="H238" s="1">
        <v>44949</v>
      </c>
      <c r="I238" t="s">
        <v>749</v>
      </c>
      <c r="J238" t="s">
        <v>49</v>
      </c>
      <c r="K238">
        <v>2</v>
      </c>
      <c r="L238" t="s">
        <v>20</v>
      </c>
      <c r="M238" s="1">
        <f t="shared" ca="1" si="6"/>
        <v>46204</v>
      </c>
      <c r="N238">
        <f t="shared" ca="1" si="7"/>
        <v>1</v>
      </c>
    </row>
    <row r="239" spans="1:14" x14ac:dyDescent="0.3">
      <c r="A239" t="s">
        <v>750</v>
      </c>
      <c r="B239" t="s">
        <v>751</v>
      </c>
      <c r="C239" t="s">
        <v>47</v>
      </c>
      <c r="D239" t="s">
        <v>40</v>
      </c>
      <c r="E239" t="s">
        <v>24</v>
      </c>
      <c r="F239">
        <v>20.93</v>
      </c>
      <c r="G239" s="1">
        <v>45837</v>
      </c>
      <c r="H239" s="1">
        <v>43564</v>
      </c>
      <c r="I239" t="s">
        <v>752</v>
      </c>
      <c r="J239" t="s">
        <v>75</v>
      </c>
      <c r="K239">
        <v>3</v>
      </c>
      <c r="L239" t="s">
        <v>27</v>
      </c>
      <c r="M239" s="1">
        <f t="shared" ca="1" si="6"/>
        <v>46204</v>
      </c>
      <c r="N239">
        <f t="shared" ca="1" si="7"/>
        <v>1</v>
      </c>
    </row>
    <row r="240" spans="1:14" x14ac:dyDescent="0.3">
      <c r="A240" t="s">
        <v>753</v>
      </c>
      <c r="B240" t="s">
        <v>754</v>
      </c>
      <c r="C240" t="s">
        <v>47</v>
      </c>
      <c r="D240" t="s">
        <v>69</v>
      </c>
      <c r="E240" t="s">
        <v>30</v>
      </c>
      <c r="F240">
        <v>29.04</v>
      </c>
      <c r="G240" s="1">
        <v>46060</v>
      </c>
      <c r="H240" s="1">
        <v>43943</v>
      </c>
      <c r="I240" t="s">
        <v>755</v>
      </c>
      <c r="J240" t="s">
        <v>49</v>
      </c>
      <c r="K240">
        <v>1</v>
      </c>
      <c r="L240" t="s">
        <v>27</v>
      </c>
      <c r="M240" s="1">
        <f t="shared" ca="1" si="6"/>
        <v>46204</v>
      </c>
      <c r="N240">
        <f t="shared" ca="1" si="7"/>
        <v>1</v>
      </c>
    </row>
    <row r="241" spans="1:14" x14ac:dyDescent="0.3">
      <c r="A241" t="s">
        <v>756</v>
      </c>
      <c r="B241" t="s">
        <v>757</v>
      </c>
      <c r="C241" t="s">
        <v>34</v>
      </c>
      <c r="D241" t="s">
        <v>69</v>
      </c>
      <c r="E241" t="s">
        <v>17</v>
      </c>
      <c r="F241">
        <v>25.78</v>
      </c>
      <c r="G241" s="1">
        <v>45832</v>
      </c>
      <c r="H241" s="1">
        <v>44969</v>
      </c>
      <c r="I241" t="s">
        <v>758</v>
      </c>
      <c r="J241" t="s">
        <v>66</v>
      </c>
      <c r="K241">
        <v>1</v>
      </c>
      <c r="L241" t="s">
        <v>20</v>
      </c>
      <c r="M241" s="1">
        <f t="shared" ca="1" si="6"/>
        <v>46204</v>
      </c>
      <c r="N241">
        <f t="shared" ca="1" si="7"/>
        <v>1</v>
      </c>
    </row>
    <row r="242" spans="1:14" x14ac:dyDescent="0.3">
      <c r="A242" t="s">
        <v>759</v>
      </c>
      <c r="B242" t="s">
        <v>760</v>
      </c>
      <c r="C242" t="s">
        <v>47</v>
      </c>
      <c r="D242" t="s">
        <v>56</v>
      </c>
      <c r="E242" t="s">
        <v>30</v>
      </c>
      <c r="F242">
        <v>18.239999999999998</v>
      </c>
      <c r="G242" s="1">
        <v>45879</v>
      </c>
      <c r="H242" s="1">
        <v>44302</v>
      </c>
      <c r="I242" t="s">
        <v>761</v>
      </c>
      <c r="J242" t="s">
        <v>94</v>
      </c>
      <c r="K242">
        <v>2</v>
      </c>
      <c r="L242" t="s">
        <v>27</v>
      </c>
      <c r="M242" s="1">
        <f t="shared" ca="1" si="6"/>
        <v>46204</v>
      </c>
      <c r="N242">
        <f t="shared" ca="1" si="7"/>
        <v>1</v>
      </c>
    </row>
    <row r="243" spans="1:14" x14ac:dyDescent="0.3">
      <c r="A243" t="s">
        <v>762</v>
      </c>
      <c r="B243" t="s">
        <v>763</v>
      </c>
      <c r="C243" t="s">
        <v>47</v>
      </c>
      <c r="D243" t="s">
        <v>56</v>
      </c>
      <c r="E243" t="s">
        <v>17</v>
      </c>
      <c r="F243">
        <v>17.16</v>
      </c>
      <c r="G243" s="1">
        <v>45885</v>
      </c>
      <c r="H243" s="1">
        <v>43974</v>
      </c>
      <c r="I243" t="s">
        <v>764</v>
      </c>
      <c r="J243" t="s">
        <v>37</v>
      </c>
      <c r="K243">
        <v>5</v>
      </c>
      <c r="L243" t="s">
        <v>27</v>
      </c>
      <c r="M243" s="1">
        <f t="shared" ca="1" si="6"/>
        <v>46204</v>
      </c>
      <c r="N243">
        <f t="shared" ca="1" si="7"/>
        <v>1</v>
      </c>
    </row>
    <row r="244" spans="1:14" x14ac:dyDescent="0.3">
      <c r="A244" t="s">
        <v>765</v>
      </c>
      <c r="B244" t="s">
        <v>766</v>
      </c>
      <c r="C244" t="s">
        <v>47</v>
      </c>
      <c r="D244" t="s">
        <v>73</v>
      </c>
      <c r="E244" t="s">
        <v>24</v>
      </c>
      <c r="F244">
        <v>29.24</v>
      </c>
      <c r="G244" s="1">
        <v>46035</v>
      </c>
      <c r="H244" s="1">
        <v>42482</v>
      </c>
      <c r="I244" t="s">
        <v>767</v>
      </c>
      <c r="J244" t="s">
        <v>37</v>
      </c>
      <c r="K244">
        <v>4</v>
      </c>
      <c r="L244" t="s">
        <v>20</v>
      </c>
      <c r="M244" s="1">
        <f t="shared" ca="1" si="6"/>
        <v>46204</v>
      </c>
      <c r="N244">
        <f t="shared" ca="1" si="7"/>
        <v>1</v>
      </c>
    </row>
    <row r="245" spans="1:14" x14ac:dyDescent="0.3">
      <c r="A245" t="s">
        <v>768</v>
      </c>
      <c r="B245" t="s">
        <v>769</v>
      </c>
      <c r="C245" t="s">
        <v>15</v>
      </c>
      <c r="D245" t="s">
        <v>69</v>
      </c>
      <c r="E245" t="s">
        <v>17</v>
      </c>
      <c r="F245">
        <v>30.01</v>
      </c>
      <c r="G245" s="1">
        <v>46037</v>
      </c>
      <c r="H245" s="1">
        <v>43579</v>
      </c>
      <c r="I245" t="s">
        <v>770</v>
      </c>
      <c r="J245" t="s">
        <v>26</v>
      </c>
      <c r="K245">
        <v>5</v>
      </c>
      <c r="L245" t="s">
        <v>27</v>
      </c>
      <c r="M245" s="1">
        <f t="shared" ca="1" si="6"/>
        <v>46204</v>
      </c>
      <c r="N245">
        <f t="shared" ca="1" si="7"/>
        <v>1</v>
      </c>
    </row>
    <row r="246" spans="1:14" x14ac:dyDescent="0.3">
      <c r="A246" t="s">
        <v>771</v>
      </c>
      <c r="B246" t="s">
        <v>772</v>
      </c>
      <c r="C246" t="s">
        <v>34</v>
      </c>
      <c r="D246" t="s">
        <v>16</v>
      </c>
      <c r="E246" t="s">
        <v>17</v>
      </c>
      <c r="F246">
        <v>35.33</v>
      </c>
      <c r="G246" s="1">
        <v>45734</v>
      </c>
      <c r="H246" s="1">
        <v>44273</v>
      </c>
      <c r="I246" t="s">
        <v>773</v>
      </c>
      <c r="J246" t="s">
        <v>26</v>
      </c>
      <c r="K246">
        <v>2</v>
      </c>
      <c r="L246" t="s">
        <v>20</v>
      </c>
      <c r="M246" s="1">
        <f t="shared" ca="1" si="6"/>
        <v>46204</v>
      </c>
      <c r="N246">
        <f t="shared" ca="1" si="7"/>
        <v>1</v>
      </c>
    </row>
    <row r="247" spans="1:14" x14ac:dyDescent="0.3">
      <c r="A247" t="s">
        <v>774</v>
      </c>
      <c r="B247" t="s">
        <v>775</v>
      </c>
      <c r="C247" t="s">
        <v>34</v>
      </c>
      <c r="D247" t="s">
        <v>73</v>
      </c>
      <c r="E247" t="s">
        <v>52</v>
      </c>
      <c r="F247">
        <v>10.53</v>
      </c>
      <c r="G247" s="1">
        <v>45760</v>
      </c>
      <c r="H247" s="1">
        <v>43359</v>
      </c>
      <c r="I247" t="s">
        <v>776</v>
      </c>
      <c r="J247" t="s">
        <v>94</v>
      </c>
      <c r="K247">
        <v>3</v>
      </c>
      <c r="L247" t="s">
        <v>27</v>
      </c>
      <c r="M247" s="1">
        <f t="shared" ca="1" si="6"/>
        <v>46204</v>
      </c>
      <c r="N247">
        <f t="shared" ca="1" si="7"/>
        <v>1</v>
      </c>
    </row>
    <row r="248" spans="1:14" x14ac:dyDescent="0.3">
      <c r="A248" t="s">
        <v>777</v>
      </c>
      <c r="B248" t="s">
        <v>778</v>
      </c>
      <c r="C248" t="s">
        <v>34</v>
      </c>
      <c r="D248" t="s">
        <v>16</v>
      </c>
      <c r="E248" t="s">
        <v>30</v>
      </c>
      <c r="F248">
        <v>31.25</v>
      </c>
      <c r="G248" s="1">
        <v>45789</v>
      </c>
      <c r="H248" s="1">
        <v>42282</v>
      </c>
      <c r="I248" t="s">
        <v>779</v>
      </c>
      <c r="J248" t="s">
        <v>66</v>
      </c>
      <c r="K248">
        <v>2</v>
      </c>
      <c r="L248" t="s">
        <v>27</v>
      </c>
      <c r="M248" s="1">
        <f t="shared" ca="1" si="6"/>
        <v>46204</v>
      </c>
      <c r="N248">
        <f t="shared" ca="1" si="7"/>
        <v>1</v>
      </c>
    </row>
    <row r="249" spans="1:14" x14ac:dyDescent="0.3">
      <c r="A249" t="s">
        <v>780</v>
      </c>
      <c r="B249" t="s">
        <v>781</v>
      </c>
      <c r="C249" t="s">
        <v>47</v>
      </c>
      <c r="D249" t="s">
        <v>56</v>
      </c>
      <c r="E249" t="s">
        <v>24</v>
      </c>
      <c r="F249">
        <v>21.17</v>
      </c>
      <c r="G249" s="1">
        <v>45810</v>
      </c>
      <c r="H249" s="1">
        <v>43116</v>
      </c>
      <c r="I249" t="s">
        <v>782</v>
      </c>
      <c r="J249" t="s">
        <v>94</v>
      </c>
      <c r="K249">
        <v>2</v>
      </c>
      <c r="L249" t="s">
        <v>27</v>
      </c>
      <c r="M249" s="1">
        <f t="shared" ca="1" si="6"/>
        <v>46204</v>
      </c>
      <c r="N249">
        <f t="shared" ca="1" si="7"/>
        <v>1</v>
      </c>
    </row>
    <row r="250" spans="1:14" x14ac:dyDescent="0.3">
      <c r="A250" t="s">
        <v>783</v>
      </c>
      <c r="B250" t="s">
        <v>784</v>
      </c>
      <c r="C250" t="s">
        <v>124</v>
      </c>
      <c r="D250" t="s">
        <v>73</v>
      </c>
      <c r="E250" t="s">
        <v>52</v>
      </c>
      <c r="F250">
        <v>9.14</v>
      </c>
      <c r="G250" s="1">
        <v>45952</v>
      </c>
      <c r="H250" s="1">
        <v>42614</v>
      </c>
      <c r="I250" t="s">
        <v>785</v>
      </c>
      <c r="J250" t="s">
        <v>37</v>
      </c>
      <c r="K250">
        <v>3</v>
      </c>
      <c r="L250" t="s">
        <v>27</v>
      </c>
      <c r="M250" s="1">
        <f t="shared" ca="1" si="6"/>
        <v>46204</v>
      </c>
      <c r="N250">
        <f t="shared" ca="1" si="7"/>
        <v>1</v>
      </c>
    </row>
    <row r="251" spans="1:14" x14ac:dyDescent="0.3">
      <c r="A251" t="s">
        <v>786</v>
      </c>
      <c r="B251" t="s">
        <v>787</v>
      </c>
      <c r="C251" t="s">
        <v>15</v>
      </c>
      <c r="D251" t="s">
        <v>73</v>
      </c>
      <c r="E251" t="s">
        <v>30</v>
      </c>
      <c r="F251">
        <v>36.81</v>
      </c>
      <c r="G251" s="1">
        <v>45830</v>
      </c>
      <c r="H251" s="1">
        <v>43885</v>
      </c>
      <c r="I251" t="s">
        <v>788</v>
      </c>
      <c r="J251" t="s">
        <v>49</v>
      </c>
      <c r="K251">
        <v>1</v>
      </c>
      <c r="L251" t="s">
        <v>27</v>
      </c>
      <c r="M251" s="1">
        <f t="shared" ca="1" si="6"/>
        <v>46204</v>
      </c>
      <c r="N251">
        <f t="shared" ca="1" si="7"/>
        <v>1</v>
      </c>
    </row>
    <row r="252" spans="1:14" x14ac:dyDescent="0.3">
      <c r="A252" t="s">
        <v>789</v>
      </c>
      <c r="B252" t="s">
        <v>790</v>
      </c>
      <c r="C252" t="s">
        <v>15</v>
      </c>
      <c r="D252" t="s">
        <v>35</v>
      </c>
      <c r="E252" t="s">
        <v>30</v>
      </c>
      <c r="F252">
        <v>39.119999999999997</v>
      </c>
      <c r="G252" s="1">
        <v>45937</v>
      </c>
      <c r="H252" s="1">
        <v>45384</v>
      </c>
      <c r="I252" t="s">
        <v>791</v>
      </c>
      <c r="J252" t="s">
        <v>75</v>
      </c>
      <c r="K252">
        <v>1</v>
      </c>
      <c r="L252" t="s">
        <v>20</v>
      </c>
      <c r="M252" s="1">
        <f t="shared" ca="1" si="6"/>
        <v>46204</v>
      </c>
      <c r="N252">
        <f t="shared" ca="1" si="7"/>
        <v>1</v>
      </c>
    </row>
    <row r="253" spans="1:14" x14ac:dyDescent="0.3">
      <c r="A253" t="s">
        <v>792</v>
      </c>
      <c r="B253" t="s">
        <v>793</v>
      </c>
      <c r="C253" t="s">
        <v>64</v>
      </c>
      <c r="D253" t="s">
        <v>40</v>
      </c>
      <c r="E253" t="s">
        <v>30</v>
      </c>
      <c r="F253">
        <v>12.91</v>
      </c>
      <c r="G253" s="1">
        <v>45822</v>
      </c>
      <c r="H253" s="1">
        <v>44262</v>
      </c>
      <c r="I253" t="s">
        <v>794</v>
      </c>
      <c r="J253" t="s">
        <v>37</v>
      </c>
      <c r="K253">
        <v>5</v>
      </c>
      <c r="L253" t="s">
        <v>20</v>
      </c>
      <c r="M253" s="1">
        <f t="shared" ca="1" si="6"/>
        <v>46204</v>
      </c>
      <c r="N253">
        <f t="shared" ca="1" si="7"/>
        <v>1</v>
      </c>
    </row>
    <row r="254" spans="1:14" x14ac:dyDescent="0.3">
      <c r="A254" t="s">
        <v>795</v>
      </c>
      <c r="B254" t="s">
        <v>796</v>
      </c>
      <c r="C254" t="s">
        <v>15</v>
      </c>
      <c r="D254" t="s">
        <v>73</v>
      </c>
      <c r="E254" t="s">
        <v>17</v>
      </c>
      <c r="F254">
        <v>9.1300000000000008</v>
      </c>
      <c r="G254" s="1">
        <v>45863</v>
      </c>
      <c r="H254" s="1">
        <v>43700</v>
      </c>
      <c r="I254" t="s">
        <v>797</v>
      </c>
      <c r="J254" t="s">
        <v>26</v>
      </c>
      <c r="K254">
        <v>1</v>
      </c>
      <c r="L254" t="s">
        <v>27</v>
      </c>
      <c r="M254" s="1">
        <f t="shared" ca="1" si="6"/>
        <v>46204</v>
      </c>
      <c r="N254">
        <f t="shared" ca="1" si="7"/>
        <v>1</v>
      </c>
    </row>
    <row r="255" spans="1:14" x14ac:dyDescent="0.3">
      <c r="A255" t="s">
        <v>798</v>
      </c>
      <c r="B255" t="s">
        <v>799</v>
      </c>
      <c r="C255" t="s">
        <v>15</v>
      </c>
      <c r="D255" t="s">
        <v>16</v>
      </c>
      <c r="E255" t="s">
        <v>52</v>
      </c>
      <c r="F255">
        <v>28.82</v>
      </c>
      <c r="G255" s="1">
        <v>45961</v>
      </c>
      <c r="H255" s="1">
        <v>43596</v>
      </c>
      <c r="I255" t="s">
        <v>800</v>
      </c>
      <c r="J255" t="s">
        <v>49</v>
      </c>
      <c r="K255">
        <v>2</v>
      </c>
      <c r="L255" t="s">
        <v>27</v>
      </c>
      <c r="M255" s="1">
        <f t="shared" ca="1" si="6"/>
        <v>46204</v>
      </c>
      <c r="N255">
        <f t="shared" ca="1" si="7"/>
        <v>1</v>
      </c>
    </row>
    <row r="256" spans="1:14" x14ac:dyDescent="0.3">
      <c r="A256" t="s">
        <v>801</v>
      </c>
      <c r="B256" t="s">
        <v>802</v>
      </c>
      <c r="C256" t="s">
        <v>124</v>
      </c>
      <c r="D256" t="s">
        <v>35</v>
      </c>
      <c r="E256" t="s">
        <v>52</v>
      </c>
      <c r="F256">
        <v>14.18</v>
      </c>
      <c r="G256" s="1">
        <v>45893</v>
      </c>
      <c r="H256" s="1">
        <v>44660</v>
      </c>
      <c r="I256" t="s">
        <v>803</v>
      </c>
      <c r="J256" t="s">
        <v>37</v>
      </c>
      <c r="K256">
        <v>1</v>
      </c>
      <c r="L256" t="s">
        <v>20</v>
      </c>
      <c r="M256" s="1">
        <f t="shared" ca="1" si="6"/>
        <v>46204</v>
      </c>
      <c r="N256">
        <f t="shared" ca="1" si="7"/>
        <v>1</v>
      </c>
    </row>
    <row r="257" spans="1:14" x14ac:dyDescent="0.3">
      <c r="A257" t="s">
        <v>804</v>
      </c>
      <c r="B257" t="s">
        <v>805</v>
      </c>
      <c r="C257" t="s">
        <v>34</v>
      </c>
      <c r="D257" t="s">
        <v>56</v>
      </c>
      <c r="E257" t="s">
        <v>52</v>
      </c>
      <c r="F257">
        <v>1.33</v>
      </c>
      <c r="G257" s="1">
        <v>45907</v>
      </c>
      <c r="H257" s="1">
        <v>43974</v>
      </c>
      <c r="I257" t="s">
        <v>806</v>
      </c>
      <c r="J257" t="s">
        <v>37</v>
      </c>
      <c r="K257">
        <v>1</v>
      </c>
      <c r="L257" t="s">
        <v>27</v>
      </c>
      <c r="M257" s="1">
        <f t="shared" ca="1" si="6"/>
        <v>46204</v>
      </c>
      <c r="N257">
        <f t="shared" ca="1" si="7"/>
        <v>1</v>
      </c>
    </row>
    <row r="258" spans="1:14" x14ac:dyDescent="0.3">
      <c r="A258" t="s">
        <v>807</v>
      </c>
      <c r="B258" t="s">
        <v>808</v>
      </c>
      <c r="C258" t="s">
        <v>34</v>
      </c>
      <c r="D258" t="s">
        <v>35</v>
      </c>
      <c r="E258" t="s">
        <v>24</v>
      </c>
      <c r="F258">
        <v>6.92</v>
      </c>
      <c r="G258" s="1">
        <v>46018</v>
      </c>
      <c r="H258" s="1">
        <v>43308</v>
      </c>
      <c r="I258" t="s">
        <v>809</v>
      </c>
      <c r="J258" t="s">
        <v>94</v>
      </c>
      <c r="K258">
        <v>4</v>
      </c>
      <c r="L258" t="s">
        <v>27</v>
      </c>
      <c r="M258" s="1">
        <f t="shared" ca="1" si="6"/>
        <v>46204</v>
      </c>
      <c r="N258">
        <f t="shared" ca="1" si="7"/>
        <v>1</v>
      </c>
    </row>
    <row r="259" spans="1:14" x14ac:dyDescent="0.3">
      <c r="A259" t="s">
        <v>810</v>
      </c>
      <c r="B259" t="s">
        <v>811</v>
      </c>
      <c r="C259" t="s">
        <v>34</v>
      </c>
      <c r="D259" t="s">
        <v>56</v>
      </c>
      <c r="E259" t="s">
        <v>30</v>
      </c>
      <c r="F259">
        <v>24.02</v>
      </c>
      <c r="G259" s="1">
        <v>45719</v>
      </c>
      <c r="H259" s="1">
        <v>45093</v>
      </c>
      <c r="I259" t="s">
        <v>812</v>
      </c>
      <c r="J259" t="s">
        <v>37</v>
      </c>
      <c r="K259">
        <v>5</v>
      </c>
      <c r="L259" t="s">
        <v>20</v>
      </c>
      <c r="M259" s="1">
        <f t="shared" ref="M259:M322" ca="1" si="8">TODAY()</f>
        <v>46204</v>
      </c>
      <c r="N259">
        <f t="shared" ref="N259:N322" ca="1" si="9">IF(G259&lt;M259,1,0)</f>
        <v>1</v>
      </c>
    </row>
    <row r="260" spans="1:14" x14ac:dyDescent="0.3">
      <c r="A260" t="s">
        <v>813</v>
      </c>
      <c r="B260" t="s">
        <v>814</v>
      </c>
      <c r="C260" t="s">
        <v>60</v>
      </c>
      <c r="D260" t="s">
        <v>69</v>
      </c>
      <c r="E260" t="s">
        <v>30</v>
      </c>
      <c r="F260">
        <v>30.69</v>
      </c>
      <c r="G260" s="1">
        <v>45966</v>
      </c>
      <c r="H260" s="1">
        <v>42742</v>
      </c>
      <c r="I260" t="s">
        <v>815</v>
      </c>
      <c r="J260" t="s">
        <v>26</v>
      </c>
      <c r="K260">
        <v>5</v>
      </c>
      <c r="L260" t="s">
        <v>20</v>
      </c>
      <c r="M260" s="1">
        <f t="shared" ca="1" si="8"/>
        <v>46204</v>
      </c>
      <c r="N260">
        <f t="shared" ca="1" si="9"/>
        <v>1</v>
      </c>
    </row>
    <row r="261" spans="1:14" x14ac:dyDescent="0.3">
      <c r="A261" t="s">
        <v>816</v>
      </c>
      <c r="B261" t="s">
        <v>817</v>
      </c>
      <c r="C261" t="s">
        <v>47</v>
      </c>
      <c r="D261" t="s">
        <v>56</v>
      </c>
      <c r="E261" t="s">
        <v>24</v>
      </c>
      <c r="F261">
        <v>27.42</v>
      </c>
      <c r="G261" s="1">
        <v>45802</v>
      </c>
      <c r="H261" s="1">
        <v>43405</v>
      </c>
      <c r="I261" t="s">
        <v>818</v>
      </c>
      <c r="J261" t="s">
        <v>94</v>
      </c>
      <c r="K261">
        <v>5</v>
      </c>
      <c r="L261" t="s">
        <v>20</v>
      </c>
      <c r="M261" s="1">
        <f t="shared" ca="1" si="8"/>
        <v>46204</v>
      </c>
      <c r="N261">
        <f t="shared" ca="1" si="9"/>
        <v>1</v>
      </c>
    </row>
    <row r="262" spans="1:14" x14ac:dyDescent="0.3">
      <c r="A262" t="s">
        <v>819</v>
      </c>
      <c r="B262" t="s">
        <v>820</v>
      </c>
      <c r="C262" t="s">
        <v>124</v>
      </c>
      <c r="D262" t="s">
        <v>16</v>
      </c>
      <c r="E262" t="s">
        <v>52</v>
      </c>
      <c r="F262">
        <v>25.97</v>
      </c>
      <c r="G262" s="1">
        <v>45849</v>
      </c>
      <c r="H262" s="1">
        <v>45074</v>
      </c>
      <c r="I262" t="s">
        <v>821</v>
      </c>
      <c r="J262" t="s">
        <v>66</v>
      </c>
      <c r="K262">
        <v>3</v>
      </c>
      <c r="L262" t="s">
        <v>20</v>
      </c>
      <c r="M262" s="1">
        <f t="shared" ca="1" si="8"/>
        <v>46204</v>
      </c>
      <c r="N262">
        <f t="shared" ca="1" si="9"/>
        <v>1</v>
      </c>
    </row>
    <row r="263" spans="1:14" x14ac:dyDescent="0.3">
      <c r="A263" t="s">
        <v>822</v>
      </c>
      <c r="B263" t="s">
        <v>691</v>
      </c>
      <c r="C263" t="s">
        <v>124</v>
      </c>
      <c r="D263" t="s">
        <v>40</v>
      </c>
      <c r="E263" t="s">
        <v>24</v>
      </c>
      <c r="F263">
        <v>37.78</v>
      </c>
      <c r="G263" s="1">
        <v>45960</v>
      </c>
      <c r="H263" s="1">
        <v>44551</v>
      </c>
      <c r="I263" t="s">
        <v>823</v>
      </c>
      <c r="J263" t="s">
        <v>75</v>
      </c>
      <c r="K263">
        <v>4</v>
      </c>
      <c r="L263" t="s">
        <v>27</v>
      </c>
      <c r="M263" s="1">
        <f t="shared" ca="1" si="8"/>
        <v>46204</v>
      </c>
      <c r="N263">
        <f t="shared" ca="1" si="9"/>
        <v>1</v>
      </c>
    </row>
    <row r="264" spans="1:14" x14ac:dyDescent="0.3">
      <c r="A264" t="s">
        <v>824</v>
      </c>
      <c r="B264" t="s">
        <v>825</v>
      </c>
      <c r="C264" t="s">
        <v>15</v>
      </c>
      <c r="D264" t="s">
        <v>56</v>
      </c>
      <c r="E264" t="s">
        <v>24</v>
      </c>
      <c r="F264">
        <v>22.79</v>
      </c>
      <c r="G264" s="1">
        <v>46041</v>
      </c>
      <c r="H264" s="1">
        <v>45074</v>
      </c>
      <c r="I264" t="s">
        <v>826</v>
      </c>
      <c r="J264" t="s">
        <v>26</v>
      </c>
      <c r="K264">
        <v>5</v>
      </c>
      <c r="L264" t="s">
        <v>20</v>
      </c>
      <c r="M264" s="1">
        <f t="shared" ca="1" si="8"/>
        <v>46204</v>
      </c>
      <c r="N264">
        <f t="shared" ca="1" si="9"/>
        <v>1</v>
      </c>
    </row>
    <row r="265" spans="1:14" x14ac:dyDescent="0.3">
      <c r="A265" t="s">
        <v>827</v>
      </c>
      <c r="B265" t="s">
        <v>828</v>
      </c>
      <c r="C265" t="s">
        <v>15</v>
      </c>
      <c r="D265" t="s">
        <v>40</v>
      </c>
      <c r="E265" t="s">
        <v>30</v>
      </c>
      <c r="F265">
        <v>18.96</v>
      </c>
      <c r="G265" s="1">
        <v>45707</v>
      </c>
      <c r="H265" s="1">
        <v>44797</v>
      </c>
      <c r="I265" t="s">
        <v>829</v>
      </c>
      <c r="J265" t="s">
        <v>75</v>
      </c>
      <c r="K265">
        <v>5</v>
      </c>
      <c r="L265" t="s">
        <v>20</v>
      </c>
      <c r="M265" s="1">
        <f t="shared" ca="1" si="8"/>
        <v>46204</v>
      </c>
      <c r="N265">
        <f t="shared" ca="1" si="9"/>
        <v>1</v>
      </c>
    </row>
    <row r="266" spans="1:14" x14ac:dyDescent="0.3">
      <c r="A266" t="s">
        <v>830</v>
      </c>
      <c r="B266" t="s">
        <v>831</v>
      </c>
      <c r="C266" t="s">
        <v>34</v>
      </c>
      <c r="D266" t="s">
        <v>73</v>
      </c>
      <c r="E266" t="s">
        <v>24</v>
      </c>
      <c r="F266">
        <v>28.16</v>
      </c>
      <c r="G266" s="1">
        <v>45757</v>
      </c>
      <c r="H266" s="1">
        <v>42712</v>
      </c>
      <c r="I266" t="s">
        <v>832</v>
      </c>
      <c r="J266" t="s">
        <v>19</v>
      </c>
      <c r="K266">
        <v>1</v>
      </c>
      <c r="L266" t="s">
        <v>20</v>
      </c>
      <c r="M266" s="1">
        <f t="shared" ca="1" si="8"/>
        <v>46204</v>
      </c>
      <c r="N266">
        <f t="shared" ca="1" si="9"/>
        <v>1</v>
      </c>
    </row>
    <row r="267" spans="1:14" x14ac:dyDescent="0.3">
      <c r="A267" t="s">
        <v>833</v>
      </c>
      <c r="B267" t="s">
        <v>834</v>
      </c>
      <c r="C267" t="s">
        <v>124</v>
      </c>
      <c r="D267" t="s">
        <v>16</v>
      </c>
      <c r="E267" t="s">
        <v>24</v>
      </c>
      <c r="F267">
        <v>14.43</v>
      </c>
      <c r="G267" s="1">
        <v>45997</v>
      </c>
      <c r="H267" s="1">
        <v>42778</v>
      </c>
      <c r="I267" t="s">
        <v>835</v>
      </c>
      <c r="J267" t="s">
        <v>66</v>
      </c>
      <c r="K267">
        <v>4</v>
      </c>
      <c r="L267" t="s">
        <v>27</v>
      </c>
      <c r="M267" s="1">
        <f t="shared" ca="1" si="8"/>
        <v>46204</v>
      </c>
      <c r="N267">
        <f t="shared" ca="1" si="9"/>
        <v>1</v>
      </c>
    </row>
    <row r="268" spans="1:14" x14ac:dyDescent="0.3">
      <c r="A268" t="s">
        <v>836</v>
      </c>
      <c r="B268" t="s">
        <v>837</v>
      </c>
      <c r="C268" t="s">
        <v>124</v>
      </c>
      <c r="D268" t="s">
        <v>40</v>
      </c>
      <c r="E268" t="s">
        <v>30</v>
      </c>
      <c r="F268">
        <v>28.1</v>
      </c>
      <c r="G268" s="1">
        <v>45831</v>
      </c>
      <c r="H268" s="1">
        <v>45105</v>
      </c>
      <c r="I268" t="s">
        <v>838</v>
      </c>
      <c r="J268" t="s">
        <v>19</v>
      </c>
      <c r="K268">
        <v>2</v>
      </c>
      <c r="L268" t="s">
        <v>20</v>
      </c>
      <c r="M268" s="1">
        <f t="shared" ca="1" si="8"/>
        <v>46204</v>
      </c>
      <c r="N268">
        <f t="shared" ca="1" si="9"/>
        <v>1</v>
      </c>
    </row>
    <row r="269" spans="1:14" x14ac:dyDescent="0.3">
      <c r="A269" t="s">
        <v>839</v>
      </c>
      <c r="B269" t="s">
        <v>840</v>
      </c>
      <c r="C269" t="s">
        <v>60</v>
      </c>
      <c r="D269" t="s">
        <v>73</v>
      </c>
      <c r="E269" t="s">
        <v>30</v>
      </c>
      <c r="F269">
        <v>21.76</v>
      </c>
      <c r="G269" s="1">
        <v>45906</v>
      </c>
      <c r="H269" s="1">
        <v>44736</v>
      </c>
      <c r="I269" t="s">
        <v>841</v>
      </c>
      <c r="J269" t="s">
        <v>75</v>
      </c>
      <c r="K269">
        <v>4</v>
      </c>
      <c r="L269" t="s">
        <v>27</v>
      </c>
      <c r="M269" s="1">
        <f t="shared" ca="1" si="8"/>
        <v>46204</v>
      </c>
      <c r="N269">
        <f t="shared" ca="1" si="9"/>
        <v>1</v>
      </c>
    </row>
    <row r="270" spans="1:14" x14ac:dyDescent="0.3">
      <c r="A270" t="s">
        <v>842</v>
      </c>
      <c r="B270" t="s">
        <v>843</v>
      </c>
      <c r="C270" t="s">
        <v>47</v>
      </c>
      <c r="D270" t="s">
        <v>35</v>
      </c>
      <c r="E270" t="s">
        <v>52</v>
      </c>
      <c r="F270">
        <v>2.72</v>
      </c>
      <c r="G270" s="1">
        <v>46031</v>
      </c>
      <c r="H270" s="1">
        <v>44701</v>
      </c>
      <c r="I270" t="s">
        <v>844</v>
      </c>
      <c r="J270" t="s">
        <v>94</v>
      </c>
      <c r="K270">
        <v>3</v>
      </c>
      <c r="L270" t="s">
        <v>20</v>
      </c>
      <c r="M270" s="1">
        <f t="shared" ca="1" si="8"/>
        <v>46204</v>
      </c>
      <c r="N270">
        <f t="shared" ca="1" si="9"/>
        <v>1</v>
      </c>
    </row>
    <row r="271" spans="1:14" x14ac:dyDescent="0.3">
      <c r="A271" t="s">
        <v>845</v>
      </c>
      <c r="B271" t="s">
        <v>846</v>
      </c>
      <c r="C271" t="s">
        <v>64</v>
      </c>
      <c r="D271" t="s">
        <v>16</v>
      </c>
      <c r="E271" t="s">
        <v>30</v>
      </c>
      <c r="F271">
        <v>3.1</v>
      </c>
      <c r="G271" s="1">
        <v>45826</v>
      </c>
      <c r="H271" s="1">
        <v>44335</v>
      </c>
      <c r="I271" t="s">
        <v>847</v>
      </c>
      <c r="J271" t="s">
        <v>66</v>
      </c>
      <c r="K271">
        <v>2</v>
      </c>
      <c r="L271" t="s">
        <v>20</v>
      </c>
      <c r="M271" s="1">
        <f t="shared" ca="1" si="8"/>
        <v>46204</v>
      </c>
      <c r="N271">
        <f t="shared" ca="1" si="9"/>
        <v>1</v>
      </c>
    </row>
    <row r="272" spans="1:14" x14ac:dyDescent="0.3">
      <c r="A272" t="s">
        <v>848</v>
      </c>
      <c r="B272" t="s">
        <v>849</v>
      </c>
      <c r="C272" t="s">
        <v>15</v>
      </c>
      <c r="D272" t="s">
        <v>56</v>
      </c>
      <c r="E272" t="s">
        <v>24</v>
      </c>
      <c r="F272">
        <v>26.07</v>
      </c>
      <c r="G272" s="1">
        <v>45915</v>
      </c>
      <c r="H272" s="1">
        <v>42617</v>
      </c>
      <c r="I272" t="s">
        <v>850</v>
      </c>
      <c r="J272" t="s">
        <v>75</v>
      </c>
      <c r="K272">
        <v>5</v>
      </c>
      <c r="L272" t="s">
        <v>27</v>
      </c>
      <c r="M272" s="1">
        <f t="shared" ca="1" si="8"/>
        <v>46204</v>
      </c>
      <c r="N272">
        <f t="shared" ca="1" si="9"/>
        <v>1</v>
      </c>
    </row>
    <row r="273" spans="1:14" x14ac:dyDescent="0.3">
      <c r="A273" t="s">
        <v>851</v>
      </c>
      <c r="B273" t="s">
        <v>852</v>
      </c>
      <c r="C273" t="s">
        <v>15</v>
      </c>
      <c r="D273" t="s">
        <v>73</v>
      </c>
      <c r="E273" t="s">
        <v>24</v>
      </c>
      <c r="F273">
        <v>20.74</v>
      </c>
      <c r="G273" s="1">
        <v>45855</v>
      </c>
      <c r="H273" s="1">
        <v>44399</v>
      </c>
      <c r="I273" t="s">
        <v>853</v>
      </c>
      <c r="J273" t="s">
        <v>66</v>
      </c>
      <c r="K273">
        <v>5</v>
      </c>
      <c r="L273" t="s">
        <v>20</v>
      </c>
      <c r="M273" s="1">
        <f t="shared" ca="1" si="8"/>
        <v>46204</v>
      </c>
      <c r="N273">
        <f t="shared" ca="1" si="9"/>
        <v>1</v>
      </c>
    </row>
    <row r="274" spans="1:14" x14ac:dyDescent="0.3">
      <c r="A274" t="s">
        <v>854</v>
      </c>
      <c r="B274" t="s">
        <v>855</v>
      </c>
      <c r="C274" t="s">
        <v>15</v>
      </c>
      <c r="D274" t="s">
        <v>16</v>
      </c>
      <c r="E274" t="s">
        <v>17</v>
      </c>
      <c r="F274">
        <v>5.65</v>
      </c>
      <c r="G274" s="1">
        <v>45778</v>
      </c>
      <c r="H274" s="1">
        <v>42982</v>
      </c>
      <c r="I274" t="s">
        <v>856</v>
      </c>
      <c r="J274" t="s">
        <v>94</v>
      </c>
      <c r="K274">
        <v>3</v>
      </c>
      <c r="L274" t="s">
        <v>20</v>
      </c>
      <c r="M274" s="1">
        <f t="shared" ca="1" si="8"/>
        <v>46204</v>
      </c>
      <c r="N274">
        <f t="shared" ca="1" si="9"/>
        <v>1</v>
      </c>
    </row>
    <row r="275" spans="1:14" x14ac:dyDescent="0.3">
      <c r="A275" t="s">
        <v>857</v>
      </c>
      <c r="B275" t="s">
        <v>858</v>
      </c>
      <c r="C275" t="s">
        <v>60</v>
      </c>
      <c r="D275" t="s">
        <v>40</v>
      </c>
      <c r="E275" t="s">
        <v>24</v>
      </c>
      <c r="F275">
        <v>20.65</v>
      </c>
      <c r="G275" s="1">
        <v>46040</v>
      </c>
      <c r="H275" s="1">
        <v>43155</v>
      </c>
      <c r="I275" t="s">
        <v>859</v>
      </c>
      <c r="J275" t="s">
        <v>66</v>
      </c>
      <c r="K275">
        <v>3</v>
      </c>
      <c r="L275" t="s">
        <v>27</v>
      </c>
      <c r="M275" s="1">
        <f t="shared" ca="1" si="8"/>
        <v>46204</v>
      </c>
      <c r="N275">
        <f t="shared" ca="1" si="9"/>
        <v>1</v>
      </c>
    </row>
    <row r="276" spans="1:14" x14ac:dyDescent="0.3">
      <c r="A276" t="s">
        <v>860</v>
      </c>
      <c r="B276" t="s">
        <v>861</v>
      </c>
      <c r="C276" t="s">
        <v>60</v>
      </c>
      <c r="D276" t="s">
        <v>73</v>
      </c>
      <c r="E276" t="s">
        <v>30</v>
      </c>
      <c r="F276">
        <v>20.92</v>
      </c>
      <c r="G276" s="1">
        <v>46027</v>
      </c>
      <c r="H276" s="1">
        <v>42367</v>
      </c>
      <c r="I276" t="s">
        <v>862</v>
      </c>
      <c r="J276" t="s">
        <v>37</v>
      </c>
      <c r="K276">
        <v>3</v>
      </c>
      <c r="L276" t="s">
        <v>20</v>
      </c>
      <c r="M276" s="1">
        <f t="shared" ca="1" si="8"/>
        <v>46204</v>
      </c>
      <c r="N276">
        <f t="shared" ca="1" si="9"/>
        <v>1</v>
      </c>
    </row>
    <row r="277" spans="1:14" x14ac:dyDescent="0.3">
      <c r="A277" t="s">
        <v>863</v>
      </c>
      <c r="B277" t="s">
        <v>864</v>
      </c>
      <c r="C277" t="s">
        <v>34</v>
      </c>
      <c r="D277" t="s">
        <v>73</v>
      </c>
      <c r="E277" t="s">
        <v>52</v>
      </c>
      <c r="F277">
        <v>1.4</v>
      </c>
      <c r="G277" s="1">
        <v>45764</v>
      </c>
      <c r="H277" s="1">
        <v>42476</v>
      </c>
      <c r="I277" t="s">
        <v>865</v>
      </c>
      <c r="J277" t="s">
        <v>37</v>
      </c>
      <c r="K277">
        <v>3</v>
      </c>
      <c r="L277" t="s">
        <v>20</v>
      </c>
      <c r="M277" s="1">
        <f t="shared" ca="1" si="8"/>
        <v>46204</v>
      </c>
      <c r="N277">
        <f t="shared" ca="1" si="9"/>
        <v>1</v>
      </c>
    </row>
    <row r="278" spans="1:14" x14ac:dyDescent="0.3">
      <c r="A278" t="s">
        <v>866</v>
      </c>
      <c r="B278" t="s">
        <v>867</v>
      </c>
      <c r="C278" t="s">
        <v>124</v>
      </c>
      <c r="D278" t="s">
        <v>40</v>
      </c>
      <c r="E278" t="s">
        <v>17</v>
      </c>
      <c r="F278">
        <v>39.770000000000003</v>
      </c>
      <c r="G278" s="1">
        <v>45747</v>
      </c>
      <c r="H278" s="1">
        <v>45494</v>
      </c>
      <c r="I278" t="s">
        <v>868</v>
      </c>
      <c r="J278" t="s">
        <v>75</v>
      </c>
      <c r="K278">
        <v>5</v>
      </c>
      <c r="L278" t="s">
        <v>20</v>
      </c>
      <c r="M278" s="1">
        <f t="shared" ca="1" si="8"/>
        <v>46204</v>
      </c>
      <c r="N278">
        <f t="shared" ca="1" si="9"/>
        <v>1</v>
      </c>
    </row>
    <row r="279" spans="1:14" x14ac:dyDescent="0.3">
      <c r="A279" t="s">
        <v>869</v>
      </c>
      <c r="B279" t="s">
        <v>870</v>
      </c>
      <c r="C279" t="s">
        <v>47</v>
      </c>
      <c r="D279" t="s">
        <v>16</v>
      </c>
      <c r="E279" t="s">
        <v>24</v>
      </c>
      <c r="F279">
        <v>11.92</v>
      </c>
      <c r="G279" s="1">
        <v>45783</v>
      </c>
      <c r="H279" s="1">
        <v>42876</v>
      </c>
      <c r="I279" t="s">
        <v>871</v>
      </c>
      <c r="J279" t="s">
        <v>94</v>
      </c>
      <c r="K279">
        <v>3</v>
      </c>
      <c r="L279" t="s">
        <v>27</v>
      </c>
      <c r="M279" s="1">
        <f t="shared" ca="1" si="8"/>
        <v>46204</v>
      </c>
      <c r="N279">
        <f t="shared" ca="1" si="9"/>
        <v>1</v>
      </c>
    </row>
    <row r="280" spans="1:14" x14ac:dyDescent="0.3">
      <c r="A280" t="s">
        <v>872</v>
      </c>
      <c r="B280" t="s">
        <v>873</v>
      </c>
      <c r="C280" t="s">
        <v>47</v>
      </c>
      <c r="D280" t="s">
        <v>73</v>
      </c>
      <c r="E280" t="s">
        <v>24</v>
      </c>
      <c r="F280">
        <v>38.950000000000003</v>
      </c>
      <c r="G280" s="1">
        <v>45882</v>
      </c>
      <c r="H280" s="1">
        <v>45288</v>
      </c>
      <c r="I280" t="s">
        <v>874</v>
      </c>
      <c r="J280" t="s">
        <v>66</v>
      </c>
      <c r="K280">
        <v>2</v>
      </c>
      <c r="L280" t="s">
        <v>20</v>
      </c>
      <c r="M280" s="1">
        <f t="shared" ca="1" si="8"/>
        <v>46204</v>
      </c>
      <c r="N280">
        <f t="shared" ca="1" si="9"/>
        <v>1</v>
      </c>
    </row>
    <row r="281" spans="1:14" x14ac:dyDescent="0.3">
      <c r="A281" t="s">
        <v>875</v>
      </c>
      <c r="B281" t="s">
        <v>876</v>
      </c>
      <c r="C281" t="s">
        <v>23</v>
      </c>
      <c r="D281" t="s">
        <v>16</v>
      </c>
      <c r="E281" t="s">
        <v>52</v>
      </c>
      <c r="F281">
        <v>1.81</v>
      </c>
      <c r="G281" s="1">
        <v>45743</v>
      </c>
      <c r="H281" s="1">
        <v>45311</v>
      </c>
      <c r="I281" t="s">
        <v>877</v>
      </c>
      <c r="J281" t="s">
        <v>37</v>
      </c>
      <c r="K281">
        <v>3</v>
      </c>
      <c r="L281" t="s">
        <v>20</v>
      </c>
      <c r="M281" s="1">
        <f t="shared" ca="1" si="8"/>
        <v>46204</v>
      </c>
      <c r="N281">
        <f t="shared" ca="1" si="9"/>
        <v>1</v>
      </c>
    </row>
    <row r="282" spans="1:14" x14ac:dyDescent="0.3">
      <c r="A282" t="s">
        <v>878</v>
      </c>
      <c r="B282" t="s">
        <v>879</v>
      </c>
      <c r="C282" t="s">
        <v>64</v>
      </c>
      <c r="D282" t="s">
        <v>35</v>
      </c>
      <c r="E282" t="s">
        <v>17</v>
      </c>
      <c r="F282">
        <v>30.51</v>
      </c>
      <c r="G282" s="1">
        <v>45950</v>
      </c>
      <c r="H282" s="1">
        <v>42671</v>
      </c>
      <c r="I282" t="s">
        <v>880</v>
      </c>
      <c r="J282" t="s">
        <v>66</v>
      </c>
      <c r="K282">
        <v>1</v>
      </c>
      <c r="L282" t="s">
        <v>27</v>
      </c>
      <c r="M282" s="1">
        <f t="shared" ca="1" si="8"/>
        <v>46204</v>
      </c>
      <c r="N282">
        <f t="shared" ca="1" si="9"/>
        <v>1</v>
      </c>
    </row>
    <row r="283" spans="1:14" x14ac:dyDescent="0.3">
      <c r="A283" t="s">
        <v>881</v>
      </c>
      <c r="B283" t="s">
        <v>882</v>
      </c>
      <c r="C283" t="s">
        <v>15</v>
      </c>
      <c r="D283" t="s">
        <v>56</v>
      </c>
      <c r="E283" t="s">
        <v>52</v>
      </c>
      <c r="F283">
        <v>1.18</v>
      </c>
      <c r="G283" s="1">
        <v>45772</v>
      </c>
      <c r="H283" s="1">
        <v>43511</v>
      </c>
      <c r="I283" t="s">
        <v>883</v>
      </c>
      <c r="J283" t="s">
        <v>19</v>
      </c>
      <c r="K283">
        <v>1</v>
      </c>
      <c r="L283" t="s">
        <v>20</v>
      </c>
      <c r="M283" s="1">
        <f t="shared" ca="1" si="8"/>
        <v>46204</v>
      </c>
      <c r="N283">
        <f t="shared" ca="1" si="9"/>
        <v>1</v>
      </c>
    </row>
    <row r="284" spans="1:14" x14ac:dyDescent="0.3">
      <c r="A284" t="s">
        <v>884</v>
      </c>
      <c r="B284" t="s">
        <v>885</v>
      </c>
      <c r="C284" t="s">
        <v>64</v>
      </c>
      <c r="D284" t="s">
        <v>35</v>
      </c>
      <c r="E284" t="s">
        <v>17</v>
      </c>
      <c r="F284">
        <v>3.02</v>
      </c>
      <c r="G284" s="1">
        <v>45951</v>
      </c>
      <c r="H284" s="1">
        <v>42621</v>
      </c>
      <c r="I284" t="s">
        <v>886</v>
      </c>
      <c r="J284" t="s">
        <v>19</v>
      </c>
      <c r="K284">
        <v>5</v>
      </c>
      <c r="L284" t="s">
        <v>27</v>
      </c>
      <c r="M284" s="1">
        <f t="shared" ca="1" si="8"/>
        <v>46204</v>
      </c>
      <c r="N284">
        <f t="shared" ca="1" si="9"/>
        <v>1</v>
      </c>
    </row>
    <row r="285" spans="1:14" x14ac:dyDescent="0.3">
      <c r="A285" t="s">
        <v>887</v>
      </c>
      <c r="B285" t="s">
        <v>888</v>
      </c>
      <c r="C285" t="s">
        <v>15</v>
      </c>
      <c r="D285" t="s">
        <v>16</v>
      </c>
      <c r="E285" t="s">
        <v>24</v>
      </c>
      <c r="F285">
        <v>8.91</v>
      </c>
      <c r="G285" s="1">
        <v>45842</v>
      </c>
      <c r="H285" s="1">
        <v>43901</v>
      </c>
      <c r="I285" t="s">
        <v>889</v>
      </c>
      <c r="J285" t="s">
        <v>49</v>
      </c>
      <c r="K285">
        <v>2</v>
      </c>
      <c r="L285" t="s">
        <v>27</v>
      </c>
      <c r="M285" s="1">
        <f t="shared" ca="1" si="8"/>
        <v>46204</v>
      </c>
      <c r="N285">
        <f t="shared" ca="1" si="9"/>
        <v>1</v>
      </c>
    </row>
    <row r="286" spans="1:14" x14ac:dyDescent="0.3">
      <c r="A286" t="s">
        <v>890</v>
      </c>
      <c r="B286" t="s">
        <v>891</v>
      </c>
      <c r="C286" t="s">
        <v>47</v>
      </c>
      <c r="D286" t="s">
        <v>35</v>
      </c>
      <c r="E286" t="s">
        <v>24</v>
      </c>
      <c r="F286">
        <v>28.79</v>
      </c>
      <c r="G286" s="1">
        <v>46049</v>
      </c>
      <c r="H286" s="1">
        <v>44128</v>
      </c>
      <c r="I286" t="s">
        <v>892</v>
      </c>
      <c r="J286" t="s">
        <v>75</v>
      </c>
      <c r="K286">
        <v>5</v>
      </c>
      <c r="L286" t="s">
        <v>27</v>
      </c>
      <c r="M286" s="1">
        <f t="shared" ca="1" si="8"/>
        <v>46204</v>
      </c>
      <c r="N286">
        <f t="shared" ca="1" si="9"/>
        <v>1</v>
      </c>
    </row>
    <row r="287" spans="1:14" x14ac:dyDescent="0.3">
      <c r="A287" t="s">
        <v>893</v>
      </c>
      <c r="B287" t="s">
        <v>894</v>
      </c>
      <c r="C287" t="s">
        <v>124</v>
      </c>
      <c r="D287" t="s">
        <v>40</v>
      </c>
      <c r="E287" t="s">
        <v>30</v>
      </c>
      <c r="F287">
        <v>29.16</v>
      </c>
      <c r="G287" s="1">
        <v>45816</v>
      </c>
      <c r="H287" s="1">
        <v>43974</v>
      </c>
      <c r="I287" t="s">
        <v>895</v>
      </c>
      <c r="J287" t="s">
        <v>75</v>
      </c>
      <c r="K287">
        <v>1</v>
      </c>
      <c r="L287" t="s">
        <v>20</v>
      </c>
      <c r="M287" s="1">
        <f t="shared" ca="1" si="8"/>
        <v>46204</v>
      </c>
      <c r="N287">
        <f t="shared" ca="1" si="9"/>
        <v>1</v>
      </c>
    </row>
    <row r="288" spans="1:14" x14ac:dyDescent="0.3">
      <c r="A288" t="s">
        <v>896</v>
      </c>
      <c r="B288" t="s">
        <v>897</v>
      </c>
      <c r="C288" t="s">
        <v>64</v>
      </c>
      <c r="D288" t="s">
        <v>56</v>
      </c>
      <c r="E288" t="s">
        <v>17</v>
      </c>
      <c r="F288">
        <v>25.82</v>
      </c>
      <c r="G288" s="1">
        <v>45912</v>
      </c>
      <c r="H288" s="1">
        <v>42881</v>
      </c>
      <c r="I288" t="s">
        <v>898</v>
      </c>
      <c r="J288" t="s">
        <v>75</v>
      </c>
      <c r="K288">
        <v>2</v>
      </c>
      <c r="L288" t="s">
        <v>20</v>
      </c>
      <c r="M288" s="1">
        <f t="shared" ca="1" si="8"/>
        <v>46204</v>
      </c>
      <c r="N288">
        <f t="shared" ca="1" si="9"/>
        <v>1</v>
      </c>
    </row>
    <row r="289" spans="1:14" x14ac:dyDescent="0.3">
      <c r="A289" t="s">
        <v>899</v>
      </c>
      <c r="B289" t="s">
        <v>900</v>
      </c>
      <c r="C289" t="s">
        <v>60</v>
      </c>
      <c r="D289" t="s">
        <v>35</v>
      </c>
      <c r="E289" t="s">
        <v>17</v>
      </c>
      <c r="F289">
        <v>33.57</v>
      </c>
      <c r="G289" s="1">
        <v>45743</v>
      </c>
      <c r="H289" s="1">
        <v>42554</v>
      </c>
      <c r="I289" t="s">
        <v>901</v>
      </c>
      <c r="J289" t="s">
        <v>19</v>
      </c>
      <c r="K289">
        <v>2</v>
      </c>
      <c r="L289" t="s">
        <v>20</v>
      </c>
      <c r="M289" s="1">
        <f t="shared" ca="1" si="8"/>
        <v>46204</v>
      </c>
      <c r="N289">
        <f t="shared" ca="1" si="9"/>
        <v>1</v>
      </c>
    </row>
    <row r="290" spans="1:14" x14ac:dyDescent="0.3">
      <c r="A290" t="s">
        <v>902</v>
      </c>
      <c r="B290" t="s">
        <v>903</v>
      </c>
      <c r="C290" t="s">
        <v>34</v>
      </c>
      <c r="D290" t="s">
        <v>35</v>
      </c>
      <c r="E290" t="s">
        <v>24</v>
      </c>
      <c r="F290">
        <v>30.91</v>
      </c>
      <c r="G290" s="1">
        <v>46024</v>
      </c>
      <c r="H290" s="1">
        <v>42367</v>
      </c>
      <c r="I290" t="s">
        <v>904</v>
      </c>
      <c r="J290" t="s">
        <v>66</v>
      </c>
      <c r="K290">
        <v>2</v>
      </c>
      <c r="L290" t="s">
        <v>20</v>
      </c>
      <c r="M290" s="1">
        <f t="shared" ca="1" si="8"/>
        <v>46204</v>
      </c>
      <c r="N290">
        <f t="shared" ca="1" si="9"/>
        <v>1</v>
      </c>
    </row>
    <row r="291" spans="1:14" x14ac:dyDescent="0.3">
      <c r="A291" t="s">
        <v>905</v>
      </c>
      <c r="B291" t="s">
        <v>906</v>
      </c>
      <c r="C291" t="s">
        <v>23</v>
      </c>
      <c r="D291" t="s">
        <v>73</v>
      </c>
      <c r="E291" t="s">
        <v>30</v>
      </c>
      <c r="F291">
        <v>16.39</v>
      </c>
      <c r="G291" s="1">
        <v>45752</v>
      </c>
      <c r="H291" s="1">
        <v>43816</v>
      </c>
      <c r="I291" t="s">
        <v>907</v>
      </c>
      <c r="J291" t="s">
        <v>26</v>
      </c>
      <c r="K291">
        <v>1</v>
      </c>
      <c r="L291" t="s">
        <v>20</v>
      </c>
      <c r="M291" s="1">
        <f t="shared" ca="1" si="8"/>
        <v>46204</v>
      </c>
      <c r="N291">
        <f t="shared" ca="1" si="9"/>
        <v>1</v>
      </c>
    </row>
    <row r="292" spans="1:14" x14ac:dyDescent="0.3">
      <c r="A292" t="s">
        <v>908</v>
      </c>
      <c r="B292" t="s">
        <v>200</v>
      </c>
      <c r="C292" t="s">
        <v>64</v>
      </c>
      <c r="D292" t="s">
        <v>69</v>
      </c>
      <c r="E292" t="s">
        <v>24</v>
      </c>
      <c r="F292">
        <v>26.69</v>
      </c>
      <c r="G292" s="1">
        <v>45984</v>
      </c>
      <c r="H292" s="1">
        <v>43174</v>
      </c>
      <c r="I292" t="s">
        <v>909</v>
      </c>
      <c r="J292" t="s">
        <v>37</v>
      </c>
      <c r="K292">
        <v>2</v>
      </c>
      <c r="L292" t="s">
        <v>20</v>
      </c>
      <c r="M292" s="1">
        <f t="shared" ca="1" si="8"/>
        <v>46204</v>
      </c>
      <c r="N292">
        <f t="shared" ca="1" si="9"/>
        <v>1</v>
      </c>
    </row>
    <row r="293" spans="1:14" x14ac:dyDescent="0.3">
      <c r="A293" t="s">
        <v>910</v>
      </c>
      <c r="B293" t="s">
        <v>911</v>
      </c>
      <c r="C293" t="s">
        <v>34</v>
      </c>
      <c r="D293" t="s">
        <v>69</v>
      </c>
      <c r="E293" t="s">
        <v>24</v>
      </c>
      <c r="F293">
        <v>23.21</v>
      </c>
      <c r="G293" s="1">
        <v>45946</v>
      </c>
      <c r="H293" s="1">
        <v>44699</v>
      </c>
      <c r="I293" t="s">
        <v>912</v>
      </c>
      <c r="J293" t="s">
        <v>75</v>
      </c>
      <c r="K293">
        <v>1</v>
      </c>
      <c r="L293" t="s">
        <v>20</v>
      </c>
      <c r="M293" s="1">
        <f t="shared" ca="1" si="8"/>
        <v>46204</v>
      </c>
      <c r="N293">
        <f t="shared" ca="1" si="9"/>
        <v>1</v>
      </c>
    </row>
    <row r="294" spans="1:14" x14ac:dyDescent="0.3">
      <c r="A294" t="s">
        <v>913</v>
      </c>
      <c r="B294" t="s">
        <v>914</v>
      </c>
      <c r="C294" t="s">
        <v>60</v>
      </c>
      <c r="D294" t="s">
        <v>56</v>
      </c>
      <c r="E294" t="s">
        <v>17</v>
      </c>
      <c r="F294">
        <v>33.020000000000003</v>
      </c>
      <c r="G294" s="1">
        <v>45880</v>
      </c>
      <c r="H294" s="1">
        <v>45377</v>
      </c>
      <c r="I294" t="s">
        <v>915</v>
      </c>
      <c r="J294" t="s">
        <v>49</v>
      </c>
      <c r="K294">
        <v>1</v>
      </c>
      <c r="L294" t="s">
        <v>20</v>
      </c>
      <c r="M294" s="1">
        <f t="shared" ca="1" si="8"/>
        <v>46204</v>
      </c>
      <c r="N294">
        <f t="shared" ca="1" si="9"/>
        <v>1</v>
      </c>
    </row>
    <row r="295" spans="1:14" x14ac:dyDescent="0.3">
      <c r="A295" t="s">
        <v>916</v>
      </c>
      <c r="B295" t="s">
        <v>917</v>
      </c>
      <c r="C295" t="s">
        <v>124</v>
      </c>
      <c r="D295" t="s">
        <v>35</v>
      </c>
      <c r="E295" t="s">
        <v>24</v>
      </c>
      <c r="F295">
        <v>34.21</v>
      </c>
      <c r="G295" s="1">
        <v>45775</v>
      </c>
      <c r="H295" s="1">
        <v>43174</v>
      </c>
      <c r="I295" t="s">
        <v>918</v>
      </c>
      <c r="J295" t="s">
        <v>49</v>
      </c>
      <c r="K295">
        <v>2</v>
      </c>
      <c r="L295" t="s">
        <v>27</v>
      </c>
      <c r="M295" s="1">
        <f t="shared" ca="1" si="8"/>
        <v>46204</v>
      </c>
      <c r="N295">
        <f t="shared" ca="1" si="9"/>
        <v>1</v>
      </c>
    </row>
    <row r="296" spans="1:14" x14ac:dyDescent="0.3">
      <c r="A296" t="s">
        <v>919</v>
      </c>
      <c r="B296" t="s">
        <v>920</v>
      </c>
      <c r="C296" t="s">
        <v>15</v>
      </c>
      <c r="D296" t="s">
        <v>35</v>
      </c>
      <c r="E296" t="s">
        <v>24</v>
      </c>
      <c r="F296">
        <v>16.27</v>
      </c>
      <c r="G296" s="1">
        <v>45770</v>
      </c>
      <c r="H296" s="1">
        <v>42790</v>
      </c>
      <c r="I296" t="s">
        <v>921</v>
      </c>
      <c r="J296" t="s">
        <v>26</v>
      </c>
      <c r="K296">
        <v>4</v>
      </c>
      <c r="L296" t="s">
        <v>27</v>
      </c>
      <c r="M296" s="1">
        <f t="shared" ca="1" si="8"/>
        <v>46204</v>
      </c>
      <c r="N296">
        <f t="shared" ca="1" si="9"/>
        <v>1</v>
      </c>
    </row>
    <row r="297" spans="1:14" x14ac:dyDescent="0.3">
      <c r="A297" t="s">
        <v>922</v>
      </c>
      <c r="B297" t="s">
        <v>923</v>
      </c>
      <c r="C297" t="s">
        <v>47</v>
      </c>
      <c r="D297" t="s">
        <v>16</v>
      </c>
      <c r="E297" t="s">
        <v>17</v>
      </c>
      <c r="F297">
        <v>38.19</v>
      </c>
      <c r="G297" s="1">
        <v>45833</v>
      </c>
      <c r="H297" s="1">
        <v>43371</v>
      </c>
      <c r="I297" t="s">
        <v>924</v>
      </c>
      <c r="J297" t="s">
        <v>26</v>
      </c>
      <c r="K297">
        <v>4</v>
      </c>
      <c r="L297" t="s">
        <v>27</v>
      </c>
      <c r="M297" s="1">
        <f t="shared" ca="1" si="8"/>
        <v>46204</v>
      </c>
      <c r="N297">
        <f t="shared" ca="1" si="9"/>
        <v>1</v>
      </c>
    </row>
    <row r="298" spans="1:14" x14ac:dyDescent="0.3">
      <c r="A298" t="s">
        <v>925</v>
      </c>
      <c r="B298" t="s">
        <v>926</v>
      </c>
      <c r="C298" t="s">
        <v>64</v>
      </c>
      <c r="D298" t="s">
        <v>69</v>
      </c>
      <c r="E298" t="s">
        <v>17</v>
      </c>
      <c r="F298">
        <v>12</v>
      </c>
      <c r="G298" s="1">
        <v>45771</v>
      </c>
      <c r="H298" s="1">
        <v>44391</v>
      </c>
      <c r="I298" t="s">
        <v>927</v>
      </c>
      <c r="J298" t="s">
        <v>94</v>
      </c>
      <c r="K298">
        <v>3</v>
      </c>
      <c r="L298" t="s">
        <v>20</v>
      </c>
      <c r="M298" s="1">
        <f t="shared" ca="1" si="8"/>
        <v>46204</v>
      </c>
      <c r="N298">
        <f t="shared" ca="1" si="9"/>
        <v>1</v>
      </c>
    </row>
    <row r="299" spans="1:14" x14ac:dyDescent="0.3">
      <c r="A299" t="s">
        <v>928</v>
      </c>
      <c r="B299" t="s">
        <v>929</v>
      </c>
      <c r="C299" t="s">
        <v>15</v>
      </c>
      <c r="D299" t="s">
        <v>40</v>
      </c>
      <c r="E299" t="s">
        <v>17</v>
      </c>
      <c r="F299">
        <v>21.12</v>
      </c>
      <c r="G299" s="1">
        <v>45856</v>
      </c>
      <c r="H299" s="1">
        <v>43359</v>
      </c>
      <c r="I299" t="s">
        <v>930</v>
      </c>
      <c r="J299" t="s">
        <v>26</v>
      </c>
      <c r="K299">
        <v>1</v>
      </c>
      <c r="L299" t="s">
        <v>27</v>
      </c>
      <c r="M299" s="1">
        <f t="shared" ca="1" si="8"/>
        <v>46204</v>
      </c>
      <c r="N299">
        <f t="shared" ca="1" si="9"/>
        <v>1</v>
      </c>
    </row>
    <row r="300" spans="1:14" x14ac:dyDescent="0.3">
      <c r="A300" t="s">
        <v>931</v>
      </c>
      <c r="B300" t="s">
        <v>932</v>
      </c>
      <c r="C300" t="s">
        <v>60</v>
      </c>
      <c r="D300" t="s">
        <v>56</v>
      </c>
      <c r="E300" t="s">
        <v>24</v>
      </c>
      <c r="F300">
        <v>39.799999999999997</v>
      </c>
      <c r="G300" s="1">
        <v>45709</v>
      </c>
      <c r="H300" s="1">
        <v>45224</v>
      </c>
      <c r="I300" t="s">
        <v>933</v>
      </c>
      <c r="J300" t="s">
        <v>75</v>
      </c>
      <c r="K300">
        <v>4</v>
      </c>
      <c r="L300" t="s">
        <v>20</v>
      </c>
      <c r="M300" s="1">
        <f t="shared" ca="1" si="8"/>
        <v>46204</v>
      </c>
      <c r="N300">
        <f t="shared" ca="1" si="9"/>
        <v>1</v>
      </c>
    </row>
    <row r="301" spans="1:14" x14ac:dyDescent="0.3">
      <c r="A301" t="s">
        <v>934</v>
      </c>
      <c r="B301" t="s">
        <v>935</v>
      </c>
      <c r="C301" t="s">
        <v>47</v>
      </c>
      <c r="D301" t="s">
        <v>35</v>
      </c>
      <c r="E301" t="s">
        <v>17</v>
      </c>
      <c r="F301">
        <v>39.61</v>
      </c>
      <c r="G301" s="1">
        <v>45933</v>
      </c>
      <c r="H301" s="1">
        <v>44972</v>
      </c>
      <c r="I301" t="s">
        <v>936</v>
      </c>
      <c r="J301" t="s">
        <v>75</v>
      </c>
      <c r="K301">
        <v>1</v>
      </c>
      <c r="L301" t="s">
        <v>20</v>
      </c>
      <c r="M301" s="1">
        <f t="shared" ca="1" si="8"/>
        <v>46204</v>
      </c>
      <c r="N301">
        <f t="shared" ca="1" si="9"/>
        <v>1</v>
      </c>
    </row>
    <row r="302" spans="1:14" x14ac:dyDescent="0.3">
      <c r="A302" t="s">
        <v>937</v>
      </c>
      <c r="B302" t="s">
        <v>938</v>
      </c>
      <c r="C302" t="s">
        <v>124</v>
      </c>
      <c r="D302" t="s">
        <v>73</v>
      </c>
      <c r="E302" t="s">
        <v>17</v>
      </c>
      <c r="F302">
        <v>7.24</v>
      </c>
      <c r="G302" s="1">
        <v>45938</v>
      </c>
      <c r="H302" s="1">
        <v>44713</v>
      </c>
      <c r="I302" t="s">
        <v>939</v>
      </c>
      <c r="J302" t="s">
        <v>66</v>
      </c>
      <c r="K302">
        <v>1</v>
      </c>
      <c r="L302" t="s">
        <v>27</v>
      </c>
      <c r="M302" s="1">
        <f t="shared" ca="1" si="8"/>
        <v>46204</v>
      </c>
      <c r="N302">
        <f t="shared" ca="1" si="9"/>
        <v>1</v>
      </c>
    </row>
    <row r="303" spans="1:14" x14ac:dyDescent="0.3">
      <c r="A303" t="s">
        <v>940</v>
      </c>
      <c r="B303" t="s">
        <v>941</v>
      </c>
      <c r="C303" t="s">
        <v>34</v>
      </c>
      <c r="D303" t="s">
        <v>16</v>
      </c>
      <c r="E303" t="s">
        <v>52</v>
      </c>
      <c r="F303">
        <v>13.26</v>
      </c>
      <c r="G303" s="1">
        <v>45737</v>
      </c>
      <c r="H303" s="1">
        <v>44252</v>
      </c>
      <c r="I303" t="s">
        <v>942</v>
      </c>
      <c r="J303" t="s">
        <v>26</v>
      </c>
      <c r="K303">
        <v>3</v>
      </c>
      <c r="L303" t="s">
        <v>20</v>
      </c>
      <c r="M303" s="1">
        <f t="shared" ca="1" si="8"/>
        <v>46204</v>
      </c>
      <c r="N303">
        <f t="shared" ca="1" si="9"/>
        <v>1</v>
      </c>
    </row>
    <row r="304" spans="1:14" x14ac:dyDescent="0.3">
      <c r="A304" t="s">
        <v>943</v>
      </c>
      <c r="B304" t="s">
        <v>944</v>
      </c>
      <c r="C304" t="s">
        <v>23</v>
      </c>
      <c r="D304" t="s">
        <v>40</v>
      </c>
      <c r="E304" t="s">
        <v>30</v>
      </c>
      <c r="F304">
        <v>12.67</v>
      </c>
      <c r="G304" s="1">
        <v>45750</v>
      </c>
      <c r="H304" s="1">
        <v>43383</v>
      </c>
      <c r="I304" t="s">
        <v>945</v>
      </c>
      <c r="J304" t="s">
        <v>26</v>
      </c>
      <c r="K304">
        <v>4</v>
      </c>
      <c r="L304" t="s">
        <v>20</v>
      </c>
      <c r="M304" s="1">
        <f t="shared" ca="1" si="8"/>
        <v>46204</v>
      </c>
      <c r="N304">
        <f t="shared" ca="1" si="9"/>
        <v>1</v>
      </c>
    </row>
    <row r="305" spans="1:14" x14ac:dyDescent="0.3">
      <c r="A305" t="s">
        <v>946</v>
      </c>
      <c r="B305" t="s">
        <v>947</v>
      </c>
      <c r="C305" t="s">
        <v>15</v>
      </c>
      <c r="D305" t="s">
        <v>16</v>
      </c>
      <c r="E305" t="s">
        <v>52</v>
      </c>
      <c r="F305">
        <v>11.51</v>
      </c>
      <c r="G305" s="1">
        <v>45878</v>
      </c>
      <c r="H305" s="1">
        <v>43736</v>
      </c>
      <c r="I305" t="s">
        <v>948</v>
      </c>
      <c r="J305" t="s">
        <v>37</v>
      </c>
      <c r="K305">
        <v>4</v>
      </c>
      <c r="L305" t="s">
        <v>20</v>
      </c>
      <c r="M305" s="1">
        <f t="shared" ca="1" si="8"/>
        <v>46204</v>
      </c>
      <c r="N305">
        <f t="shared" ca="1" si="9"/>
        <v>1</v>
      </c>
    </row>
    <row r="306" spans="1:14" x14ac:dyDescent="0.3">
      <c r="A306" t="s">
        <v>949</v>
      </c>
      <c r="B306" t="s">
        <v>950</v>
      </c>
      <c r="C306" t="s">
        <v>60</v>
      </c>
      <c r="D306" t="s">
        <v>16</v>
      </c>
      <c r="E306" t="s">
        <v>52</v>
      </c>
      <c r="F306">
        <v>31.72</v>
      </c>
      <c r="G306" s="1">
        <v>45988</v>
      </c>
      <c r="H306" s="1">
        <v>42512</v>
      </c>
      <c r="I306" t="s">
        <v>951</v>
      </c>
      <c r="J306" t="s">
        <v>49</v>
      </c>
      <c r="K306">
        <v>1</v>
      </c>
      <c r="L306" t="s">
        <v>27</v>
      </c>
      <c r="M306" s="1">
        <f t="shared" ca="1" si="8"/>
        <v>46204</v>
      </c>
      <c r="N306">
        <f t="shared" ca="1" si="9"/>
        <v>1</v>
      </c>
    </row>
    <row r="307" spans="1:14" x14ac:dyDescent="0.3">
      <c r="A307" t="s">
        <v>952</v>
      </c>
      <c r="B307" t="s">
        <v>953</v>
      </c>
      <c r="C307" t="s">
        <v>64</v>
      </c>
      <c r="D307" t="s">
        <v>16</v>
      </c>
      <c r="E307" t="s">
        <v>24</v>
      </c>
      <c r="F307">
        <v>3.85</v>
      </c>
      <c r="G307" s="1">
        <v>45791</v>
      </c>
      <c r="H307" s="1">
        <v>44222</v>
      </c>
      <c r="I307" t="s">
        <v>954</v>
      </c>
      <c r="J307" t="s">
        <v>19</v>
      </c>
      <c r="K307">
        <v>5</v>
      </c>
      <c r="L307" t="s">
        <v>20</v>
      </c>
      <c r="M307" s="1">
        <f t="shared" ca="1" si="8"/>
        <v>46204</v>
      </c>
      <c r="N307">
        <f t="shared" ca="1" si="9"/>
        <v>1</v>
      </c>
    </row>
    <row r="308" spans="1:14" x14ac:dyDescent="0.3">
      <c r="A308" t="s">
        <v>955</v>
      </c>
      <c r="B308" t="s">
        <v>956</v>
      </c>
      <c r="C308" t="s">
        <v>23</v>
      </c>
      <c r="D308" t="s">
        <v>69</v>
      </c>
      <c r="E308" t="s">
        <v>24</v>
      </c>
      <c r="F308">
        <v>25.19</v>
      </c>
      <c r="G308" s="1">
        <v>45986</v>
      </c>
      <c r="H308" s="1">
        <v>43547</v>
      </c>
      <c r="I308" t="s">
        <v>957</v>
      </c>
      <c r="J308" t="s">
        <v>75</v>
      </c>
      <c r="K308">
        <v>1</v>
      </c>
      <c r="L308" t="s">
        <v>27</v>
      </c>
      <c r="M308" s="1">
        <f t="shared" ca="1" si="8"/>
        <v>46204</v>
      </c>
      <c r="N308">
        <f t="shared" ca="1" si="9"/>
        <v>1</v>
      </c>
    </row>
    <row r="309" spans="1:14" x14ac:dyDescent="0.3">
      <c r="A309" t="s">
        <v>958</v>
      </c>
      <c r="B309" t="s">
        <v>959</v>
      </c>
      <c r="C309" t="s">
        <v>15</v>
      </c>
      <c r="D309" t="s">
        <v>73</v>
      </c>
      <c r="E309" t="s">
        <v>17</v>
      </c>
      <c r="F309">
        <v>34.479999999999997</v>
      </c>
      <c r="G309" s="1">
        <v>45791</v>
      </c>
      <c r="H309" s="1">
        <v>44974</v>
      </c>
      <c r="I309" t="s">
        <v>960</v>
      </c>
      <c r="J309" t="s">
        <v>66</v>
      </c>
      <c r="K309">
        <v>5</v>
      </c>
      <c r="L309" t="s">
        <v>20</v>
      </c>
      <c r="M309" s="1">
        <f t="shared" ca="1" si="8"/>
        <v>46204</v>
      </c>
      <c r="N309">
        <f t="shared" ca="1" si="9"/>
        <v>1</v>
      </c>
    </row>
    <row r="310" spans="1:14" x14ac:dyDescent="0.3">
      <c r="A310" t="s">
        <v>961</v>
      </c>
      <c r="B310" t="s">
        <v>962</v>
      </c>
      <c r="C310" t="s">
        <v>64</v>
      </c>
      <c r="D310" t="s">
        <v>40</v>
      </c>
      <c r="E310" t="s">
        <v>30</v>
      </c>
      <c r="F310">
        <v>37</v>
      </c>
      <c r="G310" s="1">
        <v>45843</v>
      </c>
      <c r="H310" s="1">
        <v>44863</v>
      </c>
      <c r="I310" t="s">
        <v>963</v>
      </c>
      <c r="J310" t="s">
        <v>94</v>
      </c>
      <c r="K310">
        <v>2</v>
      </c>
      <c r="L310" t="s">
        <v>20</v>
      </c>
      <c r="M310" s="1">
        <f t="shared" ca="1" si="8"/>
        <v>46204</v>
      </c>
      <c r="N310">
        <f t="shared" ca="1" si="9"/>
        <v>1</v>
      </c>
    </row>
    <row r="311" spans="1:14" x14ac:dyDescent="0.3">
      <c r="A311" t="s">
        <v>964</v>
      </c>
      <c r="B311" t="s">
        <v>965</v>
      </c>
      <c r="C311" t="s">
        <v>60</v>
      </c>
      <c r="D311" t="s">
        <v>16</v>
      </c>
      <c r="E311" t="s">
        <v>24</v>
      </c>
      <c r="F311">
        <v>35.36</v>
      </c>
      <c r="G311" s="1">
        <v>46057</v>
      </c>
      <c r="H311" s="1">
        <v>44252</v>
      </c>
      <c r="I311" t="s">
        <v>966</v>
      </c>
      <c r="J311" t="s">
        <v>37</v>
      </c>
      <c r="K311">
        <v>5</v>
      </c>
      <c r="L311" t="s">
        <v>27</v>
      </c>
      <c r="M311" s="1">
        <f t="shared" ca="1" si="8"/>
        <v>46204</v>
      </c>
      <c r="N311">
        <f t="shared" ca="1" si="9"/>
        <v>1</v>
      </c>
    </row>
    <row r="312" spans="1:14" x14ac:dyDescent="0.3">
      <c r="A312" t="s">
        <v>967</v>
      </c>
      <c r="B312" t="s">
        <v>968</v>
      </c>
      <c r="C312" t="s">
        <v>60</v>
      </c>
      <c r="D312" t="s">
        <v>16</v>
      </c>
      <c r="E312" t="s">
        <v>52</v>
      </c>
      <c r="F312">
        <v>27.59</v>
      </c>
      <c r="G312" s="1">
        <v>45920</v>
      </c>
      <c r="H312" s="1">
        <v>43931</v>
      </c>
      <c r="I312" t="s">
        <v>969</v>
      </c>
      <c r="J312" t="s">
        <v>49</v>
      </c>
      <c r="K312">
        <v>5</v>
      </c>
      <c r="L312" t="s">
        <v>27</v>
      </c>
      <c r="M312" s="1">
        <f t="shared" ca="1" si="8"/>
        <v>46204</v>
      </c>
      <c r="N312">
        <f t="shared" ca="1" si="9"/>
        <v>1</v>
      </c>
    </row>
    <row r="313" spans="1:14" x14ac:dyDescent="0.3">
      <c r="A313" t="s">
        <v>970</v>
      </c>
      <c r="B313" t="s">
        <v>971</v>
      </c>
      <c r="C313" t="s">
        <v>64</v>
      </c>
      <c r="D313" t="s">
        <v>40</v>
      </c>
      <c r="E313" t="s">
        <v>30</v>
      </c>
      <c r="F313">
        <v>2.13</v>
      </c>
      <c r="G313" s="1">
        <v>45753</v>
      </c>
      <c r="H313" s="1">
        <v>45448</v>
      </c>
      <c r="I313" t="s">
        <v>972</v>
      </c>
      <c r="J313" t="s">
        <v>94</v>
      </c>
      <c r="K313">
        <v>3</v>
      </c>
      <c r="L313" t="s">
        <v>20</v>
      </c>
      <c r="M313" s="1">
        <f t="shared" ca="1" si="8"/>
        <v>46204</v>
      </c>
      <c r="N313">
        <f t="shared" ca="1" si="9"/>
        <v>1</v>
      </c>
    </row>
    <row r="314" spans="1:14" x14ac:dyDescent="0.3">
      <c r="A314" t="s">
        <v>973</v>
      </c>
      <c r="B314" t="s">
        <v>974</v>
      </c>
      <c r="C314" t="s">
        <v>34</v>
      </c>
      <c r="D314" t="s">
        <v>16</v>
      </c>
      <c r="E314" t="s">
        <v>24</v>
      </c>
      <c r="F314">
        <v>17.7</v>
      </c>
      <c r="G314" s="1">
        <v>46067</v>
      </c>
      <c r="H314" s="1">
        <v>43571</v>
      </c>
      <c r="I314" t="s">
        <v>975</v>
      </c>
      <c r="J314" t="s">
        <v>19</v>
      </c>
      <c r="K314">
        <v>1</v>
      </c>
      <c r="L314" t="s">
        <v>27</v>
      </c>
      <c r="M314" s="1">
        <f t="shared" ca="1" si="8"/>
        <v>46204</v>
      </c>
      <c r="N314">
        <f t="shared" ca="1" si="9"/>
        <v>1</v>
      </c>
    </row>
    <row r="315" spans="1:14" x14ac:dyDescent="0.3">
      <c r="A315" t="s">
        <v>976</v>
      </c>
      <c r="B315" t="s">
        <v>977</v>
      </c>
      <c r="C315" t="s">
        <v>64</v>
      </c>
      <c r="D315" t="s">
        <v>40</v>
      </c>
      <c r="E315" t="s">
        <v>24</v>
      </c>
      <c r="F315">
        <v>6.1</v>
      </c>
      <c r="G315" s="1">
        <v>45850</v>
      </c>
      <c r="H315" s="1">
        <v>45272</v>
      </c>
      <c r="I315" t="s">
        <v>978</v>
      </c>
      <c r="J315" t="s">
        <v>49</v>
      </c>
      <c r="K315">
        <v>2</v>
      </c>
      <c r="L315" t="s">
        <v>27</v>
      </c>
      <c r="M315" s="1">
        <f t="shared" ca="1" si="8"/>
        <v>46204</v>
      </c>
      <c r="N315">
        <f t="shared" ca="1" si="9"/>
        <v>1</v>
      </c>
    </row>
    <row r="316" spans="1:14" x14ac:dyDescent="0.3">
      <c r="A316" t="s">
        <v>979</v>
      </c>
      <c r="B316" t="s">
        <v>980</v>
      </c>
      <c r="C316" t="s">
        <v>64</v>
      </c>
      <c r="D316" t="s">
        <v>56</v>
      </c>
      <c r="E316" t="s">
        <v>24</v>
      </c>
      <c r="F316">
        <v>15</v>
      </c>
      <c r="G316" s="1">
        <v>45933</v>
      </c>
      <c r="H316" s="1">
        <v>42372</v>
      </c>
      <c r="I316" t="s">
        <v>981</v>
      </c>
      <c r="J316" t="s">
        <v>94</v>
      </c>
      <c r="K316">
        <v>5</v>
      </c>
      <c r="L316" t="s">
        <v>20</v>
      </c>
      <c r="M316" s="1">
        <f t="shared" ca="1" si="8"/>
        <v>46204</v>
      </c>
      <c r="N316">
        <f t="shared" ca="1" si="9"/>
        <v>1</v>
      </c>
    </row>
    <row r="317" spans="1:14" x14ac:dyDescent="0.3">
      <c r="A317" t="s">
        <v>982</v>
      </c>
      <c r="B317" t="s">
        <v>983</v>
      </c>
      <c r="C317" t="s">
        <v>124</v>
      </c>
      <c r="D317" t="s">
        <v>73</v>
      </c>
      <c r="E317" t="s">
        <v>30</v>
      </c>
      <c r="F317">
        <v>39.270000000000003</v>
      </c>
      <c r="G317" s="1">
        <v>45964</v>
      </c>
      <c r="H317" s="1">
        <v>44037</v>
      </c>
      <c r="I317" t="s">
        <v>984</v>
      </c>
      <c r="J317" t="s">
        <v>26</v>
      </c>
      <c r="K317">
        <v>4</v>
      </c>
      <c r="L317" t="s">
        <v>27</v>
      </c>
      <c r="M317" s="1">
        <f t="shared" ca="1" si="8"/>
        <v>46204</v>
      </c>
      <c r="N317">
        <f t="shared" ca="1" si="9"/>
        <v>1</v>
      </c>
    </row>
    <row r="318" spans="1:14" x14ac:dyDescent="0.3">
      <c r="A318" t="s">
        <v>985</v>
      </c>
      <c r="B318" t="s">
        <v>986</v>
      </c>
      <c r="C318" t="s">
        <v>64</v>
      </c>
      <c r="D318" t="s">
        <v>56</v>
      </c>
      <c r="E318" t="s">
        <v>52</v>
      </c>
      <c r="F318">
        <v>32.340000000000003</v>
      </c>
      <c r="G318" s="1">
        <v>45912</v>
      </c>
      <c r="H318" s="1">
        <v>44908</v>
      </c>
      <c r="I318" t="s">
        <v>987</v>
      </c>
      <c r="J318" t="s">
        <v>94</v>
      </c>
      <c r="K318">
        <v>3</v>
      </c>
      <c r="L318" t="s">
        <v>27</v>
      </c>
      <c r="M318" s="1">
        <f t="shared" ca="1" si="8"/>
        <v>46204</v>
      </c>
      <c r="N318">
        <f t="shared" ca="1" si="9"/>
        <v>1</v>
      </c>
    </row>
    <row r="319" spans="1:14" x14ac:dyDescent="0.3">
      <c r="A319" t="s">
        <v>988</v>
      </c>
      <c r="B319" t="s">
        <v>989</v>
      </c>
      <c r="C319" t="s">
        <v>124</v>
      </c>
      <c r="D319" t="s">
        <v>69</v>
      </c>
      <c r="E319" t="s">
        <v>52</v>
      </c>
      <c r="F319">
        <v>9.4700000000000006</v>
      </c>
      <c r="G319" s="1">
        <v>45758</v>
      </c>
      <c r="H319" s="1">
        <v>43241</v>
      </c>
      <c r="I319" t="s">
        <v>990</v>
      </c>
      <c r="J319" t="s">
        <v>37</v>
      </c>
      <c r="K319">
        <v>5</v>
      </c>
      <c r="L319" t="s">
        <v>20</v>
      </c>
      <c r="M319" s="1">
        <f t="shared" ca="1" si="8"/>
        <v>46204</v>
      </c>
      <c r="N319">
        <f t="shared" ca="1" si="9"/>
        <v>1</v>
      </c>
    </row>
    <row r="320" spans="1:14" x14ac:dyDescent="0.3">
      <c r="A320" t="s">
        <v>991</v>
      </c>
      <c r="B320" t="s">
        <v>992</v>
      </c>
      <c r="C320" t="s">
        <v>15</v>
      </c>
      <c r="D320" t="s">
        <v>56</v>
      </c>
      <c r="E320" t="s">
        <v>30</v>
      </c>
      <c r="F320">
        <v>36.950000000000003</v>
      </c>
      <c r="G320" s="1">
        <v>45938</v>
      </c>
      <c r="H320" s="1">
        <v>44025</v>
      </c>
      <c r="I320" t="s">
        <v>993</v>
      </c>
      <c r="J320" t="s">
        <v>75</v>
      </c>
      <c r="K320">
        <v>5</v>
      </c>
      <c r="L320" t="s">
        <v>20</v>
      </c>
      <c r="M320" s="1">
        <f t="shared" ca="1" si="8"/>
        <v>46204</v>
      </c>
      <c r="N320">
        <f t="shared" ca="1" si="9"/>
        <v>1</v>
      </c>
    </row>
    <row r="321" spans="1:14" x14ac:dyDescent="0.3">
      <c r="A321" t="s">
        <v>994</v>
      </c>
      <c r="B321" t="s">
        <v>995</v>
      </c>
      <c r="C321" t="s">
        <v>124</v>
      </c>
      <c r="D321" t="s">
        <v>73</v>
      </c>
      <c r="E321" t="s">
        <v>17</v>
      </c>
      <c r="F321">
        <v>35.130000000000003</v>
      </c>
      <c r="G321" s="1">
        <v>46065</v>
      </c>
      <c r="H321" s="1">
        <v>45122</v>
      </c>
      <c r="I321" t="s">
        <v>996</v>
      </c>
      <c r="J321" t="s">
        <v>94</v>
      </c>
      <c r="K321">
        <v>5</v>
      </c>
      <c r="L321" t="s">
        <v>20</v>
      </c>
      <c r="M321" s="1">
        <f t="shared" ca="1" si="8"/>
        <v>46204</v>
      </c>
      <c r="N321">
        <f t="shared" ca="1" si="9"/>
        <v>1</v>
      </c>
    </row>
    <row r="322" spans="1:14" x14ac:dyDescent="0.3">
      <c r="A322" t="s">
        <v>997</v>
      </c>
      <c r="B322" t="s">
        <v>998</v>
      </c>
      <c r="C322" t="s">
        <v>47</v>
      </c>
      <c r="D322" t="s">
        <v>16</v>
      </c>
      <c r="E322" t="s">
        <v>30</v>
      </c>
      <c r="F322">
        <v>26.48</v>
      </c>
      <c r="G322" s="1">
        <v>45781</v>
      </c>
      <c r="H322" s="1">
        <v>43755</v>
      </c>
      <c r="I322" t="s">
        <v>999</v>
      </c>
      <c r="J322" t="s">
        <v>94</v>
      </c>
      <c r="K322">
        <v>4</v>
      </c>
      <c r="L322" t="s">
        <v>27</v>
      </c>
      <c r="M322" s="1">
        <f t="shared" ca="1" si="8"/>
        <v>46204</v>
      </c>
      <c r="N322">
        <f t="shared" ca="1" si="9"/>
        <v>1</v>
      </c>
    </row>
    <row r="323" spans="1:14" x14ac:dyDescent="0.3">
      <c r="A323" t="s">
        <v>1000</v>
      </c>
      <c r="B323" t="s">
        <v>1001</v>
      </c>
      <c r="C323" t="s">
        <v>15</v>
      </c>
      <c r="D323" t="s">
        <v>56</v>
      </c>
      <c r="E323" t="s">
        <v>30</v>
      </c>
      <c r="F323">
        <v>15.37</v>
      </c>
      <c r="G323" s="1">
        <v>45957</v>
      </c>
      <c r="H323" s="1">
        <v>43422</v>
      </c>
      <c r="I323" t="s">
        <v>1002</v>
      </c>
      <c r="J323" t="s">
        <v>26</v>
      </c>
      <c r="K323">
        <v>4</v>
      </c>
      <c r="L323" t="s">
        <v>27</v>
      </c>
      <c r="M323" s="1">
        <f t="shared" ref="M323:M386" ca="1" si="10">TODAY()</f>
        <v>46204</v>
      </c>
      <c r="N323">
        <f t="shared" ref="N323:N386" ca="1" si="11">IF(G323&lt;M323,1,0)</f>
        <v>1</v>
      </c>
    </row>
    <row r="324" spans="1:14" x14ac:dyDescent="0.3">
      <c r="A324" t="s">
        <v>1003</v>
      </c>
      <c r="B324" t="s">
        <v>1004</v>
      </c>
      <c r="C324" t="s">
        <v>15</v>
      </c>
      <c r="D324" t="s">
        <v>73</v>
      </c>
      <c r="E324" t="s">
        <v>30</v>
      </c>
      <c r="F324">
        <v>33.19</v>
      </c>
      <c r="G324" s="1">
        <v>45893</v>
      </c>
      <c r="H324" s="1">
        <v>43693</v>
      </c>
      <c r="I324" t="s">
        <v>1005</v>
      </c>
      <c r="J324" t="s">
        <v>37</v>
      </c>
      <c r="K324">
        <v>2</v>
      </c>
      <c r="L324" t="s">
        <v>20</v>
      </c>
      <c r="M324" s="1">
        <f t="shared" ca="1" si="10"/>
        <v>46204</v>
      </c>
      <c r="N324">
        <f t="shared" ca="1" si="11"/>
        <v>1</v>
      </c>
    </row>
    <row r="325" spans="1:14" x14ac:dyDescent="0.3">
      <c r="A325" t="s">
        <v>1006</v>
      </c>
      <c r="B325" t="s">
        <v>1007</v>
      </c>
      <c r="C325" t="s">
        <v>124</v>
      </c>
      <c r="D325" t="s">
        <v>40</v>
      </c>
      <c r="E325" t="s">
        <v>17</v>
      </c>
      <c r="F325">
        <v>14.08</v>
      </c>
      <c r="G325" s="1">
        <v>45732</v>
      </c>
      <c r="H325" s="1">
        <v>43498</v>
      </c>
      <c r="I325" t="s">
        <v>1008</v>
      </c>
      <c r="J325" t="s">
        <v>26</v>
      </c>
      <c r="K325">
        <v>2</v>
      </c>
      <c r="L325" t="s">
        <v>20</v>
      </c>
      <c r="M325" s="1">
        <f t="shared" ca="1" si="10"/>
        <v>46204</v>
      </c>
      <c r="N325">
        <f t="shared" ca="1" si="11"/>
        <v>1</v>
      </c>
    </row>
    <row r="326" spans="1:14" x14ac:dyDescent="0.3">
      <c r="A326" t="s">
        <v>1009</v>
      </c>
      <c r="B326" t="s">
        <v>1010</v>
      </c>
      <c r="C326" t="s">
        <v>124</v>
      </c>
      <c r="D326" t="s">
        <v>16</v>
      </c>
      <c r="E326" t="s">
        <v>17</v>
      </c>
      <c r="F326">
        <v>30.75</v>
      </c>
      <c r="G326" s="1">
        <v>45799</v>
      </c>
      <c r="H326" s="1">
        <v>44847</v>
      </c>
      <c r="I326" t="s">
        <v>1011</v>
      </c>
      <c r="J326" t="s">
        <v>37</v>
      </c>
      <c r="K326">
        <v>5</v>
      </c>
      <c r="L326" t="s">
        <v>20</v>
      </c>
      <c r="M326" s="1">
        <f t="shared" ca="1" si="10"/>
        <v>46204</v>
      </c>
      <c r="N326">
        <f t="shared" ca="1" si="11"/>
        <v>1</v>
      </c>
    </row>
    <row r="327" spans="1:14" x14ac:dyDescent="0.3">
      <c r="A327" t="s">
        <v>1012</v>
      </c>
      <c r="B327" t="s">
        <v>1013</v>
      </c>
      <c r="C327" t="s">
        <v>124</v>
      </c>
      <c r="D327" t="s">
        <v>40</v>
      </c>
      <c r="E327" t="s">
        <v>17</v>
      </c>
      <c r="F327">
        <v>31.15</v>
      </c>
      <c r="G327" s="1">
        <v>45985</v>
      </c>
      <c r="H327" s="1">
        <v>42988</v>
      </c>
      <c r="I327" t="s">
        <v>1014</v>
      </c>
      <c r="J327" t="s">
        <v>19</v>
      </c>
      <c r="K327">
        <v>1</v>
      </c>
      <c r="L327" t="s">
        <v>27</v>
      </c>
      <c r="M327" s="1">
        <f t="shared" ca="1" si="10"/>
        <v>46204</v>
      </c>
      <c r="N327">
        <f t="shared" ca="1" si="11"/>
        <v>1</v>
      </c>
    </row>
    <row r="328" spans="1:14" x14ac:dyDescent="0.3">
      <c r="A328" t="s">
        <v>1015</v>
      </c>
      <c r="B328" t="s">
        <v>1016</v>
      </c>
      <c r="C328" t="s">
        <v>47</v>
      </c>
      <c r="D328" t="s">
        <v>35</v>
      </c>
      <c r="E328" t="s">
        <v>24</v>
      </c>
      <c r="F328">
        <v>8.93</v>
      </c>
      <c r="G328" s="1">
        <v>45723</v>
      </c>
      <c r="H328" s="1">
        <v>42260</v>
      </c>
      <c r="I328" t="s">
        <v>1017</v>
      </c>
      <c r="J328" t="s">
        <v>19</v>
      </c>
      <c r="K328">
        <v>4</v>
      </c>
      <c r="L328" t="s">
        <v>20</v>
      </c>
      <c r="M328" s="1">
        <f t="shared" ca="1" si="10"/>
        <v>46204</v>
      </c>
      <c r="N328">
        <f t="shared" ca="1" si="11"/>
        <v>1</v>
      </c>
    </row>
    <row r="329" spans="1:14" x14ac:dyDescent="0.3">
      <c r="A329" t="s">
        <v>1018</v>
      </c>
      <c r="B329" t="s">
        <v>1019</v>
      </c>
      <c r="C329" t="s">
        <v>60</v>
      </c>
      <c r="D329" t="s">
        <v>56</v>
      </c>
      <c r="E329" t="s">
        <v>52</v>
      </c>
      <c r="F329">
        <v>31.56</v>
      </c>
      <c r="G329" s="1">
        <v>45963</v>
      </c>
      <c r="H329" s="1">
        <v>44776</v>
      </c>
      <c r="I329" t="s">
        <v>1020</v>
      </c>
      <c r="J329" t="s">
        <v>94</v>
      </c>
      <c r="K329">
        <v>5</v>
      </c>
      <c r="L329" t="s">
        <v>20</v>
      </c>
      <c r="M329" s="1">
        <f t="shared" ca="1" si="10"/>
        <v>46204</v>
      </c>
      <c r="N329">
        <f t="shared" ca="1" si="11"/>
        <v>1</v>
      </c>
    </row>
    <row r="330" spans="1:14" x14ac:dyDescent="0.3">
      <c r="A330" t="s">
        <v>1021</v>
      </c>
      <c r="B330" t="s">
        <v>1022</v>
      </c>
      <c r="C330" t="s">
        <v>34</v>
      </c>
      <c r="D330" t="s">
        <v>35</v>
      </c>
      <c r="E330" t="s">
        <v>17</v>
      </c>
      <c r="F330">
        <v>10.1</v>
      </c>
      <c r="G330" s="1">
        <v>46057</v>
      </c>
      <c r="H330" s="1">
        <v>43426</v>
      </c>
      <c r="I330" t="s">
        <v>1023</v>
      </c>
      <c r="J330" t="s">
        <v>37</v>
      </c>
      <c r="K330">
        <v>3</v>
      </c>
      <c r="L330" t="s">
        <v>27</v>
      </c>
      <c r="M330" s="1">
        <f t="shared" ca="1" si="10"/>
        <v>46204</v>
      </c>
      <c r="N330">
        <f t="shared" ca="1" si="11"/>
        <v>1</v>
      </c>
    </row>
    <row r="331" spans="1:14" x14ac:dyDescent="0.3">
      <c r="A331" t="s">
        <v>1024</v>
      </c>
      <c r="B331" t="s">
        <v>1025</v>
      </c>
      <c r="C331" t="s">
        <v>34</v>
      </c>
      <c r="D331" t="s">
        <v>73</v>
      </c>
      <c r="E331" t="s">
        <v>24</v>
      </c>
      <c r="F331">
        <v>29.6</v>
      </c>
      <c r="G331" s="1">
        <v>46009</v>
      </c>
      <c r="H331" s="1">
        <v>43371</v>
      </c>
      <c r="I331" t="s">
        <v>1026</v>
      </c>
      <c r="J331" t="s">
        <v>37</v>
      </c>
      <c r="K331">
        <v>4</v>
      </c>
      <c r="L331" t="s">
        <v>20</v>
      </c>
      <c r="M331" s="1">
        <f t="shared" ca="1" si="10"/>
        <v>46204</v>
      </c>
      <c r="N331">
        <f t="shared" ca="1" si="11"/>
        <v>1</v>
      </c>
    </row>
    <row r="332" spans="1:14" x14ac:dyDescent="0.3">
      <c r="A332" t="s">
        <v>1027</v>
      </c>
      <c r="B332" t="s">
        <v>1028</v>
      </c>
      <c r="C332" t="s">
        <v>23</v>
      </c>
      <c r="D332" t="s">
        <v>16</v>
      </c>
      <c r="E332" t="s">
        <v>17</v>
      </c>
      <c r="F332">
        <v>16.07</v>
      </c>
      <c r="G332" s="1">
        <v>45991</v>
      </c>
      <c r="H332" s="1">
        <v>44840</v>
      </c>
      <c r="I332" t="s">
        <v>1029</v>
      </c>
      <c r="J332" t="s">
        <v>19</v>
      </c>
      <c r="K332">
        <v>2</v>
      </c>
      <c r="L332" t="s">
        <v>27</v>
      </c>
      <c r="M332" s="1">
        <f t="shared" ca="1" si="10"/>
        <v>46204</v>
      </c>
      <c r="N332">
        <f t="shared" ca="1" si="11"/>
        <v>1</v>
      </c>
    </row>
    <row r="333" spans="1:14" x14ac:dyDescent="0.3">
      <c r="A333" t="s">
        <v>1030</v>
      </c>
      <c r="B333" t="s">
        <v>1031</v>
      </c>
      <c r="C333" t="s">
        <v>34</v>
      </c>
      <c r="D333" t="s">
        <v>16</v>
      </c>
      <c r="E333" t="s">
        <v>17</v>
      </c>
      <c r="F333">
        <v>1.5</v>
      </c>
      <c r="G333" s="1">
        <v>45982</v>
      </c>
      <c r="H333" s="1">
        <v>45302</v>
      </c>
      <c r="I333" t="s">
        <v>1032</v>
      </c>
      <c r="J333" t="s">
        <v>19</v>
      </c>
      <c r="K333">
        <v>4</v>
      </c>
      <c r="L333" t="s">
        <v>20</v>
      </c>
      <c r="M333" s="1">
        <f t="shared" ca="1" si="10"/>
        <v>46204</v>
      </c>
      <c r="N333">
        <f t="shared" ca="1" si="11"/>
        <v>1</v>
      </c>
    </row>
    <row r="334" spans="1:14" x14ac:dyDescent="0.3">
      <c r="A334" t="s">
        <v>1033</v>
      </c>
      <c r="B334" t="s">
        <v>1034</v>
      </c>
      <c r="C334" t="s">
        <v>60</v>
      </c>
      <c r="D334" t="s">
        <v>40</v>
      </c>
      <c r="E334" t="s">
        <v>52</v>
      </c>
      <c r="F334">
        <v>6.75</v>
      </c>
      <c r="G334" s="1">
        <v>45827</v>
      </c>
      <c r="H334" s="1">
        <v>42995</v>
      </c>
      <c r="I334" t="s">
        <v>1035</v>
      </c>
      <c r="J334" t="s">
        <v>75</v>
      </c>
      <c r="K334">
        <v>3</v>
      </c>
      <c r="L334" t="s">
        <v>27</v>
      </c>
      <c r="M334" s="1">
        <f t="shared" ca="1" si="10"/>
        <v>46204</v>
      </c>
      <c r="N334">
        <f t="shared" ca="1" si="11"/>
        <v>1</v>
      </c>
    </row>
    <row r="335" spans="1:14" x14ac:dyDescent="0.3">
      <c r="A335" t="s">
        <v>1036</v>
      </c>
      <c r="B335" t="s">
        <v>1037</v>
      </c>
      <c r="C335" t="s">
        <v>47</v>
      </c>
      <c r="D335" t="s">
        <v>40</v>
      </c>
      <c r="E335" t="s">
        <v>30</v>
      </c>
      <c r="F335">
        <v>25.67</v>
      </c>
      <c r="G335" s="1">
        <v>45907</v>
      </c>
      <c r="H335" s="1">
        <v>43400</v>
      </c>
      <c r="I335" t="s">
        <v>1038</v>
      </c>
      <c r="J335" t="s">
        <v>94</v>
      </c>
      <c r="K335">
        <v>1</v>
      </c>
      <c r="L335" t="s">
        <v>20</v>
      </c>
      <c r="M335" s="1">
        <f t="shared" ca="1" si="10"/>
        <v>46204</v>
      </c>
      <c r="N335">
        <f t="shared" ca="1" si="11"/>
        <v>1</v>
      </c>
    </row>
    <row r="336" spans="1:14" x14ac:dyDescent="0.3">
      <c r="A336" t="s">
        <v>1039</v>
      </c>
      <c r="B336" t="s">
        <v>1040</v>
      </c>
      <c r="C336" t="s">
        <v>23</v>
      </c>
      <c r="D336" t="s">
        <v>35</v>
      </c>
      <c r="E336" t="s">
        <v>24</v>
      </c>
      <c r="F336">
        <v>31.78</v>
      </c>
      <c r="G336" s="1">
        <v>45856</v>
      </c>
      <c r="H336" s="1">
        <v>43407</v>
      </c>
      <c r="I336" t="s">
        <v>1041</v>
      </c>
      <c r="J336" t="s">
        <v>75</v>
      </c>
      <c r="K336">
        <v>2</v>
      </c>
      <c r="L336" t="s">
        <v>27</v>
      </c>
      <c r="M336" s="1">
        <f t="shared" ca="1" si="10"/>
        <v>46204</v>
      </c>
      <c r="N336">
        <f t="shared" ca="1" si="11"/>
        <v>1</v>
      </c>
    </row>
    <row r="337" spans="1:14" x14ac:dyDescent="0.3">
      <c r="A337" t="s">
        <v>1042</v>
      </c>
      <c r="B337" t="s">
        <v>1043</v>
      </c>
      <c r="C337" t="s">
        <v>64</v>
      </c>
      <c r="D337" t="s">
        <v>56</v>
      </c>
      <c r="E337" t="s">
        <v>24</v>
      </c>
      <c r="F337">
        <v>29.2</v>
      </c>
      <c r="G337" s="1">
        <v>46031</v>
      </c>
      <c r="H337" s="1">
        <v>43525</v>
      </c>
      <c r="I337" t="s">
        <v>728</v>
      </c>
      <c r="J337" t="s">
        <v>19</v>
      </c>
      <c r="K337">
        <v>2</v>
      </c>
      <c r="L337" t="s">
        <v>27</v>
      </c>
      <c r="M337" s="1">
        <f t="shared" ca="1" si="10"/>
        <v>46204</v>
      </c>
      <c r="N337">
        <f t="shared" ca="1" si="11"/>
        <v>1</v>
      </c>
    </row>
    <row r="338" spans="1:14" x14ac:dyDescent="0.3">
      <c r="A338" t="s">
        <v>1044</v>
      </c>
      <c r="B338" t="s">
        <v>1045</v>
      </c>
      <c r="C338" t="s">
        <v>124</v>
      </c>
      <c r="D338" t="s">
        <v>35</v>
      </c>
      <c r="E338" t="s">
        <v>30</v>
      </c>
      <c r="F338">
        <v>3.57</v>
      </c>
      <c r="G338" s="1">
        <v>45789</v>
      </c>
      <c r="H338" s="1">
        <v>42660</v>
      </c>
      <c r="I338" t="s">
        <v>1046</v>
      </c>
      <c r="J338" t="s">
        <v>75</v>
      </c>
      <c r="K338">
        <v>5</v>
      </c>
      <c r="L338" t="s">
        <v>27</v>
      </c>
      <c r="M338" s="1">
        <f t="shared" ca="1" si="10"/>
        <v>46204</v>
      </c>
      <c r="N338">
        <f t="shared" ca="1" si="11"/>
        <v>1</v>
      </c>
    </row>
    <row r="339" spans="1:14" x14ac:dyDescent="0.3">
      <c r="A339" t="s">
        <v>1047</v>
      </c>
      <c r="B339" t="s">
        <v>1048</v>
      </c>
      <c r="C339" t="s">
        <v>124</v>
      </c>
      <c r="D339" t="s">
        <v>56</v>
      </c>
      <c r="E339" t="s">
        <v>52</v>
      </c>
      <c r="F339">
        <v>10.97</v>
      </c>
      <c r="G339" s="1">
        <v>45792</v>
      </c>
      <c r="H339" s="1">
        <v>43191</v>
      </c>
      <c r="I339" t="s">
        <v>1049</v>
      </c>
      <c r="J339" t="s">
        <v>19</v>
      </c>
      <c r="K339">
        <v>2</v>
      </c>
      <c r="L339" t="s">
        <v>27</v>
      </c>
      <c r="M339" s="1">
        <f t="shared" ca="1" si="10"/>
        <v>46204</v>
      </c>
      <c r="N339">
        <f t="shared" ca="1" si="11"/>
        <v>1</v>
      </c>
    </row>
    <row r="340" spans="1:14" x14ac:dyDescent="0.3">
      <c r="A340" t="s">
        <v>1050</v>
      </c>
      <c r="B340" t="s">
        <v>1051</v>
      </c>
      <c r="C340" t="s">
        <v>23</v>
      </c>
      <c r="D340" t="s">
        <v>40</v>
      </c>
      <c r="E340" t="s">
        <v>24</v>
      </c>
      <c r="F340">
        <v>27.35</v>
      </c>
      <c r="G340" s="1">
        <v>45992</v>
      </c>
      <c r="H340" s="1">
        <v>43027</v>
      </c>
      <c r="I340" t="s">
        <v>1052</v>
      </c>
      <c r="J340" t="s">
        <v>49</v>
      </c>
      <c r="K340">
        <v>1</v>
      </c>
      <c r="L340" t="s">
        <v>27</v>
      </c>
      <c r="M340" s="1">
        <f t="shared" ca="1" si="10"/>
        <v>46204</v>
      </c>
      <c r="N340">
        <f t="shared" ca="1" si="11"/>
        <v>1</v>
      </c>
    </row>
    <row r="341" spans="1:14" x14ac:dyDescent="0.3">
      <c r="A341" t="s">
        <v>1053</v>
      </c>
      <c r="B341" t="s">
        <v>1054</v>
      </c>
      <c r="C341" t="s">
        <v>124</v>
      </c>
      <c r="D341" t="s">
        <v>16</v>
      </c>
      <c r="E341" t="s">
        <v>52</v>
      </c>
      <c r="F341">
        <v>11.44</v>
      </c>
      <c r="G341" s="1">
        <v>45949</v>
      </c>
      <c r="H341" s="1">
        <v>44783</v>
      </c>
      <c r="I341" t="s">
        <v>1055</v>
      </c>
      <c r="J341" t="s">
        <v>75</v>
      </c>
      <c r="K341">
        <v>5</v>
      </c>
      <c r="L341" t="s">
        <v>20</v>
      </c>
      <c r="M341" s="1">
        <f t="shared" ca="1" si="10"/>
        <v>46204</v>
      </c>
      <c r="N341">
        <f t="shared" ca="1" si="11"/>
        <v>1</v>
      </c>
    </row>
    <row r="342" spans="1:14" x14ac:dyDescent="0.3">
      <c r="A342" t="s">
        <v>1056</v>
      </c>
      <c r="B342" t="s">
        <v>1057</v>
      </c>
      <c r="C342" t="s">
        <v>15</v>
      </c>
      <c r="D342" t="s">
        <v>73</v>
      </c>
      <c r="E342" t="s">
        <v>17</v>
      </c>
      <c r="F342">
        <v>30.61</v>
      </c>
      <c r="G342" s="1">
        <v>46000</v>
      </c>
      <c r="H342" s="1">
        <v>43396</v>
      </c>
      <c r="I342" t="s">
        <v>1058</v>
      </c>
      <c r="J342" t="s">
        <v>75</v>
      </c>
      <c r="K342">
        <v>3</v>
      </c>
      <c r="L342" t="s">
        <v>27</v>
      </c>
      <c r="M342" s="1">
        <f t="shared" ca="1" si="10"/>
        <v>46204</v>
      </c>
      <c r="N342">
        <f t="shared" ca="1" si="11"/>
        <v>1</v>
      </c>
    </row>
    <row r="343" spans="1:14" x14ac:dyDescent="0.3">
      <c r="A343" t="s">
        <v>1059</v>
      </c>
      <c r="B343" t="s">
        <v>1060</v>
      </c>
      <c r="C343" t="s">
        <v>34</v>
      </c>
      <c r="D343" t="s">
        <v>40</v>
      </c>
      <c r="E343" t="s">
        <v>52</v>
      </c>
      <c r="F343">
        <v>21.33</v>
      </c>
      <c r="G343" s="1">
        <v>45965</v>
      </c>
      <c r="H343" s="1">
        <v>43550</v>
      </c>
      <c r="I343" t="s">
        <v>1061</v>
      </c>
      <c r="J343" t="s">
        <v>26</v>
      </c>
      <c r="K343">
        <v>1</v>
      </c>
      <c r="L343" t="s">
        <v>20</v>
      </c>
      <c r="M343" s="1">
        <f t="shared" ca="1" si="10"/>
        <v>46204</v>
      </c>
      <c r="N343">
        <f t="shared" ca="1" si="11"/>
        <v>1</v>
      </c>
    </row>
    <row r="344" spans="1:14" x14ac:dyDescent="0.3">
      <c r="A344" t="s">
        <v>1062</v>
      </c>
      <c r="B344" t="s">
        <v>1063</v>
      </c>
      <c r="C344" t="s">
        <v>23</v>
      </c>
      <c r="D344" t="s">
        <v>73</v>
      </c>
      <c r="E344" t="s">
        <v>30</v>
      </c>
      <c r="F344">
        <v>29.87</v>
      </c>
      <c r="G344" s="1">
        <v>45705</v>
      </c>
      <c r="H344" s="1">
        <v>45124</v>
      </c>
      <c r="I344" t="s">
        <v>1064</v>
      </c>
      <c r="J344" t="s">
        <v>26</v>
      </c>
      <c r="K344">
        <v>1</v>
      </c>
      <c r="L344" t="s">
        <v>20</v>
      </c>
      <c r="M344" s="1">
        <f t="shared" ca="1" si="10"/>
        <v>46204</v>
      </c>
      <c r="N344">
        <f t="shared" ca="1" si="11"/>
        <v>1</v>
      </c>
    </row>
    <row r="345" spans="1:14" x14ac:dyDescent="0.3">
      <c r="A345" t="s">
        <v>1065</v>
      </c>
      <c r="B345" t="s">
        <v>1066</v>
      </c>
      <c r="C345" t="s">
        <v>23</v>
      </c>
      <c r="D345" t="s">
        <v>16</v>
      </c>
      <c r="E345" t="s">
        <v>52</v>
      </c>
      <c r="F345">
        <v>4.72</v>
      </c>
      <c r="G345" s="1">
        <v>45724</v>
      </c>
      <c r="H345" s="1">
        <v>44139</v>
      </c>
      <c r="I345" t="s">
        <v>1067</v>
      </c>
      <c r="J345" t="s">
        <v>66</v>
      </c>
      <c r="K345">
        <v>5</v>
      </c>
      <c r="L345" t="s">
        <v>27</v>
      </c>
      <c r="M345" s="1">
        <f t="shared" ca="1" si="10"/>
        <v>46204</v>
      </c>
      <c r="N345">
        <f t="shared" ca="1" si="11"/>
        <v>1</v>
      </c>
    </row>
    <row r="346" spans="1:14" x14ac:dyDescent="0.3">
      <c r="A346" t="s">
        <v>1068</v>
      </c>
      <c r="B346" t="s">
        <v>1069</v>
      </c>
      <c r="C346" t="s">
        <v>64</v>
      </c>
      <c r="D346" t="s">
        <v>16</v>
      </c>
      <c r="E346" t="s">
        <v>30</v>
      </c>
      <c r="F346">
        <v>17.91</v>
      </c>
      <c r="G346" s="1">
        <v>45985</v>
      </c>
      <c r="H346" s="1">
        <v>43477</v>
      </c>
      <c r="I346" t="s">
        <v>1070</v>
      </c>
      <c r="J346" t="s">
        <v>19</v>
      </c>
      <c r="K346">
        <v>4</v>
      </c>
      <c r="L346" t="s">
        <v>27</v>
      </c>
      <c r="M346" s="1">
        <f t="shared" ca="1" si="10"/>
        <v>46204</v>
      </c>
      <c r="N346">
        <f t="shared" ca="1" si="11"/>
        <v>1</v>
      </c>
    </row>
    <row r="347" spans="1:14" x14ac:dyDescent="0.3">
      <c r="A347" t="s">
        <v>1071</v>
      </c>
      <c r="B347" t="s">
        <v>1072</v>
      </c>
      <c r="C347" t="s">
        <v>64</v>
      </c>
      <c r="D347" t="s">
        <v>35</v>
      </c>
      <c r="E347" t="s">
        <v>52</v>
      </c>
      <c r="F347">
        <v>7.3</v>
      </c>
      <c r="G347" s="1">
        <v>45778</v>
      </c>
      <c r="H347" s="1">
        <v>43570</v>
      </c>
      <c r="I347" t="s">
        <v>1073</v>
      </c>
      <c r="J347" t="s">
        <v>66</v>
      </c>
      <c r="K347">
        <v>5</v>
      </c>
      <c r="L347" t="s">
        <v>20</v>
      </c>
      <c r="M347" s="1">
        <f t="shared" ca="1" si="10"/>
        <v>46204</v>
      </c>
      <c r="N347">
        <f t="shared" ca="1" si="11"/>
        <v>1</v>
      </c>
    </row>
    <row r="348" spans="1:14" x14ac:dyDescent="0.3">
      <c r="A348" t="s">
        <v>1074</v>
      </c>
      <c r="B348" t="s">
        <v>1075</v>
      </c>
      <c r="C348" t="s">
        <v>15</v>
      </c>
      <c r="D348" t="s">
        <v>56</v>
      </c>
      <c r="E348" t="s">
        <v>17</v>
      </c>
      <c r="F348">
        <v>7.36</v>
      </c>
      <c r="G348" s="1">
        <v>45929</v>
      </c>
      <c r="H348" s="1">
        <v>42932</v>
      </c>
      <c r="I348" t="s">
        <v>1076</v>
      </c>
      <c r="J348" t="s">
        <v>37</v>
      </c>
      <c r="K348">
        <v>4</v>
      </c>
      <c r="L348" t="s">
        <v>27</v>
      </c>
      <c r="M348" s="1">
        <f t="shared" ca="1" si="10"/>
        <v>46204</v>
      </c>
      <c r="N348">
        <f t="shared" ca="1" si="11"/>
        <v>1</v>
      </c>
    </row>
    <row r="349" spans="1:14" x14ac:dyDescent="0.3">
      <c r="A349" t="s">
        <v>1077</v>
      </c>
      <c r="B349" t="s">
        <v>1078</v>
      </c>
      <c r="C349" t="s">
        <v>124</v>
      </c>
      <c r="D349" t="s">
        <v>69</v>
      </c>
      <c r="E349" t="s">
        <v>52</v>
      </c>
      <c r="F349">
        <v>15.3</v>
      </c>
      <c r="G349" s="1">
        <v>45913</v>
      </c>
      <c r="H349" s="1">
        <v>45224</v>
      </c>
      <c r="I349" t="s">
        <v>1079</v>
      </c>
      <c r="J349" t="s">
        <v>49</v>
      </c>
      <c r="K349">
        <v>1</v>
      </c>
      <c r="L349" t="s">
        <v>27</v>
      </c>
      <c r="M349" s="1">
        <f t="shared" ca="1" si="10"/>
        <v>46204</v>
      </c>
      <c r="N349">
        <f t="shared" ca="1" si="11"/>
        <v>1</v>
      </c>
    </row>
    <row r="350" spans="1:14" x14ac:dyDescent="0.3">
      <c r="A350" t="s">
        <v>1080</v>
      </c>
      <c r="B350" t="s">
        <v>1081</v>
      </c>
      <c r="C350" t="s">
        <v>23</v>
      </c>
      <c r="D350" t="s">
        <v>56</v>
      </c>
      <c r="E350" t="s">
        <v>52</v>
      </c>
      <c r="F350">
        <v>8.9700000000000006</v>
      </c>
      <c r="G350" s="1">
        <v>45882</v>
      </c>
      <c r="H350" s="1">
        <v>44235</v>
      </c>
      <c r="I350" t="s">
        <v>1082</v>
      </c>
      <c r="J350" t="s">
        <v>66</v>
      </c>
      <c r="K350">
        <v>4</v>
      </c>
      <c r="L350" t="s">
        <v>27</v>
      </c>
      <c r="M350" s="1">
        <f t="shared" ca="1" si="10"/>
        <v>46204</v>
      </c>
      <c r="N350">
        <f t="shared" ca="1" si="11"/>
        <v>1</v>
      </c>
    </row>
    <row r="351" spans="1:14" x14ac:dyDescent="0.3">
      <c r="A351" t="s">
        <v>1083</v>
      </c>
      <c r="B351" t="s">
        <v>1084</v>
      </c>
      <c r="C351" t="s">
        <v>34</v>
      </c>
      <c r="D351" t="s">
        <v>35</v>
      </c>
      <c r="E351" t="s">
        <v>24</v>
      </c>
      <c r="F351">
        <v>19.02</v>
      </c>
      <c r="G351" s="1">
        <v>45863</v>
      </c>
      <c r="H351" s="1">
        <v>44977</v>
      </c>
      <c r="I351" t="s">
        <v>1085</v>
      </c>
      <c r="J351" t="s">
        <v>94</v>
      </c>
      <c r="K351">
        <v>5</v>
      </c>
      <c r="L351" t="s">
        <v>20</v>
      </c>
      <c r="M351" s="1">
        <f t="shared" ca="1" si="10"/>
        <v>46204</v>
      </c>
      <c r="N351">
        <f t="shared" ca="1" si="11"/>
        <v>1</v>
      </c>
    </row>
    <row r="352" spans="1:14" x14ac:dyDescent="0.3">
      <c r="A352" t="s">
        <v>1086</v>
      </c>
      <c r="B352" t="s">
        <v>1087</v>
      </c>
      <c r="C352" t="s">
        <v>23</v>
      </c>
      <c r="D352" t="s">
        <v>56</v>
      </c>
      <c r="E352" t="s">
        <v>30</v>
      </c>
      <c r="F352">
        <v>38.549999999999997</v>
      </c>
      <c r="G352" s="1">
        <v>45837</v>
      </c>
      <c r="H352" s="1">
        <v>42878</v>
      </c>
      <c r="I352" t="s">
        <v>1088</v>
      </c>
      <c r="J352" t="s">
        <v>37</v>
      </c>
      <c r="K352">
        <v>3</v>
      </c>
      <c r="L352" t="s">
        <v>20</v>
      </c>
      <c r="M352" s="1">
        <f t="shared" ca="1" si="10"/>
        <v>46204</v>
      </c>
      <c r="N352">
        <f t="shared" ca="1" si="11"/>
        <v>1</v>
      </c>
    </row>
    <row r="353" spans="1:14" x14ac:dyDescent="0.3">
      <c r="A353" t="s">
        <v>1089</v>
      </c>
      <c r="B353" t="s">
        <v>1090</v>
      </c>
      <c r="C353" t="s">
        <v>47</v>
      </c>
      <c r="D353" t="s">
        <v>16</v>
      </c>
      <c r="E353" t="s">
        <v>52</v>
      </c>
      <c r="F353">
        <v>36.72</v>
      </c>
      <c r="G353" s="1">
        <v>46020</v>
      </c>
      <c r="H353" s="1">
        <v>43050</v>
      </c>
      <c r="I353" t="s">
        <v>1091</v>
      </c>
      <c r="J353" t="s">
        <v>37</v>
      </c>
      <c r="K353">
        <v>4</v>
      </c>
      <c r="L353" t="s">
        <v>27</v>
      </c>
      <c r="M353" s="1">
        <f t="shared" ca="1" si="10"/>
        <v>46204</v>
      </c>
      <c r="N353">
        <f t="shared" ca="1" si="11"/>
        <v>1</v>
      </c>
    </row>
    <row r="354" spans="1:14" x14ac:dyDescent="0.3">
      <c r="A354" t="s">
        <v>1092</v>
      </c>
      <c r="B354" t="s">
        <v>1093</v>
      </c>
      <c r="C354" t="s">
        <v>23</v>
      </c>
      <c r="D354" t="s">
        <v>69</v>
      </c>
      <c r="E354" t="s">
        <v>17</v>
      </c>
      <c r="F354">
        <v>33.159999999999997</v>
      </c>
      <c r="G354" s="1">
        <v>45944</v>
      </c>
      <c r="H354" s="1">
        <v>42796</v>
      </c>
      <c r="I354" t="s">
        <v>1094</v>
      </c>
      <c r="J354" t="s">
        <v>66</v>
      </c>
      <c r="K354">
        <v>3</v>
      </c>
      <c r="L354" t="s">
        <v>27</v>
      </c>
      <c r="M354" s="1">
        <f t="shared" ca="1" si="10"/>
        <v>46204</v>
      </c>
      <c r="N354">
        <f t="shared" ca="1" si="11"/>
        <v>1</v>
      </c>
    </row>
    <row r="355" spans="1:14" x14ac:dyDescent="0.3">
      <c r="A355" t="s">
        <v>1095</v>
      </c>
      <c r="B355" t="s">
        <v>1096</v>
      </c>
      <c r="C355" t="s">
        <v>15</v>
      </c>
      <c r="D355" t="s">
        <v>35</v>
      </c>
      <c r="E355" t="s">
        <v>30</v>
      </c>
      <c r="F355">
        <v>35.71</v>
      </c>
      <c r="G355" s="1">
        <v>46010</v>
      </c>
      <c r="H355" s="1">
        <v>42460</v>
      </c>
      <c r="I355" t="s">
        <v>1097</v>
      </c>
      <c r="J355" t="s">
        <v>26</v>
      </c>
      <c r="K355">
        <v>4</v>
      </c>
      <c r="L355" t="s">
        <v>27</v>
      </c>
      <c r="M355" s="1">
        <f t="shared" ca="1" si="10"/>
        <v>46204</v>
      </c>
      <c r="N355">
        <f t="shared" ca="1" si="11"/>
        <v>1</v>
      </c>
    </row>
    <row r="356" spans="1:14" x14ac:dyDescent="0.3">
      <c r="A356" t="s">
        <v>1098</v>
      </c>
      <c r="B356" t="s">
        <v>1099</v>
      </c>
      <c r="C356" t="s">
        <v>47</v>
      </c>
      <c r="D356" t="s">
        <v>40</v>
      </c>
      <c r="E356" t="s">
        <v>24</v>
      </c>
      <c r="F356">
        <v>22.15</v>
      </c>
      <c r="G356" s="1">
        <v>46029</v>
      </c>
      <c r="H356" s="1">
        <v>45465</v>
      </c>
      <c r="I356" t="s">
        <v>1100</v>
      </c>
      <c r="J356" t="s">
        <v>49</v>
      </c>
      <c r="K356">
        <v>4</v>
      </c>
      <c r="L356" t="s">
        <v>20</v>
      </c>
      <c r="M356" s="1">
        <f t="shared" ca="1" si="10"/>
        <v>46204</v>
      </c>
      <c r="N356">
        <f t="shared" ca="1" si="11"/>
        <v>1</v>
      </c>
    </row>
    <row r="357" spans="1:14" x14ac:dyDescent="0.3">
      <c r="A357" t="s">
        <v>1101</v>
      </c>
      <c r="B357" t="s">
        <v>1102</v>
      </c>
      <c r="C357" t="s">
        <v>64</v>
      </c>
      <c r="D357" t="s">
        <v>35</v>
      </c>
      <c r="E357" t="s">
        <v>24</v>
      </c>
      <c r="F357">
        <v>39.49</v>
      </c>
      <c r="G357" s="1">
        <v>45949</v>
      </c>
      <c r="H357" s="1">
        <v>45113</v>
      </c>
      <c r="I357" t="s">
        <v>1103</v>
      </c>
      <c r="J357" t="s">
        <v>26</v>
      </c>
      <c r="K357">
        <v>1</v>
      </c>
      <c r="L357" t="s">
        <v>27</v>
      </c>
      <c r="M357" s="1">
        <f t="shared" ca="1" si="10"/>
        <v>46204</v>
      </c>
      <c r="N357">
        <f t="shared" ca="1" si="11"/>
        <v>1</v>
      </c>
    </row>
    <row r="358" spans="1:14" x14ac:dyDescent="0.3">
      <c r="A358" t="s">
        <v>1104</v>
      </c>
      <c r="B358" t="s">
        <v>1105</v>
      </c>
      <c r="C358" t="s">
        <v>15</v>
      </c>
      <c r="D358" t="s">
        <v>16</v>
      </c>
      <c r="E358" t="s">
        <v>52</v>
      </c>
      <c r="F358">
        <v>12.05</v>
      </c>
      <c r="G358" s="1">
        <v>46060</v>
      </c>
      <c r="H358" s="1">
        <v>43239</v>
      </c>
      <c r="I358" t="s">
        <v>1106</v>
      </c>
      <c r="J358" t="s">
        <v>66</v>
      </c>
      <c r="K358">
        <v>5</v>
      </c>
      <c r="L358" t="s">
        <v>20</v>
      </c>
      <c r="M358" s="1">
        <f t="shared" ca="1" si="10"/>
        <v>46204</v>
      </c>
      <c r="N358">
        <f t="shared" ca="1" si="11"/>
        <v>1</v>
      </c>
    </row>
    <row r="359" spans="1:14" x14ac:dyDescent="0.3">
      <c r="A359" t="s">
        <v>1107</v>
      </c>
      <c r="B359" t="s">
        <v>1108</v>
      </c>
      <c r="C359" t="s">
        <v>60</v>
      </c>
      <c r="D359" t="s">
        <v>35</v>
      </c>
      <c r="E359" t="s">
        <v>52</v>
      </c>
      <c r="F359">
        <v>8.41</v>
      </c>
      <c r="G359" s="1">
        <v>45996</v>
      </c>
      <c r="H359" s="1">
        <v>42815</v>
      </c>
      <c r="I359" t="s">
        <v>1109</v>
      </c>
      <c r="J359" t="s">
        <v>49</v>
      </c>
      <c r="K359">
        <v>5</v>
      </c>
      <c r="L359" t="s">
        <v>20</v>
      </c>
      <c r="M359" s="1">
        <f t="shared" ca="1" si="10"/>
        <v>46204</v>
      </c>
      <c r="N359">
        <f t="shared" ca="1" si="11"/>
        <v>1</v>
      </c>
    </row>
    <row r="360" spans="1:14" x14ac:dyDescent="0.3">
      <c r="A360" t="s">
        <v>1110</v>
      </c>
      <c r="B360" t="s">
        <v>1111</v>
      </c>
      <c r="C360" t="s">
        <v>34</v>
      </c>
      <c r="D360" t="s">
        <v>35</v>
      </c>
      <c r="E360" t="s">
        <v>30</v>
      </c>
      <c r="F360">
        <v>14.75</v>
      </c>
      <c r="G360" s="1">
        <v>45863</v>
      </c>
      <c r="H360" s="1">
        <v>44929</v>
      </c>
      <c r="I360" t="s">
        <v>1112</v>
      </c>
      <c r="J360" t="s">
        <v>19</v>
      </c>
      <c r="K360">
        <v>3</v>
      </c>
      <c r="L360" t="s">
        <v>27</v>
      </c>
      <c r="M360" s="1">
        <f t="shared" ca="1" si="10"/>
        <v>46204</v>
      </c>
      <c r="N360">
        <f t="shared" ca="1" si="11"/>
        <v>1</v>
      </c>
    </row>
    <row r="361" spans="1:14" x14ac:dyDescent="0.3">
      <c r="A361" t="s">
        <v>1113</v>
      </c>
      <c r="B361" t="s">
        <v>1114</v>
      </c>
      <c r="C361" t="s">
        <v>64</v>
      </c>
      <c r="D361" t="s">
        <v>73</v>
      </c>
      <c r="E361" t="s">
        <v>52</v>
      </c>
      <c r="F361">
        <v>8.36</v>
      </c>
      <c r="G361" s="1">
        <v>46038</v>
      </c>
      <c r="H361" s="1">
        <v>43339</v>
      </c>
      <c r="I361" t="s">
        <v>1115</v>
      </c>
      <c r="J361" t="s">
        <v>37</v>
      </c>
      <c r="K361">
        <v>2</v>
      </c>
      <c r="L361" t="s">
        <v>27</v>
      </c>
      <c r="M361" s="1">
        <f t="shared" ca="1" si="10"/>
        <v>46204</v>
      </c>
      <c r="N361">
        <f t="shared" ca="1" si="11"/>
        <v>1</v>
      </c>
    </row>
    <row r="362" spans="1:14" x14ac:dyDescent="0.3">
      <c r="A362" t="s">
        <v>1116</v>
      </c>
      <c r="B362" t="s">
        <v>1117</v>
      </c>
      <c r="C362" t="s">
        <v>15</v>
      </c>
      <c r="D362" t="s">
        <v>35</v>
      </c>
      <c r="E362" t="s">
        <v>52</v>
      </c>
      <c r="F362">
        <v>14.94</v>
      </c>
      <c r="G362" s="1">
        <v>46045</v>
      </c>
      <c r="H362" s="1">
        <v>43373</v>
      </c>
      <c r="I362" t="s">
        <v>1118</v>
      </c>
      <c r="J362" t="s">
        <v>49</v>
      </c>
      <c r="K362">
        <v>2</v>
      </c>
      <c r="L362" t="s">
        <v>27</v>
      </c>
      <c r="M362" s="1">
        <f t="shared" ca="1" si="10"/>
        <v>46204</v>
      </c>
      <c r="N362">
        <f t="shared" ca="1" si="11"/>
        <v>1</v>
      </c>
    </row>
    <row r="363" spans="1:14" x14ac:dyDescent="0.3">
      <c r="A363" t="s">
        <v>1119</v>
      </c>
      <c r="B363" t="s">
        <v>1120</v>
      </c>
      <c r="C363" t="s">
        <v>15</v>
      </c>
      <c r="D363" t="s">
        <v>73</v>
      </c>
      <c r="E363" t="s">
        <v>24</v>
      </c>
      <c r="F363">
        <v>10.59</v>
      </c>
      <c r="G363" s="1">
        <v>45769</v>
      </c>
      <c r="H363" s="1">
        <v>43013</v>
      </c>
      <c r="I363" t="s">
        <v>1121</v>
      </c>
      <c r="J363" t="s">
        <v>19</v>
      </c>
      <c r="K363">
        <v>1</v>
      </c>
      <c r="L363" t="s">
        <v>20</v>
      </c>
      <c r="M363" s="1">
        <f t="shared" ca="1" si="10"/>
        <v>46204</v>
      </c>
      <c r="N363">
        <f t="shared" ca="1" si="11"/>
        <v>1</v>
      </c>
    </row>
    <row r="364" spans="1:14" x14ac:dyDescent="0.3">
      <c r="A364" t="s">
        <v>1122</v>
      </c>
      <c r="B364" t="s">
        <v>1123</v>
      </c>
      <c r="C364" t="s">
        <v>34</v>
      </c>
      <c r="D364" t="s">
        <v>40</v>
      </c>
      <c r="E364" t="s">
        <v>24</v>
      </c>
      <c r="F364">
        <v>30.93</v>
      </c>
      <c r="G364" s="1">
        <v>45930</v>
      </c>
      <c r="H364" s="1">
        <v>43560</v>
      </c>
      <c r="I364" t="s">
        <v>1124</v>
      </c>
      <c r="J364" t="s">
        <v>75</v>
      </c>
      <c r="K364">
        <v>1</v>
      </c>
      <c r="L364" t="s">
        <v>27</v>
      </c>
      <c r="M364" s="1">
        <f t="shared" ca="1" si="10"/>
        <v>46204</v>
      </c>
      <c r="N364">
        <f t="shared" ca="1" si="11"/>
        <v>1</v>
      </c>
    </row>
    <row r="365" spans="1:14" x14ac:dyDescent="0.3">
      <c r="A365" t="s">
        <v>1125</v>
      </c>
      <c r="B365" t="s">
        <v>1126</v>
      </c>
      <c r="C365" t="s">
        <v>124</v>
      </c>
      <c r="D365" t="s">
        <v>16</v>
      </c>
      <c r="E365" t="s">
        <v>17</v>
      </c>
      <c r="F365">
        <v>8.2899999999999991</v>
      </c>
      <c r="G365" s="1">
        <v>45795</v>
      </c>
      <c r="H365" s="1">
        <v>43801</v>
      </c>
      <c r="I365" t="s">
        <v>1127</v>
      </c>
      <c r="J365" t="s">
        <v>26</v>
      </c>
      <c r="K365">
        <v>4</v>
      </c>
      <c r="L365" t="s">
        <v>27</v>
      </c>
      <c r="M365" s="1">
        <f t="shared" ca="1" si="10"/>
        <v>46204</v>
      </c>
      <c r="N365">
        <f t="shared" ca="1" si="11"/>
        <v>1</v>
      </c>
    </row>
    <row r="366" spans="1:14" x14ac:dyDescent="0.3">
      <c r="A366" t="s">
        <v>1128</v>
      </c>
      <c r="B366" t="s">
        <v>1129</v>
      </c>
      <c r="C366" t="s">
        <v>60</v>
      </c>
      <c r="D366" t="s">
        <v>56</v>
      </c>
      <c r="E366" t="s">
        <v>52</v>
      </c>
      <c r="F366">
        <v>4.9400000000000004</v>
      </c>
      <c r="G366" s="1">
        <v>46053</v>
      </c>
      <c r="H366" s="1">
        <v>44097</v>
      </c>
      <c r="I366" t="s">
        <v>1130</v>
      </c>
      <c r="J366" t="s">
        <v>37</v>
      </c>
      <c r="K366">
        <v>3</v>
      </c>
      <c r="L366" t="s">
        <v>27</v>
      </c>
      <c r="M366" s="1">
        <f t="shared" ca="1" si="10"/>
        <v>46204</v>
      </c>
      <c r="N366">
        <f t="shared" ca="1" si="11"/>
        <v>1</v>
      </c>
    </row>
    <row r="367" spans="1:14" x14ac:dyDescent="0.3">
      <c r="A367" t="s">
        <v>1131</v>
      </c>
      <c r="B367" t="s">
        <v>1132</v>
      </c>
      <c r="C367" t="s">
        <v>34</v>
      </c>
      <c r="D367" t="s">
        <v>40</v>
      </c>
      <c r="E367" t="s">
        <v>17</v>
      </c>
      <c r="F367">
        <v>6.92</v>
      </c>
      <c r="G367" s="1">
        <v>45850</v>
      </c>
      <c r="H367" s="1">
        <v>44463</v>
      </c>
      <c r="I367" t="s">
        <v>1133</v>
      </c>
      <c r="J367" t="s">
        <v>26</v>
      </c>
      <c r="K367">
        <v>2</v>
      </c>
      <c r="L367" t="s">
        <v>27</v>
      </c>
      <c r="M367" s="1">
        <f t="shared" ca="1" si="10"/>
        <v>46204</v>
      </c>
      <c r="N367">
        <f t="shared" ca="1" si="11"/>
        <v>1</v>
      </c>
    </row>
    <row r="368" spans="1:14" x14ac:dyDescent="0.3">
      <c r="A368" t="s">
        <v>1134</v>
      </c>
      <c r="B368" t="s">
        <v>1135</v>
      </c>
      <c r="C368" t="s">
        <v>64</v>
      </c>
      <c r="D368" t="s">
        <v>40</v>
      </c>
      <c r="E368" t="s">
        <v>24</v>
      </c>
      <c r="F368">
        <v>32.130000000000003</v>
      </c>
      <c r="G368" s="1">
        <v>45721</v>
      </c>
      <c r="H368" s="1">
        <v>43479</v>
      </c>
      <c r="I368" t="s">
        <v>1136</v>
      </c>
      <c r="J368" t="s">
        <v>19</v>
      </c>
      <c r="K368">
        <v>3</v>
      </c>
      <c r="L368" t="s">
        <v>20</v>
      </c>
      <c r="M368" s="1">
        <f t="shared" ca="1" si="10"/>
        <v>46204</v>
      </c>
      <c r="N368">
        <f t="shared" ca="1" si="11"/>
        <v>1</v>
      </c>
    </row>
    <row r="369" spans="1:14" x14ac:dyDescent="0.3">
      <c r="A369" t="s">
        <v>1137</v>
      </c>
      <c r="B369" t="s">
        <v>1138</v>
      </c>
      <c r="C369" t="s">
        <v>60</v>
      </c>
      <c r="D369" t="s">
        <v>73</v>
      </c>
      <c r="E369" t="s">
        <v>24</v>
      </c>
      <c r="F369">
        <v>35.17</v>
      </c>
      <c r="G369" s="1">
        <v>46047</v>
      </c>
      <c r="H369" s="1">
        <v>45514</v>
      </c>
      <c r="I369" t="s">
        <v>1139</v>
      </c>
      <c r="J369" t="s">
        <v>66</v>
      </c>
      <c r="K369">
        <v>5</v>
      </c>
      <c r="L369" t="s">
        <v>20</v>
      </c>
      <c r="M369" s="1">
        <f t="shared" ca="1" si="10"/>
        <v>46204</v>
      </c>
      <c r="N369">
        <f t="shared" ca="1" si="11"/>
        <v>1</v>
      </c>
    </row>
    <row r="370" spans="1:14" x14ac:dyDescent="0.3">
      <c r="A370" t="s">
        <v>1140</v>
      </c>
      <c r="B370" t="s">
        <v>1141</v>
      </c>
      <c r="C370" t="s">
        <v>124</v>
      </c>
      <c r="D370" t="s">
        <v>16</v>
      </c>
      <c r="E370" t="s">
        <v>52</v>
      </c>
      <c r="F370">
        <v>30.06</v>
      </c>
      <c r="G370" s="1">
        <v>45727</v>
      </c>
      <c r="H370" s="1">
        <v>45200</v>
      </c>
      <c r="I370" t="s">
        <v>1142</v>
      </c>
      <c r="J370" t="s">
        <v>19</v>
      </c>
      <c r="K370">
        <v>2</v>
      </c>
      <c r="L370" t="s">
        <v>20</v>
      </c>
      <c r="M370" s="1">
        <f t="shared" ca="1" si="10"/>
        <v>46204</v>
      </c>
      <c r="N370">
        <f t="shared" ca="1" si="11"/>
        <v>1</v>
      </c>
    </row>
    <row r="371" spans="1:14" x14ac:dyDescent="0.3">
      <c r="A371" t="s">
        <v>1143</v>
      </c>
      <c r="B371" t="s">
        <v>1144</v>
      </c>
      <c r="C371" t="s">
        <v>124</v>
      </c>
      <c r="D371" t="s">
        <v>56</v>
      </c>
      <c r="E371" t="s">
        <v>52</v>
      </c>
      <c r="F371">
        <v>4.8899999999999997</v>
      </c>
      <c r="G371" s="1">
        <v>46031</v>
      </c>
      <c r="H371" s="1">
        <v>44183</v>
      </c>
      <c r="I371" t="s">
        <v>1145</v>
      </c>
      <c r="J371" t="s">
        <v>75</v>
      </c>
      <c r="K371">
        <v>2</v>
      </c>
      <c r="L371" t="s">
        <v>20</v>
      </c>
      <c r="M371" s="1">
        <f t="shared" ca="1" si="10"/>
        <v>46204</v>
      </c>
      <c r="N371">
        <f t="shared" ca="1" si="11"/>
        <v>1</v>
      </c>
    </row>
    <row r="372" spans="1:14" x14ac:dyDescent="0.3">
      <c r="A372" t="s">
        <v>1146</v>
      </c>
      <c r="B372" t="s">
        <v>1147</v>
      </c>
      <c r="C372" t="s">
        <v>15</v>
      </c>
      <c r="D372" t="s">
        <v>56</v>
      </c>
      <c r="E372" t="s">
        <v>52</v>
      </c>
      <c r="F372">
        <v>36.07</v>
      </c>
      <c r="G372" s="1">
        <v>45934</v>
      </c>
      <c r="H372" s="1">
        <v>42722</v>
      </c>
      <c r="I372" t="s">
        <v>1148</v>
      </c>
      <c r="J372" t="s">
        <v>49</v>
      </c>
      <c r="K372">
        <v>3</v>
      </c>
      <c r="L372" t="s">
        <v>20</v>
      </c>
      <c r="M372" s="1">
        <f t="shared" ca="1" si="10"/>
        <v>46204</v>
      </c>
      <c r="N372">
        <f t="shared" ca="1" si="11"/>
        <v>1</v>
      </c>
    </row>
    <row r="373" spans="1:14" x14ac:dyDescent="0.3">
      <c r="A373" t="s">
        <v>1149</v>
      </c>
      <c r="B373" t="s">
        <v>1150</v>
      </c>
      <c r="C373" t="s">
        <v>64</v>
      </c>
      <c r="D373" t="s">
        <v>56</v>
      </c>
      <c r="E373" t="s">
        <v>52</v>
      </c>
      <c r="F373">
        <v>25.42</v>
      </c>
      <c r="G373" s="1">
        <v>45953</v>
      </c>
      <c r="H373" s="1">
        <v>43643</v>
      </c>
      <c r="I373" t="s">
        <v>1151</v>
      </c>
      <c r="J373" t="s">
        <v>75</v>
      </c>
      <c r="K373">
        <v>5</v>
      </c>
      <c r="L373" t="s">
        <v>27</v>
      </c>
      <c r="M373" s="1">
        <f t="shared" ca="1" si="10"/>
        <v>46204</v>
      </c>
      <c r="N373">
        <f t="shared" ca="1" si="11"/>
        <v>1</v>
      </c>
    </row>
    <row r="374" spans="1:14" x14ac:dyDescent="0.3">
      <c r="A374" t="s">
        <v>1152</v>
      </c>
      <c r="B374" t="s">
        <v>1153</v>
      </c>
      <c r="C374" t="s">
        <v>124</v>
      </c>
      <c r="D374" t="s">
        <v>69</v>
      </c>
      <c r="E374" t="s">
        <v>17</v>
      </c>
      <c r="F374">
        <v>14.69</v>
      </c>
      <c r="G374" s="1">
        <v>45803</v>
      </c>
      <c r="H374" s="1">
        <v>45061</v>
      </c>
      <c r="I374" t="s">
        <v>1154</v>
      </c>
      <c r="J374" t="s">
        <v>94</v>
      </c>
      <c r="K374">
        <v>5</v>
      </c>
      <c r="L374" t="s">
        <v>27</v>
      </c>
      <c r="M374" s="1">
        <f t="shared" ca="1" si="10"/>
        <v>46204</v>
      </c>
      <c r="N374">
        <f t="shared" ca="1" si="11"/>
        <v>1</v>
      </c>
    </row>
    <row r="375" spans="1:14" x14ac:dyDescent="0.3">
      <c r="A375" t="s">
        <v>1155</v>
      </c>
      <c r="B375" t="s">
        <v>1156</v>
      </c>
      <c r="C375" t="s">
        <v>34</v>
      </c>
      <c r="D375" t="s">
        <v>69</v>
      </c>
      <c r="E375" t="s">
        <v>17</v>
      </c>
      <c r="F375">
        <v>4.01</v>
      </c>
      <c r="G375" s="1">
        <v>45769</v>
      </c>
      <c r="H375" s="1">
        <v>43032</v>
      </c>
      <c r="I375" t="s">
        <v>1157</v>
      </c>
      <c r="J375" t="s">
        <v>49</v>
      </c>
      <c r="K375">
        <v>2</v>
      </c>
      <c r="L375" t="s">
        <v>20</v>
      </c>
      <c r="M375" s="1">
        <f t="shared" ca="1" si="10"/>
        <v>46204</v>
      </c>
      <c r="N375">
        <f t="shared" ca="1" si="11"/>
        <v>1</v>
      </c>
    </row>
    <row r="376" spans="1:14" x14ac:dyDescent="0.3">
      <c r="A376" t="s">
        <v>1158</v>
      </c>
      <c r="B376" t="s">
        <v>1159</v>
      </c>
      <c r="C376" t="s">
        <v>47</v>
      </c>
      <c r="D376" t="s">
        <v>35</v>
      </c>
      <c r="E376" t="s">
        <v>52</v>
      </c>
      <c r="F376">
        <v>19.09</v>
      </c>
      <c r="G376" s="1">
        <v>45934</v>
      </c>
      <c r="H376" s="1">
        <v>43955</v>
      </c>
      <c r="I376" t="s">
        <v>1160</v>
      </c>
      <c r="J376" t="s">
        <v>75</v>
      </c>
      <c r="K376">
        <v>1</v>
      </c>
      <c r="L376" t="s">
        <v>20</v>
      </c>
      <c r="M376" s="1">
        <f t="shared" ca="1" si="10"/>
        <v>46204</v>
      </c>
      <c r="N376">
        <f t="shared" ca="1" si="11"/>
        <v>1</v>
      </c>
    </row>
    <row r="377" spans="1:14" x14ac:dyDescent="0.3">
      <c r="A377" t="s">
        <v>1161</v>
      </c>
      <c r="B377" t="s">
        <v>1162</v>
      </c>
      <c r="C377" t="s">
        <v>124</v>
      </c>
      <c r="D377" t="s">
        <v>16</v>
      </c>
      <c r="E377" t="s">
        <v>30</v>
      </c>
      <c r="F377">
        <v>33.229999999999997</v>
      </c>
      <c r="G377" s="1">
        <v>45894</v>
      </c>
      <c r="H377" s="1">
        <v>44242</v>
      </c>
      <c r="I377" t="s">
        <v>1163</v>
      </c>
      <c r="J377" t="s">
        <v>37</v>
      </c>
      <c r="K377">
        <v>1</v>
      </c>
      <c r="L377" t="s">
        <v>20</v>
      </c>
      <c r="M377" s="1">
        <f t="shared" ca="1" si="10"/>
        <v>46204</v>
      </c>
      <c r="N377">
        <f t="shared" ca="1" si="11"/>
        <v>1</v>
      </c>
    </row>
    <row r="378" spans="1:14" x14ac:dyDescent="0.3">
      <c r="A378" t="s">
        <v>1164</v>
      </c>
      <c r="B378" t="s">
        <v>1165</v>
      </c>
      <c r="C378" t="s">
        <v>64</v>
      </c>
      <c r="D378" t="s">
        <v>16</v>
      </c>
      <c r="E378" t="s">
        <v>24</v>
      </c>
      <c r="F378">
        <v>13.41</v>
      </c>
      <c r="G378" s="1">
        <v>46035</v>
      </c>
      <c r="H378" s="1">
        <v>45175</v>
      </c>
      <c r="I378" t="s">
        <v>1166</v>
      </c>
      <c r="J378" t="s">
        <v>26</v>
      </c>
      <c r="K378">
        <v>5</v>
      </c>
      <c r="L378" t="s">
        <v>20</v>
      </c>
      <c r="M378" s="1">
        <f t="shared" ca="1" si="10"/>
        <v>46204</v>
      </c>
      <c r="N378">
        <f t="shared" ca="1" si="11"/>
        <v>1</v>
      </c>
    </row>
    <row r="379" spans="1:14" x14ac:dyDescent="0.3">
      <c r="A379" t="s">
        <v>1167</v>
      </c>
      <c r="B379" t="s">
        <v>1168</v>
      </c>
      <c r="C379" t="s">
        <v>15</v>
      </c>
      <c r="D379" t="s">
        <v>35</v>
      </c>
      <c r="E379" t="s">
        <v>17</v>
      </c>
      <c r="F379">
        <v>30.23</v>
      </c>
      <c r="G379" s="1">
        <v>45735</v>
      </c>
      <c r="H379" s="1">
        <v>44597</v>
      </c>
      <c r="I379" t="s">
        <v>1169</v>
      </c>
      <c r="J379" t="s">
        <v>66</v>
      </c>
      <c r="K379">
        <v>5</v>
      </c>
      <c r="L379" t="s">
        <v>20</v>
      </c>
      <c r="M379" s="1">
        <f t="shared" ca="1" si="10"/>
        <v>46204</v>
      </c>
      <c r="N379">
        <f t="shared" ca="1" si="11"/>
        <v>1</v>
      </c>
    </row>
    <row r="380" spans="1:14" x14ac:dyDescent="0.3">
      <c r="A380" t="s">
        <v>1170</v>
      </c>
      <c r="B380" t="s">
        <v>1171</v>
      </c>
      <c r="C380" t="s">
        <v>15</v>
      </c>
      <c r="D380" t="s">
        <v>40</v>
      </c>
      <c r="E380" t="s">
        <v>52</v>
      </c>
      <c r="F380">
        <v>4.24</v>
      </c>
      <c r="G380" s="1">
        <v>46047</v>
      </c>
      <c r="H380" s="1">
        <v>45274</v>
      </c>
      <c r="I380" t="s">
        <v>1172</v>
      </c>
      <c r="J380" t="s">
        <v>75</v>
      </c>
      <c r="K380">
        <v>3</v>
      </c>
      <c r="L380" t="s">
        <v>27</v>
      </c>
      <c r="M380" s="1">
        <f t="shared" ca="1" si="10"/>
        <v>46204</v>
      </c>
      <c r="N380">
        <f t="shared" ca="1" si="11"/>
        <v>1</v>
      </c>
    </row>
    <row r="381" spans="1:14" x14ac:dyDescent="0.3">
      <c r="A381" t="s">
        <v>1173</v>
      </c>
      <c r="B381" t="s">
        <v>1174</v>
      </c>
      <c r="C381" t="s">
        <v>64</v>
      </c>
      <c r="D381" t="s">
        <v>16</v>
      </c>
      <c r="E381" t="s">
        <v>17</v>
      </c>
      <c r="F381">
        <v>24.8</v>
      </c>
      <c r="G381" s="1">
        <v>46056</v>
      </c>
      <c r="H381" s="1">
        <v>43976</v>
      </c>
      <c r="I381" t="s">
        <v>1175</v>
      </c>
      <c r="J381" t="s">
        <v>66</v>
      </c>
      <c r="K381">
        <v>2</v>
      </c>
      <c r="L381" t="s">
        <v>27</v>
      </c>
      <c r="M381" s="1">
        <f t="shared" ca="1" si="10"/>
        <v>46204</v>
      </c>
      <c r="N381">
        <f t="shared" ca="1" si="11"/>
        <v>1</v>
      </c>
    </row>
    <row r="382" spans="1:14" x14ac:dyDescent="0.3">
      <c r="A382" t="s">
        <v>1176</v>
      </c>
      <c r="B382" t="s">
        <v>1177</v>
      </c>
      <c r="C382" t="s">
        <v>64</v>
      </c>
      <c r="D382" t="s">
        <v>56</v>
      </c>
      <c r="E382" t="s">
        <v>30</v>
      </c>
      <c r="F382">
        <v>35.36</v>
      </c>
      <c r="G382" s="1">
        <v>45905</v>
      </c>
      <c r="H382" s="1">
        <v>43072</v>
      </c>
      <c r="I382" t="s">
        <v>1178</v>
      </c>
      <c r="J382" t="s">
        <v>37</v>
      </c>
      <c r="K382">
        <v>1</v>
      </c>
      <c r="L382" t="s">
        <v>20</v>
      </c>
      <c r="M382" s="1">
        <f t="shared" ca="1" si="10"/>
        <v>46204</v>
      </c>
      <c r="N382">
        <f t="shared" ca="1" si="11"/>
        <v>1</v>
      </c>
    </row>
    <row r="383" spans="1:14" x14ac:dyDescent="0.3">
      <c r="A383" t="s">
        <v>1179</v>
      </c>
      <c r="B383" t="s">
        <v>926</v>
      </c>
      <c r="C383" t="s">
        <v>23</v>
      </c>
      <c r="D383" t="s">
        <v>56</v>
      </c>
      <c r="E383" t="s">
        <v>30</v>
      </c>
      <c r="F383">
        <v>39.08</v>
      </c>
      <c r="G383" s="1">
        <v>45760</v>
      </c>
      <c r="H383" s="1">
        <v>44706</v>
      </c>
      <c r="I383" t="s">
        <v>1180</v>
      </c>
      <c r="J383" t="s">
        <v>94</v>
      </c>
      <c r="K383">
        <v>2</v>
      </c>
      <c r="L383" t="s">
        <v>20</v>
      </c>
      <c r="M383" s="1">
        <f t="shared" ca="1" si="10"/>
        <v>46204</v>
      </c>
      <c r="N383">
        <f t="shared" ca="1" si="11"/>
        <v>1</v>
      </c>
    </row>
    <row r="384" spans="1:14" x14ac:dyDescent="0.3">
      <c r="A384" t="s">
        <v>1181</v>
      </c>
      <c r="B384" t="s">
        <v>1182</v>
      </c>
      <c r="C384" t="s">
        <v>47</v>
      </c>
      <c r="D384" t="s">
        <v>56</v>
      </c>
      <c r="E384" t="s">
        <v>30</v>
      </c>
      <c r="F384">
        <v>33.71</v>
      </c>
      <c r="G384" s="1">
        <v>45822</v>
      </c>
      <c r="H384" s="1">
        <v>43439</v>
      </c>
      <c r="I384" t="s">
        <v>1183</v>
      </c>
      <c r="J384" t="s">
        <v>94</v>
      </c>
      <c r="K384">
        <v>1</v>
      </c>
      <c r="L384" t="s">
        <v>27</v>
      </c>
      <c r="M384" s="1">
        <f t="shared" ca="1" si="10"/>
        <v>46204</v>
      </c>
      <c r="N384">
        <f t="shared" ca="1" si="11"/>
        <v>1</v>
      </c>
    </row>
    <row r="385" spans="1:14" x14ac:dyDescent="0.3">
      <c r="A385" t="s">
        <v>1184</v>
      </c>
      <c r="B385" t="s">
        <v>1185</v>
      </c>
      <c r="C385" t="s">
        <v>15</v>
      </c>
      <c r="D385" t="s">
        <v>73</v>
      </c>
      <c r="E385" t="s">
        <v>52</v>
      </c>
      <c r="F385">
        <v>34.229999999999997</v>
      </c>
      <c r="G385" s="1">
        <v>45726</v>
      </c>
      <c r="H385" s="1">
        <v>44843</v>
      </c>
      <c r="I385" t="s">
        <v>1186</v>
      </c>
      <c r="J385" t="s">
        <v>66</v>
      </c>
      <c r="K385">
        <v>2</v>
      </c>
      <c r="L385" t="s">
        <v>20</v>
      </c>
      <c r="M385" s="1">
        <f t="shared" ca="1" si="10"/>
        <v>46204</v>
      </c>
      <c r="N385">
        <f t="shared" ca="1" si="11"/>
        <v>1</v>
      </c>
    </row>
    <row r="386" spans="1:14" x14ac:dyDescent="0.3">
      <c r="A386" t="s">
        <v>1187</v>
      </c>
      <c r="B386" t="s">
        <v>1188</v>
      </c>
      <c r="C386" t="s">
        <v>64</v>
      </c>
      <c r="D386" t="s">
        <v>40</v>
      </c>
      <c r="E386" t="s">
        <v>52</v>
      </c>
      <c r="F386">
        <v>19.96</v>
      </c>
      <c r="G386" s="1">
        <v>45795</v>
      </c>
      <c r="H386" s="1">
        <v>42986</v>
      </c>
      <c r="I386" t="s">
        <v>1189</v>
      </c>
      <c r="J386" t="s">
        <v>66</v>
      </c>
      <c r="K386">
        <v>2</v>
      </c>
      <c r="L386" t="s">
        <v>20</v>
      </c>
      <c r="M386" s="1">
        <f t="shared" ca="1" si="10"/>
        <v>46204</v>
      </c>
      <c r="N386">
        <f t="shared" ca="1" si="11"/>
        <v>1</v>
      </c>
    </row>
    <row r="387" spans="1:14" x14ac:dyDescent="0.3">
      <c r="A387" t="s">
        <v>1190</v>
      </c>
      <c r="B387" t="s">
        <v>1191</v>
      </c>
      <c r="C387" t="s">
        <v>64</v>
      </c>
      <c r="D387" t="s">
        <v>35</v>
      </c>
      <c r="E387" t="s">
        <v>30</v>
      </c>
      <c r="F387">
        <v>21.14</v>
      </c>
      <c r="G387" s="1">
        <v>46063</v>
      </c>
      <c r="H387" s="1">
        <v>43556</v>
      </c>
      <c r="I387" t="s">
        <v>1192</v>
      </c>
      <c r="J387" t="s">
        <v>49</v>
      </c>
      <c r="K387">
        <v>1</v>
      </c>
      <c r="L387" t="s">
        <v>27</v>
      </c>
      <c r="M387" s="1">
        <f t="shared" ref="M387:M450" ca="1" si="12">TODAY()</f>
        <v>46204</v>
      </c>
      <c r="N387">
        <f t="shared" ref="N387:N450" ca="1" si="13">IF(G387&lt;M387,1,0)</f>
        <v>1</v>
      </c>
    </row>
    <row r="388" spans="1:14" x14ac:dyDescent="0.3">
      <c r="A388" t="s">
        <v>1193</v>
      </c>
      <c r="B388" t="s">
        <v>1194</v>
      </c>
      <c r="C388" t="s">
        <v>60</v>
      </c>
      <c r="D388" t="s">
        <v>40</v>
      </c>
      <c r="E388" t="s">
        <v>30</v>
      </c>
      <c r="F388">
        <v>18.93</v>
      </c>
      <c r="G388" s="1">
        <v>46012</v>
      </c>
      <c r="H388" s="1">
        <v>42598</v>
      </c>
      <c r="I388" t="s">
        <v>1195</v>
      </c>
      <c r="J388" t="s">
        <v>66</v>
      </c>
      <c r="K388">
        <v>5</v>
      </c>
      <c r="L388" t="s">
        <v>20</v>
      </c>
      <c r="M388" s="1">
        <f t="shared" ca="1" si="12"/>
        <v>46204</v>
      </c>
      <c r="N388">
        <f t="shared" ca="1" si="13"/>
        <v>1</v>
      </c>
    </row>
    <row r="389" spans="1:14" x14ac:dyDescent="0.3">
      <c r="A389" t="s">
        <v>1196</v>
      </c>
      <c r="B389" t="s">
        <v>1197</v>
      </c>
      <c r="C389" t="s">
        <v>34</v>
      </c>
      <c r="D389" t="s">
        <v>40</v>
      </c>
      <c r="E389" t="s">
        <v>30</v>
      </c>
      <c r="F389">
        <v>6.83</v>
      </c>
      <c r="G389" s="1">
        <v>45769</v>
      </c>
      <c r="H389" s="1">
        <v>43678</v>
      </c>
      <c r="I389" t="s">
        <v>1198</v>
      </c>
      <c r="J389" t="s">
        <v>19</v>
      </c>
      <c r="K389">
        <v>5</v>
      </c>
      <c r="L389" t="s">
        <v>20</v>
      </c>
      <c r="M389" s="1">
        <f t="shared" ca="1" si="12"/>
        <v>46204</v>
      </c>
      <c r="N389">
        <f t="shared" ca="1" si="13"/>
        <v>1</v>
      </c>
    </row>
    <row r="390" spans="1:14" x14ac:dyDescent="0.3">
      <c r="A390" t="s">
        <v>1199</v>
      </c>
      <c r="B390" t="s">
        <v>1200</v>
      </c>
      <c r="C390" t="s">
        <v>64</v>
      </c>
      <c r="D390" t="s">
        <v>35</v>
      </c>
      <c r="E390" t="s">
        <v>30</v>
      </c>
      <c r="F390">
        <v>34.950000000000003</v>
      </c>
      <c r="G390" s="1">
        <v>46060</v>
      </c>
      <c r="H390" s="1">
        <v>44202</v>
      </c>
      <c r="I390" t="s">
        <v>1201</v>
      </c>
      <c r="J390" t="s">
        <v>37</v>
      </c>
      <c r="K390">
        <v>2</v>
      </c>
      <c r="L390" t="s">
        <v>27</v>
      </c>
      <c r="M390" s="1">
        <f t="shared" ca="1" si="12"/>
        <v>46204</v>
      </c>
      <c r="N390">
        <f t="shared" ca="1" si="13"/>
        <v>1</v>
      </c>
    </row>
    <row r="391" spans="1:14" x14ac:dyDescent="0.3">
      <c r="A391" t="s">
        <v>1202</v>
      </c>
      <c r="B391" t="s">
        <v>1203</v>
      </c>
      <c r="C391" t="s">
        <v>34</v>
      </c>
      <c r="D391" t="s">
        <v>73</v>
      </c>
      <c r="E391" t="s">
        <v>30</v>
      </c>
      <c r="F391">
        <v>29.15</v>
      </c>
      <c r="G391" s="1">
        <v>45952</v>
      </c>
      <c r="H391" s="1">
        <v>43577</v>
      </c>
      <c r="I391" t="s">
        <v>1204</v>
      </c>
      <c r="J391" t="s">
        <v>94</v>
      </c>
      <c r="K391">
        <v>4</v>
      </c>
      <c r="L391" t="s">
        <v>27</v>
      </c>
      <c r="M391" s="1">
        <f t="shared" ca="1" si="12"/>
        <v>46204</v>
      </c>
      <c r="N391">
        <f t="shared" ca="1" si="13"/>
        <v>1</v>
      </c>
    </row>
    <row r="392" spans="1:14" x14ac:dyDescent="0.3">
      <c r="A392" t="s">
        <v>1205</v>
      </c>
      <c r="B392" t="s">
        <v>1206</v>
      </c>
      <c r="C392" t="s">
        <v>47</v>
      </c>
      <c r="D392" t="s">
        <v>73</v>
      </c>
      <c r="E392" t="s">
        <v>24</v>
      </c>
      <c r="F392">
        <v>21.31</v>
      </c>
      <c r="G392" s="1">
        <v>45921</v>
      </c>
      <c r="H392" s="1">
        <v>45432</v>
      </c>
      <c r="I392" t="s">
        <v>1207</v>
      </c>
      <c r="J392" t="s">
        <v>75</v>
      </c>
      <c r="K392">
        <v>1</v>
      </c>
      <c r="L392" t="s">
        <v>20</v>
      </c>
      <c r="M392" s="1">
        <f t="shared" ca="1" si="12"/>
        <v>46204</v>
      </c>
      <c r="N392">
        <f t="shared" ca="1" si="13"/>
        <v>1</v>
      </c>
    </row>
    <row r="393" spans="1:14" x14ac:dyDescent="0.3">
      <c r="A393" t="s">
        <v>1208</v>
      </c>
      <c r="B393" t="s">
        <v>1209</v>
      </c>
      <c r="C393" t="s">
        <v>23</v>
      </c>
      <c r="D393" t="s">
        <v>40</v>
      </c>
      <c r="E393" t="s">
        <v>30</v>
      </c>
      <c r="F393">
        <v>35.54</v>
      </c>
      <c r="G393" s="1">
        <v>46045</v>
      </c>
      <c r="H393" s="1">
        <v>44917</v>
      </c>
      <c r="I393" t="s">
        <v>1210</v>
      </c>
      <c r="J393" t="s">
        <v>19</v>
      </c>
      <c r="K393">
        <v>3</v>
      </c>
      <c r="L393" t="s">
        <v>27</v>
      </c>
      <c r="M393" s="1">
        <f t="shared" ca="1" si="12"/>
        <v>46204</v>
      </c>
      <c r="N393">
        <f t="shared" ca="1" si="13"/>
        <v>1</v>
      </c>
    </row>
    <row r="394" spans="1:14" x14ac:dyDescent="0.3">
      <c r="A394" t="s">
        <v>1211</v>
      </c>
      <c r="B394" t="s">
        <v>1212</v>
      </c>
      <c r="C394" t="s">
        <v>23</v>
      </c>
      <c r="D394" t="s">
        <v>35</v>
      </c>
      <c r="E394" t="s">
        <v>17</v>
      </c>
      <c r="F394">
        <v>5.84</v>
      </c>
      <c r="G394" s="1">
        <v>46060</v>
      </c>
      <c r="H394" s="1">
        <v>43016</v>
      </c>
      <c r="I394" t="s">
        <v>1213</v>
      </c>
      <c r="J394" t="s">
        <v>49</v>
      </c>
      <c r="K394">
        <v>2</v>
      </c>
      <c r="L394" t="s">
        <v>27</v>
      </c>
      <c r="M394" s="1">
        <f t="shared" ca="1" si="12"/>
        <v>46204</v>
      </c>
      <c r="N394">
        <f t="shared" ca="1" si="13"/>
        <v>1</v>
      </c>
    </row>
    <row r="395" spans="1:14" x14ac:dyDescent="0.3">
      <c r="A395" t="s">
        <v>1214</v>
      </c>
      <c r="B395" t="s">
        <v>1215</v>
      </c>
      <c r="C395" t="s">
        <v>64</v>
      </c>
      <c r="D395" t="s">
        <v>16</v>
      </c>
      <c r="E395" t="s">
        <v>17</v>
      </c>
      <c r="F395">
        <v>4.0599999999999996</v>
      </c>
      <c r="G395" s="1">
        <v>46061</v>
      </c>
      <c r="H395" s="1">
        <v>43548</v>
      </c>
      <c r="I395" t="s">
        <v>1216</v>
      </c>
      <c r="J395" t="s">
        <v>66</v>
      </c>
      <c r="K395">
        <v>3</v>
      </c>
      <c r="L395" t="s">
        <v>27</v>
      </c>
      <c r="M395" s="1">
        <f t="shared" ca="1" si="12"/>
        <v>46204</v>
      </c>
      <c r="N395">
        <f t="shared" ca="1" si="13"/>
        <v>1</v>
      </c>
    </row>
    <row r="396" spans="1:14" x14ac:dyDescent="0.3">
      <c r="A396" t="s">
        <v>1217</v>
      </c>
      <c r="B396" t="s">
        <v>1218</v>
      </c>
      <c r="C396" t="s">
        <v>124</v>
      </c>
      <c r="D396" t="s">
        <v>16</v>
      </c>
      <c r="E396" t="s">
        <v>52</v>
      </c>
      <c r="F396">
        <v>7.35</v>
      </c>
      <c r="G396" s="1">
        <v>46000</v>
      </c>
      <c r="H396" s="1">
        <v>42435</v>
      </c>
      <c r="I396" t="s">
        <v>1219</v>
      </c>
      <c r="J396" t="s">
        <v>94</v>
      </c>
      <c r="K396">
        <v>5</v>
      </c>
      <c r="L396" t="s">
        <v>20</v>
      </c>
      <c r="M396" s="1">
        <f t="shared" ca="1" si="12"/>
        <v>46204</v>
      </c>
      <c r="N396">
        <f t="shared" ca="1" si="13"/>
        <v>1</v>
      </c>
    </row>
    <row r="397" spans="1:14" x14ac:dyDescent="0.3">
      <c r="A397" t="s">
        <v>1220</v>
      </c>
      <c r="B397" t="s">
        <v>1221</v>
      </c>
      <c r="C397" t="s">
        <v>124</v>
      </c>
      <c r="D397" t="s">
        <v>69</v>
      </c>
      <c r="E397" t="s">
        <v>52</v>
      </c>
      <c r="F397">
        <v>32.880000000000003</v>
      </c>
      <c r="G397" s="1">
        <v>45723</v>
      </c>
      <c r="H397" s="1">
        <v>43849</v>
      </c>
      <c r="I397" t="s">
        <v>1222</v>
      </c>
      <c r="J397" t="s">
        <v>26</v>
      </c>
      <c r="K397">
        <v>1</v>
      </c>
      <c r="L397" t="s">
        <v>27</v>
      </c>
      <c r="M397" s="1">
        <f t="shared" ca="1" si="12"/>
        <v>46204</v>
      </c>
      <c r="N397">
        <f t="shared" ca="1" si="13"/>
        <v>1</v>
      </c>
    </row>
    <row r="398" spans="1:14" x14ac:dyDescent="0.3">
      <c r="A398" t="s">
        <v>1223</v>
      </c>
      <c r="B398" t="s">
        <v>1224</v>
      </c>
      <c r="C398" t="s">
        <v>34</v>
      </c>
      <c r="D398" t="s">
        <v>56</v>
      </c>
      <c r="E398" t="s">
        <v>17</v>
      </c>
      <c r="F398">
        <v>10.82</v>
      </c>
      <c r="G398" s="1">
        <v>46010</v>
      </c>
      <c r="H398" s="1">
        <v>44949</v>
      </c>
      <c r="I398" t="s">
        <v>1225</v>
      </c>
      <c r="J398" t="s">
        <v>19</v>
      </c>
      <c r="K398">
        <v>1</v>
      </c>
      <c r="L398" t="s">
        <v>27</v>
      </c>
      <c r="M398" s="1">
        <f t="shared" ca="1" si="12"/>
        <v>46204</v>
      </c>
      <c r="N398">
        <f t="shared" ca="1" si="13"/>
        <v>1</v>
      </c>
    </row>
    <row r="399" spans="1:14" x14ac:dyDescent="0.3">
      <c r="A399" t="s">
        <v>1226</v>
      </c>
      <c r="B399" t="s">
        <v>1227</v>
      </c>
      <c r="C399" t="s">
        <v>47</v>
      </c>
      <c r="D399" t="s">
        <v>56</v>
      </c>
      <c r="E399" t="s">
        <v>30</v>
      </c>
      <c r="F399">
        <v>14.31</v>
      </c>
      <c r="G399" s="1">
        <v>45837</v>
      </c>
      <c r="H399" s="1">
        <v>44742</v>
      </c>
      <c r="I399" t="s">
        <v>1228</v>
      </c>
      <c r="J399" t="s">
        <v>75</v>
      </c>
      <c r="K399">
        <v>2</v>
      </c>
      <c r="L399" t="s">
        <v>20</v>
      </c>
      <c r="M399" s="1">
        <f t="shared" ca="1" si="12"/>
        <v>46204</v>
      </c>
      <c r="N399">
        <f t="shared" ca="1" si="13"/>
        <v>1</v>
      </c>
    </row>
    <row r="400" spans="1:14" x14ac:dyDescent="0.3">
      <c r="A400" t="s">
        <v>1229</v>
      </c>
      <c r="B400" t="s">
        <v>1230</v>
      </c>
      <c r="C400" t="s">
        <v>15</v>
      </c>
      <c r="D400" t="s">
        <v>35</v>
      </c>
      <c r="E400" t="s">
        <v>24</v>
      </c>
      <c r="F400">
        <v>5.34</v>
      </c>
      <c r="G400" s="1">
        <v>45939</v>
      </c>
      <c r="H400" s="1">
        <v>43075</v>
      </c>
      <c r="I400" t="s">
        <v>1169</v>
      </c>
      <c r="J400" t="s">
        <v>26</v>
      </c>
      <c r="K400">
        <v>4</v>
      </c>
      <c r="L400" t="s">
        <v>27</v>
      </c>
      <c r="M400" s="1">
        <f t="shared" ca="1" si="12"/>
        <v>46204</v>
      </c>
      <c r="N400">
        <f t="shared" ca="1" si="13"/>
        <v>1</v>
      </c>
    </row>
    <row r="401" spans="1:14" x14ac:dyDescent="0.3">
      <c r="A401" t="s">
        <v>1231</v>
      </c>
      <c r="B401" t="s">
        <v>1232</v>
      </c>
      <c r="C401" t="s">
        <v>47</v>
      </c>
      <c r="D401" t="s">
        <v>16</v>
      </c>
      <c r="E401" t="s">
        <v>24</v>
      </c>
      <c r="F401">
        <v>31.63</v>
      </c>
      <c r="G401" s="1">
        <v>45737</v>
      </c>
      <c r="H401" s="1">
        <v>43550</v>
      </c>
      <c r="I401" t="s">
        <v>1233</v>
      </c>
      <c r="J401" t="s">
        <v>19</v>
      </c>
      <c r="K401">
        <v>5</v>
      </c>
      <c r="L401" t="s">
        <v>27</v>
      </c>
      <c r="M401" s="1">
        <f t="shared" ca="1" si="12"/>
        <v>46204</v>
      </c>
      <c r="N401">
        <f t="shared" ca="1" si="13"/>
        <v>1</v>
      </c>
    </row>
    <row r="402" spans="1:14" x14ac:dyDescent="0.3">
      <c r="A402" t="s">
        <v>1234</v>
      </c>
      <c r="B402" t="s">
        <v>1235</v>
      </c>
      <c r="C402" t="s">
        <v>124</v>
      </c>
      <c r="D402" t="s">
        <v>35</v>
      </c>
      <c r="E402" t="s">
        <v>24</v>
      </c>
      <c r="F402">
        <v>18.88</v>
      </c>
      <c r="G402" s="1">
        <v>45980</v>
      </c>
      <c r="H402" s="1">
        <v>43279</v>
      </c>
      <c r="I402" t="s">
        <v>1236</v>
      </c>
      <c r="J402" t="s">
        <v>19</v>
      </c>
      <c r="K402">
        <v>4</v>
      </c>
      <c r="L402" t="s">
        <v>20</v>
      </c>
      <c r="M402" s="1">
        <f t="shared" ca="1" si="12"/>
        <v>46204</v>
      </c>
      <c r="N402">
        <f t="shared" ca="1" si="13"/>
        <v>1</v>
      </c>
    </row>
    <row r="403" spans="1:14" x14ac:dyDescent="0.3">
      <c r="A403" t="s">
        <v>1237</v>
      </c>
      <c r="B403" t="s">
        <v>1238</v>
      </c>
      <c r="C403" t="s">
        <v>60</v>
      </c>
      <c r="D403" t="s">
        <v>40</v>
      </c>
      <c r="E403" t="s">
        <v>17</v>
      </c>
      <c r="F403">
        <v>20.98</v>
      </c>
      <c r="G403" s="1">
        <v>45965</v>
      </c>
      <c r="H403" s="1">
        <v>45091</v>
      </c>
      <c r="I403" t="s">
        <v>1239</v>
      </c>
      <c r="J403" t="s">
        <v>49</v>
      </c>
      <c r="K403">
        <v>5</v>
      </c>
      <c r="L403" t="s">
        <v>20</v>
      </c>
      <c r="M403" s="1">
        <f t="shared" ca="1" si="12"/>
        <v>46204</v>
      </c>
      <c r="N403">
        <f t="shared" ca="1" si="13"/>
        <v>1</v>
      </c>
    </row>
    <row r="404" spans="1:14" x14ac:dyDescent="0.3">
      <c r="A404" t="s">
        <v>1240</v>
      </c>
      <c r="B404" t="s">
        <v>1241</v>
      </c>
      <c r="C404" t="s">
        <v>34</v>
      </c>
      <c r="D404" t="s">
        <v>69</v>
      </c>
      <c r="E404" t="s">
        <v>24</v>
      </c>
      <c r="F404">
        <v>8.61</v>
      </c>
      <c r="G404" s="1">
        <v>45971</v>
      </c>
      <c r="H404" s="1">
        <v>45518</v>
      </c>
      <c r="I404" t="s">
        <v>1242</v>
      </c>
      <c r="J404" t="s">
        <v>75</v>
      </c>
      <c r="K404">
        <v>2</v>
      </c>
      <c r="L404" t="s">
        <v>20</v>
      </c>
      <c r="M404" s="1">
        <f t="shared" ca="1" si="12"/>
        <v>46204</v>
      </c>
      <c r="N404">
        <f t="shared" ca="1" si="13"/>
        <v>1</v>
      </c>
    </row>
    <row r="405" spans="1:14" x14ac:dyDescent="0.3">
      <c r="A405" t="s">
        <v>1243</v>
      </c>
      <c r="B405" t="s">
        <v>1244</v>
      </c>
      <c r="C405" t="s">
        <v>23</v>
      </c>
      <c r="D405" t="s">
        <v>40</v>
      </c>
      <c r="E405" t="s">
        <v>24</v>
      </c>
      <c r="F405">
        <v>34.86</v>
      </c>
      <c r="G405" s="1">
        <v>45766</v>
      </c>
      <c r="H405" s="1">
        <v>44123</v>
      </c>
      <c r="I405" t="s">
        <v>1245</v>
      </c>
      <c r="J405" t="s">
        <v>37</v>
      </c>
      <c r="K405">
        <v>3</v>
      </c>
      <c r="L405" t="s">
        <v>20</v>
      </c>
      <c r="M405" s="1">
        <f t="shared" ca="1" si="12"/>
        <v>46204</v>
      </c>
      <c r="N405">
        <f t="shared" ca="1" si="13"/>
        <v>1</v>
      </c>
    </row>
    <row r="406" spans="1:14" x14ac:dyDescent="0.3">
      <c r="A406" t="s">
        <v>1246</v>
      </c>
      <c r="B406" t="s">
        <v>1247</v>
      </c>
      <c r="C406" t="s">
        <v>47</v>
      </c>
      <c r="D406" t="s">
        <v>40</v>
      </c>
      <c r="E406" t="s">
        <v>52</v>
      </c>
      <c r="F406">
        <v>11.03</v>
      </c>
      <c r="G406" s="1">
        <v>46037</v>
      </c>
      <c r="H406" s="1">
        <v>44575</v>
      </c>
      <c r="I406" t="s">
        <v>1248</v>
      </c>
      <c r="J406" t="s">
        <v>66</v>
      </c>
      <c r="K406">
        <v>1</v>
      </c>
      <c r="L406" t="s">
        <v>27</v>
      </c>
      <c r="M406" s="1">
        <f t="shared" ca="1" si="12"/>
        <v>46204</v>
      </c>
      <c r="N406">
        <f t="shared" ca="1" si="13"/>
        <v>1</v>
      </c>
    </row>
    <row r="407" spans="1:14" x14ac:dyDescent="0.3">
      <c r="A407" t="s">
        <v>1249</v>
      </c>
      <c r="B407" t="s">
        <v>1250</v>
      </c>
      <c r="C407" t="s">
        <v>15</v>
      </c>
      <c r="D407" t="s">
        <v>73</v>
      </c>
      <c r="E407" t="s">
        <v>30</v>
      </c>
      <c r="F407">
        <v>26.76</v>
      </c>
      <c r="G407" s="1">
        <v>46008</v>
      </c>
      <c r="H407" s="1">
        <v>45450</v>
      </c>
      <c r="I407" t="s">
        <v>1251</v>
      </c>
      <c r="J407" t="s">
        <v>26</v>
      </c>
      <c r="K407">
        <v>4</v>
      </c>
      <c r="L407" t="s">
        <v>20</v>
      </c>
      <c r="M407" s="1">
        <f t="shared" ca="1" si="12"/>
        <v>46204</v>
      </c>
      <c r="N407">
        <f t="shared" ca="1" si="13"/>
        <v>1</v>
      </c>
    </row>
    <row r="408" spans="1:14" x14ac:dyDescent="0.3">
      <c r="A408" t="s">
        <v>1252</v>
      </c>
      <c r="B408" t="s">
        <v>1253</v>
      </c>
      <c r="C408" t="s">
        <v>15</v>
      </c>
      <c r="D408" t="s">
        <v>16</v>
      </c>
      <c r="E408" t="s">
        <v>30</v>
      </c>
      <c r="F408">
        <v>10.3</v>
      </c>
      <c r="G408" s="1">
        <v>46035</v>
      </c>
      <c r="H408" s="1">
        <v>45262</v>
      </c>
      <c r="I408" t="s">
        <v>1254</v>
      </c>
      <c r="J408" t="s">
        <v>49</v>
      </c>
      <c r="K408">
        <v>3</v>
      </c>
      <c r="L408" t="s">
        <v>27</v>
      </c>
      <c r="M408" s="1">
        <f t="shared" ca="1" si="12"/>
        <v>46204</v>
      </c>
      <c r="N408">
        <f t="shared" ca="1" si="13"/>
        <v>1</v>
      </c>
    </row>
    <row r="409" spans="1:14" x14ac:dyDescent="0.3">
      <c r="A409" t="s">
        <v>1255</v>
      </c>
      <c r="B409" t="s">
        <v>1256</v>
      </c>
      <c r="C409" t="s">
        <v>64</v>
      </c>
      <c r="D409" t="s">
        <v>69</v>
      </c>
      <c r="E409" t="s">
        <v>52</v>
      </c>
      <c r="F409">
        <v>1.92</v>
      </c>
      <c r="G409" s="1">
        <v>45710</v>
      </c>
      <c r="H409" s="1">
        <v>44457</v>
      </c>
      <c r="I409" t="s">
        <v>1138</v>
      </c>
      <c r="J409" t="s">
        <v>66</v>
      </c>
      <c r="K409">
        <v>4</v>
      </c>
      <c r="L409" t="s">
        <v>20</v>
      </c>
      <c r="M409" s="1">
        <f t="shared" ca="1" si="12"/>
        <v>46204</v>
      </c>
      <c r="N409">
        <f t="shared" ca="1" si="13"/>
        <v>1</v>
      </c>
    </row>
    <row r="410" spans="1:14" x14ac:dyDescent="0.3">
      <c r="A410" t="s">
        <v>1257</v>
      </c>
      <c r="B410" t="s">
        <v>1258</v>
      </c>
      <c r="C410" t="s">
        <v>34</v>
      </c>
      <c r="D410" t="s">
        <v>35</v>
      </c>
      <c r="E410" t="s">
        <v>17</v>
      </c>
      <c r="F410">
        <v>19.96</v>
      </c>
      <c r="G410" s="1">
        <v>45941</v>
      </c>
      <c r="H410" s="1">
        <v>43017</v>
      </c>
      <c r="I410" t="s">
        <v>1259</v>
      </c>
      <c r="J410" t="s">
        <v>26</v>
      </c>
      <c r="K410">
        <v>1</v>
      </c>
      <c r="L410" t="s">
        <v>20</v>
      </c>
      <c r="M410" s="1">
        <f t="shared" ca="1" si="12"/>
        <v>46204</v>
      </c>
      <c r="N410">
        <f t="shared" ca="1" si="13"/>
        <v>1</v>
      </c>
    </row>
    <row r="411" spans="1:14" x14ac:dyDescent="0.3">
      <c r="A411" t="s">
        <v>1260</v>
      </c>
      <c r="B411" t="s">
        <v>1261</v>
      </c>
      <c r="C411" t="s">
        <v>64</v>
      </c>
      <c r="D411" t="s">
        <v>40</v>
      </c>
      <c r="E411" t="s">
        <v>30</v>
      </c>
      <c r="F411">
        <v>37.75</v>
      </c>
      <c r="G411" s="1">
        <v>45972</v>
      </c>
      <c r="H411" s="1">
        <v>42915</v>
      </c>
      <c r="I411" t="s">
        <v>1262</v>
      </c>
      <c r="J411" t="s">
        <v>94</v>
      </c>
      <c r="K411">
        <v>5</v>
      </c>
      <c r="L411" t="s">
        <v>20</v>
      </c>
      <c r="M411" s="1">
        <f t="shared" ca="1" si="12"/>
        <v>46204</v>
      </c>
      <c r="N411">
        <f t="shared" ca="1" si="13"/>
        <v>1</v>
      </c>
    </row>
    <row r="412" spans="1:14" x14ac:dyDescent="0.3">
      <c r="A412" t="s">
        <v>1263</v>
      </c>
      <c r="B412" t="s">
        <v>1264</v>
      </c>
      <c r="C412" t="s">
        <v>124</v>
      </c>
      <c r="D412" t="s">
        <v>40</v>
      </c>
      <c r="E412" t="s">
        <v>24</v>
      </c>
      <c r="F412">
        <v>6.48</v>
      </c>
      <c r="G412" s="1">
        <v>45845</v>
      </c>
      <c r="H412" s="1">
        <v>44160</v>
      </c>
      <c r="I412" t="s">
        <v>1265</v>
      </c>
      <c r="J412" t="s">
        <v>37</v>
      </c>
      <c r="K412">
        <v>3</v>
      </c>
      <c r="L412" t="s">
        <v>20</v>
      </c>
      <c r="M412" s="1">
        <f t="shared" ca="1" si="12"/>
        <v>46204</v>
      </c>
      <c r="N412">
        <f t="shared" ca="1" si="13"/>
        <v>1</v>
      </c>
    </row>
    <row r="413" spans="1:14" x14ac:dyDescent="0.3">
      <c r="A413" t="s">
        <v>1266</v>
      </c>
      <c r="B413" t="s">
        <v>1267</v>
      </c>
      <c r="C413" t="s">
        <v>23</v>
      </c>
      <c r="D413" t="s">
        <v>35</v>
      </c>
      <c r="E413" t="s">
        <v>52</v>
      </c>
      <c r="F413">
        <v>29.21</v>
      </c>
      <c r="G413" s="1">
        <v>45742</v>
      </c>
      <c r="H413" s="1">
        <v>44186</v>
      </c>
      <c r="I413" t="s">
        <v>1268</v>
      </c>
      <c r="J413" t="s">
        <v>19</v>
      </c>
      <c r="K413">
        <v>4</v>
      </c>
      <c r="L413" t="s">
        <v>27</v>
      </c>
      <c r="M413" s="1">
        <f t="shared" ca="1" si="12"/>
        <v>46204</v>
      </c>
      <c r="N413">
        <f t="shared" ca="1" si="13"/>
        <v>1</v>
      </c>
    </row>
    <row r="414" spans="1:14" x14ac:dyDescent="0.3">
      <c r="A414" t="s">
        <v>1269</v>
      </c>
      <c r="B414" t="s">
        <v>1270</v>
      </c>
      <c r="C414" t="s">
        <v>64</v>
      </c>
      <c r="D414" t="s">
        <v>73</v>
      </c>
      <c r="E414" t="s">
        <v>17</v>
      </c>
      <c r="F414">
        <v>2.34</v>
      </c>
      <c r="G414" s="1">
        <v>46006</v>
      </c>
      <c r="H414" s="1">
        <v>44631</v>
      </c>
      <c r="I414" t="s">
        <v>1271</v>
      </c>
      <c r="J414" t="s">
        <v>66</v>
      </c>
      <c r="K414">
        <v>2</v>
      </c>
      <c r="L414" t="s">
        <v>27</v>
      </c>
      <c r="M414" s="1">
        <f t="shared" ca="1" si="12"/>
        <v>46204</v>
      </c>
      <c r="N414">
        <f t="shared" ca="1" si="13"/>
        <v>1</v>
      </c>
    </row>
    <row r="415" spans="1:14" x14ac:dyDescent="0.3">
      <c r="A415" t="s">
        <v>1272</v>
      </c>
      <c r="B415" t="s">
        <v>1273</v>
      </c>
      <c r="C415" t="s">
        <v>34</v>
      </c>
      <c r="D415" t="s">
        <v>40</v>
      </c>
      <c r="E415" t="s">
        <v>24</v>
      </c>
      <c r="F415">
        <v>16</v>
      </c>
      <c r="G415" s="1">
        <v>45857</v>
      </c>
      <c r="H415" s="1">
        <v>43509</v>
      </c>
      <c r="I415" t="s">
        <v>1274</v>
      </c>
      <c r="J415" t="s">
        <v>75</v>
      </c>
      <c r="K415">
        <v>3</v>
      </c>
      <c r="L415" t="s">
        <v>27</v>
      </c>
      <c r="M415" s="1">
        <f t="shared" ca="1" si="12"/>
        <v>46204</v>
      </c>
      <c r="N415">
        <f t="shared" ca="1" si="13"/>
        <v>1</v>
      </c>
    </row>
    <row r="416" spans="1:14" x14ac:dyDescent="0.3">
      <c r="A416" t="s">
        <v>1275</v>
      </c>
      <c r="B416" t="s">
        <v>930</v>
      </c>
      <c r="C416" t="s">
        <v>124</v>
      </c>
      <c r="D416" t="s">
        <v>73</v>
      </c>
      <c r="E416" t="s">
        <v>30</v>
      </c>
      <c r="F416">
        <v>9.89</v>
      </c>
      <c r="G416" s="1">
        <v>45847</v>
      </c>
      <c r="H416" s="1">
        <v>43910</v>
      </c>
      <c r="I416" t="s">
        <v>1276</v>
      </c>
      <c r="J416" t="s">
        <v>75</v>
      </c>
      <c r="K416">
        <v>3</v>
      </c>
      <c r="L416" t="s">
        <v>27</v>
      </c>
      <c r="M416" s="1">
        <f t="shared" ca="1" si="12"/>
        <v>46204</v>
      </c>
      <c r="N416">
        <f t="shared" ca="1" si="13"/>
        <v>1</v>
      </c>
    </row>
    <row r="417" spans="1:14" x14ac:dyDescent="0.3">
      <c r="A417" t="s">
        <v>1277</v>
      </c>
      <c r="B417" t="s">
        <v>1278</v>
      </c>
      <c r="C417" t="s">
        <v>23</v>
      </c>
      <c r="D417" t="s">
        <v>16</v>
      </c>
      <c r="E417" t="s">
        <v>24</v>
      </c>
      <c r="F417">
        <v>2.88</v>
      </c>
      <c r="G417" s="1">
        <v>45902</v>
      </c>
      <c r="H417" s="1">
        <v>44407</v>
      </c>
      <c r="I417" t="s">
        <v>1279</v>
      </c>
      <c r="J417" t="s">
        <v>19</v>
      </c>
      <c r="K417">
        <v>3</v>
      </c>
      <c r="L417" t="s">
        <v>27</v>
      </c>
      <c r="M417" s="1">
        <f t="shared" ca="1" si="12"/>
        <v>46204</v>
      </c>
      <c r="N417">
        <f t="shared" ca="1" si="13"/>
        <v>1</v>
      </c>
    </row>
    <row r="418" spans="1:14" x14ac:dyDescent="0.3">
      <c r="A418" t="s">
        <v>1280</v>
      </c>
      <c r="B418" t="s">
        <v>1281</v>
      </c>
      <c r="C418" t="s">
        <v>60</v>
      </c>
      <c r="D418" t="s">
        <v>56</v>
      </c>
      <c r="E418" t="s">
        <v>24</v>
      </c>
      <c r="F418">
        <v>8.11</v>
      </c>
      <c r="G418" s="1">
        <v>46013</v>
      </c>
      <c r="H418" s="1">
        <v>44089</v>
      </c>
      <c r="I418" t="s">
        <v>1282</v>
      </c>
      <c r="J418" t="s">
        <v>66</v>
      </c>
      <c r="K418">
        <v>4</v>
      </c>
      <c r="L418" t="s">
        <v>27</v>
      </c>
      <c r="M418" s="1">
        <f t="shared" ca="1" si="12"/>
        <v>46204</v>
      </c>
      <c r="N418">
        <f t="shared" ca="1" si="13"/>
        <v>1</v>
      </c>
    </row>
    <row r="419" spans="1:14" x14ac:dyDescent="0.3">
      <c r="A419" t="s">
        <v>1283</v>
      </c>
      <c r="B419" t="s">
        <v>1284</v>
      </c>
      <c r="C419" t="s">
        <v>47</v>
      </c>
      <c r="D419" t="s">
        <v>35</v>
      </c>
      <c r="E419" t="s">
        <v>30</v>
      </c>
      <c r="F419">
        <v>3.19</v>
      </c>
      <c r="G419" s="1">
        <v>45871</v>
      </c>
      <c r="H419" s="1">
        <v>45396</v>
      </c>
      <c r="I419" t="s">
        <v>1285</v>
      </c>
      <c r="J419" t="s">
        <v>49</v>
      </c>
      <c r="K419">
        <v>2</v>
      </c>
      <c r="L419" t="s">
        <v>27</v>
      </c>
      <c r="M419" s="1">
        <f t="shared" ca="1" si="12"/>
        <v>46204</v>
      </c>
      <c r="N419">
        <f t="shared" ca="1" si="13"/>
        <v>1</v>
      </c>
    </row>
    <row r="420" spans="1:14" x14ac:dyDescent="0.3">
      <c r="A420" t="s">
        <v>1286</v>
      </c>
      <c r="B420" t="s">
        <v>1287</v>
      </c>
      <c r="C420" t="s">
        <v>64</v>
      </c>
      <c r="D420" t="s">
        <v>56</v>
      </c>
      <c r="E420" t="s">
        <v>17</v>
      </c>
      <c r="F420">
        <v>16.34</v>
      </c>
      <c r="G420" s="1">
        <v>45958</v>
      </c>
      <c r="H420" s="1">
        <v>43119</v>
      </c>
      <c r="I420" t="s">
        <v>1288</v>
      </c>
      <c r="J420" t="s">
        <v>75</v>
      </c>
      <c r="K420">
        <v>1</v>
      </c>
      <c r="L420" t="s">
        <v>20</v>
      </c>
      <c r="M420" s="1">
        <f t="shared" ca="1" si="12"/>
        <v>46204</v>
      </c>
      <c r="N420">
        <f t="shared" ca="1" si="13"/>
        <v>1</v>
      </c>
    </row>
    <row r="421" spans="1:14" x14ac:dyDescent="0.3">
      <c r="A421" t="s">
        <v>1289</v>
      </c>
      <c r="B421" t="s">
        <v>1290</v>
      </c>
      <c r="C421" t="s">
        <v>15</v>
      </c>
      <c r="D421" t="s">
        <v>69</v>
      </c>
      <c r="E421" t="s">
        <v>52</v>
      </c>
      <c r="F421">
        <v>9.77</v>
      </c>
      <c r="G421" s="1">
        <v>45901</v>
      </c>
      <c r="H421" s="1">
        <v>44219</v>
      </c>
      <c r="I421" t="s">
        <v>1291</v>
      </c>
      <c r="J421" t="s">
        <v>49</v>
      </c>
      <c r="K421">
        <v>1</v>
      </c>
      <c r="L421" t="s">
        <v>20</v>
      </c>
      <c r="M421" s="1">
        <f t="shared" ca="1" si="12"/>
        <v>46204</v>
      </c>
      <c r="N421">
        <f t="shared" ca="1" si="13"/>
        <v>1</v>
      </c>
    </row>
    <row r="422" spans="1:14" x14ac:dyDescent="0.3">
      <c r="A422" t="s">
        <v>1292</v>
      </c>
      <c r="B422" t="s">
        <v>1293</v>
      </c>
      <c r="C422" t="s">
        <v>64</v>
      </c>
      <c r="D422" t="s">
        <v>35</v>
      </c>
      <c r="E422" t="s">
        <v>52</v>
      </c>
      <c r="F422">
        <v>18.29</v>
      </c>
      <c r="G422" s="1">
        <v>46008</v>
      </c>
      <c r="H422" s="1">
        <v>42368</v>
      </c>
      <c r="I422" t="s">
        <v>1294</v>
      </c>
      <c r="J422" t="s">
        <v>26</v>
      </c>
      <c r="K422">
        <v>4</v>
      </c>
      <c r="L422" t="s">
        <v>27</v>
      </c>
      <c r="M422" s="1">
        <f t="shared" ca="1" si="12"/>
        <v>46204</v>
      </c>
      <c r="N422">
        <f t="shared" ca="1" si="13"/>
        <v>1</v>
      </c>
    </row>
    <row r="423" spans="1:14" x14ac:dyDescent="0.3">
      <c r="A423" t="s">
        <v>1295</v>
      </c>
      <c r="B423" t="s">
        <v>1296</v>
      </c>
      <c r="C423" t="s">
        <v>15</v>
      </c>
      <c r="D423" t="s">
        <v>73</v>
      </c>
      <c r="E423" t="s">
        <v>24</v>
      </c>
      <c r="F423">
        <v>34.69</v>
      </c>
      <c r="G423" s="1">
        <v>45963</v>
      </c>
      <c r="H423" s="1">
        <v>43661</v>
      </c>
      <c r="I423" t="s">
        <v>1297</v>
      </c>
      <c r="J423" t="s">
        <v>37</v>
      </c>
      <c r="K423">
        <v>1</v>
      </c>
      <c r="L423" t="s">
        <v>27</v>
      </c>
      <c r="M423" s="1">
        <f t="shared" ca="1" si="12"/>
        <v>46204</v>
      </c>
      <c r="N423">
        <f t="shared" ca="1" si="13"/>
        <v>1</v>
      </c>
    </row>
    <row r="424" spans="1:14" x14ac:dyDescent="0.3">
      <c r="A424" t="s">
        <v>1298</v>
      </c>
      <c r="B424" t="s">
        <v>1299</v>
      </c>
      <c r="C424" t="s">
        <v>64</v>
      </c>
      <c r="D424" t="s">
        <v>40</v>
      </c>
      <c r="E424" t="s">
        <v>30</v>
      </c>
      <c r="F424">
        <v>10.15</v>
      </c>
      <c r="G424" s="1">
        <v>45768</v>
      </c>
      <c r="H424" s="1">
        <v>43367</v>
      </c>
      <c r="I424" t="s">
        <v>1300</v>
      </c>
      <c r="J424" t="s">
        <v>75</v>
      </c>
      <c r="K424">
        <v>2</v>
      </c>
      <c r="L424" t="s">
        <v>27</v>
      </c>
      <c r="M424" s="1">
        <f t="shared" ca="1" si="12"/>
        <v>46204</v>
      </c>
      <c r="N424">
        <f t="shared" ca="1" si="13"/>
        <v>1</v>
      </c>
    </row>
    <row r="425" spans="1:14" x14ac:dyDescent="0.3">
      <c r="A425" t="s">
        <v>1301</v>
      </c>
      <c r="B425" t="s">
        <v>1302</v>
      </c>
      <c r="C425" t="s">
        <v>34</v>
      </c>
      <c r="D425" t="s">
        <v>16</v>
      </c>
      <c r="E425" t="s">
        <v>30</v>
      </c>
      <c r="F425">
        <v>10.98</v>
      </c>
      <c r="G425" s="1">
        <v>45996</v>
      </c>
      <c r="H425" s="1">
        <v>42428</v>
      </c>
      <c r="I425" t="s">
        <v>1303</v>
      </c>
      <c r="J425" t="s">
        <v>49</v>
      </c>
      <c r="K425">
        <v>5</v>
      </c>
      <c r="L425" t="s">
        <v>20</v>
      </c>
      <c r="M425" s="1">
        <f t="shared" ca="1" si="12"/>
        <v>46204</v>
      </c>
      <c r="N425">
        <f t="shared" ca="1" si="13"/>
        <v>1</v>
      </c>
    </row>
    <row r="426" spans="1:14" x14ac:dyDescent="0.3">
      <c r="A426" t="s">
        <v>1304</v>
      </c>
      <c r="B426" t="s">
        <v>1305</v>
      </c>
      <c r="C426" t="s">
        <v>124</v>
      </c>
      <c r="D426" t="s">
        <v>56</v>
      </c>
      <c r="E426" t="s">
        <v>17</v>
      </c>
      <c r="F426">
        <v>37.200000000000003</v>
      </c>
      <c r="G426" s="1">
        <v>46034</v>
      </c>
      <c r="H426" s="1">
        <v>42909</v>
      </c>
      <c r="I426" t="s">
        <v>1306</v>
      </c>
      <c r="J426" t="s">
        <v>26</v>
      </c>
      <c r="K426">
        <v>5</v>
      </c>
      <c r="L426" t="s">
        <v>20</v>
      </c>
      <c r="M426" s="1">
        <f t="shared" ca="1" si="12"/>
        <v>46204</v>
      </c>
      <c r="N426">
        <f t="shared" ca="1" si="13"/>
        <v>1</v>
      </c>
    </row>
    <row r="427" spans="1:14" x14ac:dyDescent="0.3">
      <c r="A427" t="s">
        <v>1307</v>
      </c>
      <c r="B427" t="s">
        <v>1308</v>
      </c>
      <c r="C427" t="s">
        <v>64</v>
      </c>
      <c r="D427" t="s">
        <v>40</v>
      </c>
      <c r="E427" t="s">
        <v>17</v>
      </c>
      <c r="F427">
        <v>7.06</v>
      </c>
      <c r="G427" s="1">
        <v>45706</v>
      </c>
      <c r="H427" s="1">
        <v>42894</v>
      </c>
      <c r="I427" t="s">
        <v>1309</v>
      </c>
      <c r="J427" t="s">
        <v>26</v>
      </c>
      <c r="K427">
        <v>2</v>
      </c>
      <c r="L427" t="s">
        <v>27</v>
      </c>
      <c r="M427" s="1">
        <f t="shared" ca="1" si="12"/>
        <v>46204</v>
      </c>
      <c r="N427">
        <f t="shared" ca="1" si="13"/>
        <v>1</v>
      </c>
    </row>
    <row r="428" spans="1:14" x14ac:dyDescent="0.3">
      <c r="A428" t="s">
        <v>1310</v>
      </c>
      <c r="B428" t="s">
        <v>1311</v>
      </c>
      <c r="C428" t="s">
        <v>47</v>
      </c>
      <c r="D428" t="s">
        <v>56</v>
      </c>
      <c r="E428" t="s">
        <v>24</v>
      </c>
      <c r="F428">
        <v>12.05</v>
      </c>
      <c r="G428" s="1">
        <v>45941</v>
      </c>
      <c r="H428" s="1">
        <v>42995</v>
      </c>
      <c r="I428" t="s">
        <v>1312</v>
      </c>
      <c r="J428" t="s">
        <v>75</v>
      </c>
      <c r="K428">
        <v>4</v>
      </c>
      <c r="L428" t="s">
        <v>20</v>
      </c>
      <c r="M428" s="1">
        <f t="shared" ca="1" si="12"/>
        <v>46204</v>
      </c>
      <c r="N428">
        <f t="shared" ca="1" si="13"/>
        <v>1</v>
      </c>
    </row>
    <row r="429" spans="1:14" x14ac:dyDescent="0.3">
      <c r="A429" t="s">
        <v>1313</v>
      </c>
      <c r="B429" t="s">
        <v>1314</v>
      </c>
      <c r="C429" t="s">
        <v>15</v>
      </c>
      <c r="D429" t="s">
        <v>35</v>
      </c>
      <c r="E429" t="s">
        <v>52</v>
      </c>
      <c r="F429">
        <v>29.51</v>
      </c>
      <c r="G429" s="1">
        <v>45875</v>
      </c>
      <c r="H429" s="1">
        <v>43436</v>
      </c>
      <c r="I429" t="s">
        <v>1315</v>
      </c>
      <c r="J429" t="s">
        <v>75</v>
      </c>
      <c r="K429">
        <v>2</v>
      </c>
      <c r="L429" t="s">
        <v>20</v>
      </c>
      <c r="M429" s="1">
        <f t="shared" ca="1" si="12"/>
        <v>46204</v>
      </c>
      <c r="N429">
        <f t="shared" ca="1" si="13"/>
        <v>1</v>
      </c>
    </row>
    <row r="430" spans="1:14" x14ac:dyDescent="0.3">
      <c r="A430" t="s">
        <v>1316</v>
      </c>
      <c r="B430" t="s">
        <v>1317</v>
      </c>
      <c r="C430" t="s">
        <v>64</v>
      </c>
      <c r="D430" t="s">
        <v>69</v>
      </c>
      <c r="E430" t="s">
        <v>52</v>
      </c>
      <c r="F430">
        <v>15.89</v>
      </c>
      <c r="G430" s="1">
        <v>45774</v>
      </c>
      <c r="H430" s="1">
        <v>43412</v>
      </c>
      <c r="I430" t="s">
        <v>1318</v>
      </c>
      <c r="J430" t="s">
        <v>26</v>
      </c>
      <c r="K430">
        <v>1</v>
      </c>
      <c r="L430" t="s">
        <v>27</v>
      </c>
      <c r="M430" s="1">
        <f t="shared" ca="1" si="12"/>
        <v>46204</v>
      </c>
      <c r="N430">
        <f t="shared" ca="1" si="13"/>
        <v>1</v>
      </c>
    </row>
    <row r="431" spans="1:14" x14ac:dyDescent="0.3">
      <c r="A431" t="s">
        <v>1319</v>
      </c>
      <c r="B431" t="s">
        <v>1320</v>
      </c>
      <c r="C431" t="s">
        <v>47</v>
      </c>
      <c r="D431" t="s">
        <v>56</v>
      </c>
      <c r="E431" t="s">
        <v>17</v>
      </c>
      <c r="F431">
        <v>10.96</v>
      </c>
      <c r="G431" s="1">
        <v>45733</v>
      </c>
      <c r="H431" s="1">
        <v>43301</v>
      </c>
      <c r="I431" t="s">
        <v>1321</v>
      </c>
      <c r="J431" t="s">
        <v>49</v>
      </c>
      <c r="K431">
        <v>1</v>
      </c>
      <c r="L431" t="s">
        <v>27</v>
      </c>
      <c r="M431" s="1">
        <f t="shared" ca="1" si="12"/>
        <v>46204</v>
      </c>
      <c r="N431">
        <f t="shared" ca="1" si="13"/>
        <v>1</v>
      </c>
    </row>
    <row r="432" spans="1:14" x14ac:dyDescent="0.3">
      <c r="A432" t="s">
        <v>1322</v>
      </c>
      <c r="B432" t="s">
        <v>1323</v>
      </c>
      <c r="C432" t="s">
        <v>124</v>
      </c>
      <c r="D432" t="s">
        <v>73</v>
      </c>
      <c r="E432" t="s">
        <v>24</v>
      </c>
      <c r="F432">
        <v>15.76</v>
      </c>
      <c r="G432" s="1">
        <v>45741</v>
      </c>
      <c r="H432" s="1">
        <v>44875</v>
      </c>
      <c r="I432" t="s">
        <v>1324</v>
      </c>
      <c r="J432" t="s">
        <v>75</v>
      </c>
      <c r="K432">
        <v>1</v>
      </c>
      <c r="L432" t="s">
        <v>27</v>
      </c>
      <c r="M432" s="1">
        <f t="shared" ca="1" si="12"/>
        <v>46204</v>
      </c>
      <c r="N432">
        <f t="shared" ca="1" si="13"/>
        <v>1</v>
      </c>
    </row>
    <row r="433" spans="1:14" x14ac:dyDescent="0.3">
      <c r="A433" t="s">
        <v>1325</v>
      </c>
      <c r="B433" t="s">
        <v>1326</v>
      </c>
      <c r="C433" t="s">
        <v>60</v>
      </c>
      <c r="D433" t="s">
        <v>56</v>
      </c>
      <c r="E433" t="s">
        <v>17</v>
      </c>
      <c r="F433">
        <v>12.91</v>
      </c>
      <c r="G433" s="1">
        <v>46017</v>
      </c>
      <c r="H433" s="1">
        <v>45187</v>
      </c>
      <c r="I433" t="s">
        <v>1327</v>
      </c>
      <c r="J433" t="s">
        <v>37</v>
      </c>
      <c r="K433">
        <v>2</v>
      </c>
      <c r="L433" t="s">
        <v>20</v>
      </c>
      <c r="M433" s="1">
        <f t="shared" ca="1" si="12"/>
        <v>46204</v>
      </c>
      <c r="N433">
        <f t="shared" ca="1" si="13"/>
        <v>1</v>
      </c>
    </row>
    <row r="434" spans="1:14" x14ac:dyDescent="0.3">
      <c r="A434" t="s">
        <v>1328</v>
      </c>
      <c r="B434" t="s">
        <v>1329</v>
      </c>
      <c r="C434" t="s">
        <v>60</v>
      </c>
      <c r="D434" t="s">
        <v>16</v>
      </c>
      <c r="E434" t="s">
        <v>17</v>
      </c>
      <c r="F434">
        <v>18.54</v>
      </c>
      <c r="G434" s="1">
        <v>46024</v>
      </c>
      <c r="H434" s="1">
        <v>43636</v>
      </c>
      <c r="I434" t="s">
        <v>1330</v>
      </c>
      <c r="J434" t="s">
        <v>26</v>
      </c>
      <c r="K434">
        <v>3</v>
      </c>
      <c r="L434" t="s">
        <v>20</v>
      </c>
      <c r="M434" s="1">
        <f t="shared" ca="1" si="12"/>
        <v>46204</v>
      </c>
      <c r="N434">
        <f t="shared" ca="1" si="13"/>
        <v>1</v>
      </c>
    </row>
    <row r="435" spans="1:14" x14ac:dyDescent="0.3">
      <c r="A435" t="s">
        <v>1331</v>
      </c>
      <c r="B435" t="s">
        <v>1332</v>
      </c>
      <c r="C435" t="s">
        <v>23</v>
      </c>
      <c r="D435" t="s">
        <v>40</v>
      </c>
      <c r="E435" t="s">
        <v>52</v>
      </c>
      <c r="F435">
        <v>7.02</v>
      </c>
      <c r="G435" s="1">
        <v>45821</v>
      </c>
      <c r="H435" s="1">
        <v>42380</v>
      </c>
      <c r="I435" t="s">
        <v>1333</v>
      </c>
      <c r="J435" t="s">
        <v>66</v>
      </c>
      <c r="K435">
        <v>4</v>
      </c>
      <c r="L435" t="s">
        <v>20</v>
      </c>
      <c r="M435" s="1">
        <f t="shared" ca="1" si="12"/>
        <v>46204</v>
      </c>
      <c r="N435">
        <f t="shared" ca="1" si="13"/>
        <v>1</v>
      </c>
    </row>
    <row r="436" spans="1:14" x14ac:dyDescent="0.3">
      <c r="A436" t="s">
        <v>1334</v>
      </c>
      <c r="B436" t="s">
        <v>1335</v>
      </c>
      <c r="C436" t="s">
        <v>124</v>
      </c>
      <c r="D436" t="s">
        <v>35</v>
      </c>
      <c r="E436" t="s">
        <v>17</v>
      </c>
      <c r="F436">
        <v>35.79</v>
      </c>
      <c r="G436" s="1">
        <v>45895</v>
      </c>
      <c r="H436" s="1">
        <v>43897</v>
      </c>
      <c r="I436" t="s">
        <v>1336</v>
      </c>
      <c r="J436" t="s">
        <v>26</v>
      </c>
      <c r="K436">
        <v>2</v>
      </c>
      <c r="L436" t="s">
        <v>20</v>
      </c>
      <c r="M436" s="1">
        <f t="shared" ca="1" si="12"/>
        <v>46204</v>
      </c>
      <c r="N436">
        <f t="shared" ca="1" si="13"/>
        <v>1</v>
      </c>
    </row>
    <row r="437" spans="1:14" x14ac:dyDescent="0.3">
      <c r="A437" t="s">
        <v>1337</v>
      </c>
      <c r="B437" t="s">
        <v>1338</v>
      </c>
      <c r="C437" t="s">
        <v>64</v>
      </c>
      <c r="D437" t="s">
        <v>56</v>
      </c>
      <c r="E437" t="s">
        <v>30</v>
      </c>
      <c r="F437">
        <v>25.78</v>
      </c>
      <c r="G437" s="1">
        <v>46031</v>
      </c>
      <c r="H437" s="1">
        <v>44939</v>
      </c>
      <c r="I437" t="s">
        <v>1339</v>
      </c>
      <c r="J437" t="s">
        <v>94</v>
      </c>
      <c r="K437">
        <v>5</v>
      </c>
      <c r="L437" t="s">
        <v>20</v>
      </c>
      <c r="M437" s="1">
        <f t="shared" ca="1" si="12"/>
        <v>46204</v>
      </c>
      <c r="N437">
        <f t="shared" ca="1" si="13"/>
        <v>1</v>
      </c>
    </row>
    <row r="438" spans="1:14" x14ac:dyDescent="0.3">
      <c r="A438" t="s">
        <v>1340</v>
      </c>
      <c r="B438" t="s">
        <v>1341</v>
      </c>
      <c r="C438" t="s">
        <v>34</v>
      </c>
      <c r="D438" t="s">
        <v>35</v>
      </c>
      <c r="E438" t="s">
        <v>52</v>
      </c>
      <c r="F438">
        <v>13.42</v>
      </c>
      <c r="G438" s="1">
        <v>45914</v>
      </c>
      <c r="H438" s="1">
        <v>44465</v>
      </c>
      <c r="I438" t="s">
        <v>1342</v>
      </c>
      <c r="J438" t="s">
        <v>26</v>
      </c>
      <c r="K438">
        <v>5</v>
      </c>
      <c r="L438" t="s">
        <v>20</v>
      </c>
      <c r="M438" s="1">
        <f t="shared" ca="1" si="12"/>
        <v>46204</v>
      </c>
      <c r="N438">
        <f t="shared" ca="1" si="13"/>
        <v>1</v>
      </c>
    </row>
    <row r="439" spans="1:14" x14ac:dyDescent="0.3">
      <c r="A439" t="s">
        <v>1343</v>
      </c>
      <c r="B439" t="s">
        <v>1344</v>
      </c>
      <c r="C439" t="s">
        <v>23</v>
      </c>
      <c r="D439" t="s">
        <v>69</v>
      </c>
      <c r="E439" t="s">
        <v>24</v>
      </c>
      <c r="F439">
        <v>20.67</v>
      </c>
      <c r="G439" s="1">
        <v>45919</v>
      </c>
      <c r="H439" s="1">
        <v>44430</v>
      </c>
      <c r="I439" t="s">
        <v>1345</v>
      </c>
      <c r="J439" t="s">
        <v>26</v>
      </c>
      <c r="K439">
        <v>4</v>
      </c>
      <c r="L439" t="s">
        <v>20</v>
      </c>
      <c r="M439" s="1">
        <f t="shared" ca="1" si="12"/>
        <v>46204</v>
      </c>
      <c r="N439">
        <f t="shared" ca="1" si="13"/>
        <v>1</v>
      </c>
    </row>
    <row r="440" spans="1:14" x14ac:dyDescent="0.3">
      <c r="A440" t="s">
        <v>1346</v>
      </c>
      <c r="B440" t="s">
        <v>1347</v>
      </c>
      <c r="C440" t="s">
        <v>47</v>
      </c>
      <c r="D440" t="s">
        <v>69</v>
      </c>
      <c r="E440" t="s">
        <v>24</v>
      </c>
      <c r="F440">
        <v>24.25</v>
      </c>
      <c r="G440" s="1">
        <v>45769</v>
      </c>
      <c r="H440" s="1">
        <v>44535</v>
      </c>
      <c r="I440" t="s">
        <v>1348</v>
      </c>
      <c r="J440" t="s">
        <v>94</v>
      </c>
      <c r="K440">
        <v>5</v>
      </c>
      <c r="L440" t="s">
        <v>27</v>
      </c>
      <c r="M440" s="1">
        <f t="shared" ca="1" si="12"/>
        <v>46204</v>
      </c>
      <c r="N440">
        <f t="shared" ca="1" si="13"/>
        <v>1</v>
      </c>
    </row>
    <row r="441" spans="1:14" x14ac:dyDescent="0.3">
      <c r="A441" t="s">
        <v>1349</v>
      </c>
      <c r="B441" t="s">
        <v>1350</v>
      </c>
      <c r="C441" t="s">
        <v>34</v>
      </c>
      <c r="D441" t="s">
        <v>16</v>
      </c>
      <c r="E441" t="s">
        <v>30</v>
      </c>
      <c r="F441">
        <v>10.27</v>
      </c>
      <c r="G441" s="1">
        <v>46008</v>
      </c>
      <c r="H441" s="1">
        <v>44448</v>
      </c>
      <c r="I441" t="s">
        <v>1351</v>
      </c>
      <c r="J441" t="s">
        <v>75</v>
      </c>
      <c r="K441">
        <v>3</v>
      </c>
      <c r="L441" t="s">
        <v>27</v>
      </c>
      <c r="M441" s="1">
        <f t="shared" ca="1" si="12"/>
        <v>46204</v>
      </c>
      <c r="N441">
        <f t="shared" ca="1" si="13"/>
        <v>1</v>
      </c>
    </row>
    <row r="442" spans="1:14" x14ac:dyDescent="0.3">
      <c r="A442" t="s">
        <v>1352</v>
      </c>
      <c r="B442" t="s">
        <v>1353</v>
      </c>
      <c r="C442" t="s">
        <v>64</v>
      </c>
      <c r="D442" t="s">
        <v>73</v>
      </c>
      <c r="E442" t="s">
        <v>17</v>
      </c>
      <c r="F442">
        <v>22.32</v>
      </c>
      <c r="G442" s="1">
        <v>45983</v>
      </c>
      <c r="H442" s="1">
        <v>45283</v>
      </c>
      <c r="I442" t="s">
        <v>1354</v>
      </c>
      <c r="J442" t="s">
        <v>37</v>
      </c>
      <c r="K442">
        <v>2</v>
      </c>
      <c r="L442" t="s">
        <v>20</v>
      </c>
      <c r="M442" s="1">
        <f t="shared" ca="1" si="12"/>
        <v>46204</v>
      </c>
      <c r="N442">
        <f t="shared" ca="1" si="13"/>
        <v>1</v>
      </c>
    </row>
    <row r="443" spans="1:14" x14ac:dyDescent="0.3">
      <c r="A443" t="s">
        <v>1355</v>
      </c>
      <c r="B443" t="s">
        <v>1356</v>
      </c>
      <c r="C443" t="s">
        <v>124</v>
      </c>
      <c r="D443" t="s">
        <v>56</v>
      </c>
      <c r="E443" t="s">
        <v>24</v>
      </c>
      <c r="F443">
        <v>7.52</v>
      </c>
      <c r="G443" s="1">
        <v>46004</v>
      </c>
      <c r="H443" s="1">
        <v>42885</v>
      </c>
      <c r="I443" t="s">
        <v>1357</v>
      </c>
      <c r="J443" t="s">
        <v>49</v>
      </c>
      <c r="K443">
        <v>3</v>
      </c>
      <c r="L443" t="s">
        <v>27</v>
      </c>
      <c r="M443" s="1">
        <f t="shared" ca="1" si="12"/>
        <v>46204</v>
      </c>
      <c r="N443">
        <f t="shared" ca="1" si="13"/>
        <v>1</v>
      </c>
    </row>
    <row r="444" spans="1:14" x14ac:dyDescent="0.3">
      <c r="A444" t="s">
        <v>1358</v>
      </c>
      <c r="B444" t="s">
        <v>1359</v>
      </c>
      <c r="C444" t="s">
        <v>15</v>
      </c>
      <c r="D444" t="s">
        <v>40</v>
      </c>
      <c r="E444" t="s">
        <v>17</v>
      </c>
      <c r="F444">
        <v>35.07</v>
      </c>
      <c r="G444" s="1">
        <v>45747</v>
      </c>
      <c r="H444" s="1">
        <v>43820</v>
      </c>
      <c r="I444" t="s">
        <v>1360</v>
      </c>
      <c r="J444" t="s">
        <v>19</v>
      </c>
      <c r="K444">
        <v>4</v>
      </c>
      <c r="L444" t="s">
        <v>20</v>
      </c>
      <c r="M444" s="1">
        <f t="shared" ca="1" si="12"/>
        <v>46204</v>
      </c>
      <c r="N444">
        <f t="shared" ca="1" si="13"/>
        <v>1</v>
      </c>
    </row>
    <row r="445" spans="1:14" x14ac:dyDescent="0.3">
      <c r="A445" t="s">
        <v>1361</v>
      </c>
      <c r="B445" t="s">
        <v>1362</v>
      </c>
      <c r="C445" t="s">
        <v>34</v>
      </c>
      <c r="D445" t="s">
        <v>56</v>
      </c>
      <c r="E445" t="s">
        <v>30</v>
      </c>
      <c r="F445">
        <v>28.77</v>
      </c>
      <c r="G445" s="1">
        <v>46017</v>
      </c>
      <c r="H445" s="1">
        <v>43355</v>
      </c>
      <c r="I445" t="s">
        <v>1363</v>
      </c>
      <c r="J445" t="s">
        <v>49</v>
      </c>
      <c r="K445">
        <v>4</v>
      </c>
      <c r="L445" t="s">
        <v>27</v>
      </c>
      <c r="M445" s="1">
        <f t="shared" ca="1" si="12"/>
        <v>46204</v>
      </c>
      <c r="N445">
        <f t="shared" ca="1" si="13"/>
        <v>1</v>
      </c>
    </row>
    <row r="446" spans="1:14" x14ac:dyDescent="0.3">
      <c r="A446" t="s">
        <v>1364</v>
      </c>
      <c r="B446" t="s">
        <v>1365</v>
      </c>
      <c r="C446" t="s">
        <v>64</v>
      </c>
      <c r="D446" t="s">
        <v>73</v>
      </c>
      <c r="E446" t="s">
        <v>24</v>
      </c>
      <c r="F446">
        <v>36.57</v>
      </c>
      <c r="G446" s="1">
        <v>45717</v>
      </c>
      <c r="H446" s="1">
        <v>44050</v>
      </c>
      <c r="I446" t="s">
        <v>1366</v>
      </c>
      <c r="J446" t="s">
        <v>37</v>
      </c>
      <c r="K446">
        <v>3</v>
      </c>
      <c r="L446" t="s">
        <v>27</v>
      </c>
      <c r="M446" s="1">
        <f t="shared" ca="1" si="12"/>
        <v>46204</v>
      </c>
      <c r="N446">
        <f t="shared" ca="1" si="13"/>
        <v>1</v>
      </c>
    </row>
    <row r="447" spans="1:14" x14ac:dyDescent="0.3">
      <c r="A447" t="s">
        <v>1367</v>
      </c>
      <c r="B447" t="s">
        <v>1368</v>
      </c>
      <c r="C447" t="s">
        <v>64</v>
      </c>
      <c r="D447" t="s">
        <v>16</v>
      </c>
      <c r="E447" t="s">
        <v>30</v>
      </c>
      <c r="F447">
        <v>6.53</v>
      </c>
      <c r="G447" s="1">
        <v>45994</v>
      </c>
      <c r="H447" s="1">
        <v>44426</v>
      </c>
      <c r="I447" t="s">
        <v>1369</v>
      </c>
      <c r="J447" t="s">
        <v>66</v>
      </c>
      <c r="K447">
        <v>3</v>
      </c>
      <c r="L447" t="s">
        <v>20</v>
      </c>
      <c r="M447" s="1">
        <f t="shared" ca="1" si="12"/>
        <v>46204</v>
      </c>
      <c r="N447">
        <f t="shared" ca="1" si="13"/>
        <v>1</v>
      </c>
    </row>
    <row r="448" spans="1:14" x14ac:dyDescent="0.3">
      <c r="A448" t="s">
        <v>1370</v>
      </c>
      <c r="B448" t="s">
        <v>1371</v>
      </c>
      <c r="C448" t="s">
        <v>64</v>
      </c>
      <c r="D448" t="s">
        <v>56</v>
      </c>
      <c r="E448" t="s">
        <v>17</v>
      </c>
      <c r="F448">
        <v>33.450000000000003</v>
      </c>
      <c r="G448" s="1">
        <v>45824</v>
      </c>
      <c r="H448" s="1">
        <v>43659</v>
      </c>
      <c r="I448" t="s">
        <v>1372</v>
      </c>
      <c r="J448" t="s">
        <v>66</v>
      </c>
      <c r="K448">
        <v>2</v>
      </c>
      <c r="L448" t="s">
        <v>20</v>
      </c>
      <c r="M448" s="1">
        <f t="shared" ca="1" si="12"/>
        <v>46204</v>
      </c>
      <c r="N448">
        <f t="shared" ca="1" si="13"/>
        <v>1</v>
      </c>
    </row>
    <row r="449" spans="1:14" x14ac:dyDescent="0.3">
      <c r="A449" t="s">
        <v>1373</v>
      </c>
      <c r="B449" t="s">
        <v>1374</v>
      </c>
      <c r="C449" t="s">
        <v>23</v>
      </c>
      <c r="D449" t="s">
        <v>16</v>
      </c>
      <c r="E449" t="s">
        <v>52</v>
      </c>
      <c r="F449">
        <v>27.01</v>
      </c>
      <c r="G449" s="1">
        <v>45954</v>
      </c>
      <c r="H449" s="1">
        <v>44615</v>
      </c>
      <c r="I449" t="s">
        <v>1375</v>
      </c>
      <c r="J449" t="s">
        <v>75</v>
      </c>
      <c r="K449">
        <v>2</v>
      </c>
      <c r="L449" t="s">
        <v>20</v>
      </c>
      <c r="M449" s="1">
        <f t="shared" ca="1" si="12"/>
        <v>46204</v>
      </c>
      <c r="N449">
        <f t="shared" ca="1" si="13"/>
        <v>1</v>
      </c>
    </row>
    <row r="450" spans="1:14" x14ac:dyDescent="0.3">
      <c r="A450" t="s">
        <v>1376</v>
      </c>
      <c r="B450" t="s">
        <v>1377</v>
      </c>
      <c r="C450" t="s">
        <v>60</v>
      </c>
      <c r="D450" t="s">
        <v>35</v>
      </c>
      <c r="E450" t="s">
        <v>30</v>
      </c>
      <c r="F450">
        <v>11.25</v>
      </c>
      <c r="G450" s="1">
        <v>45916</v>
      </c>
      <c r="H450" s="1">
        <v>43391</v>
      </c>
      <c r="I450" t="s">
        <v>1378</v>
      </c>
      <c r="J450" t="s">
        <v>75</v>
      </c>
      <c r="K450">
        <v>4</v>
      </c>
      <c r="L450" t="s">
        <v>27</v>
      </c>
      <c r="M450" s="1">
        <f t="shared" ca="1" si="12"/>
        <v>46204</v>
      </c>
      <c r="N450">
        <f t="shared" ca="1" si="13"/>
        <v>1</v>
      </c>
    </row>
    <row r="451" spans="1:14" x14ac:dyDescent="0.3">
      <c r="A451" t="s">
        <v>1379</v>
      </c>
      <c r="B451" t="s">
        <v>1380</v>
      </c>
      <c r="C451" t="s">
        <v>47</v>
      </c>
      <c r="D451" t="s">
        <v>69</v>
      </c>
      <c r="E451" t="s">
        <v>30</v>
      </c>
      <c r="F451">
        <v>24.58</v>
      </c>
      <c r="G451" s="1">
        <v>45815</v>
      </c>
      <c r="H451" s="1">
        <v>44507</v>
      </c>
      <c r="I451" t="s">
        <v>1381</v>
      </c>
      <c r="J451" t="s">
        <v>26</v>
      </c>
      <c r="K451">
        <v>2</v>
      </c>
      <c r="L451" t="s">
        <v>20</v>
      </c>
      <c r="M451" s="1">
        <f t="shared" ref="M451:M514" ca="1" si="14">TODAY()</f>
        <v>46204</v>
      </c>
      <c r="N451">
        <f t="shared" ref="N451:N514" ca="1" si="15">IF(G451&lt;M451,1,0)</f>
        <v>1</v>
      </c>
    </row>
    <row r="452" spans="1:14" x14ac:dyDescent="0.3">
      <c r="A452" t="s">
        <v>1382</v>
      </c>
      <c r="B452" t="s">
        <v>1383</v>
      </c>
      <c r="C452" t="s">
        <v>64</v>
      </c>
      <c r="D452" t="s">
        <v>16</v>
      </c>
      <c r="E452" t="s">
        <v>30</v>
      </c>
      <c r="F452">
        <v>1.02</v>
      </c>
      <c r="G452" s="1">
        <v>45831</v>
      </c>
      <c r="H452" s="1">
        <v>42461</v>
      </c>
      <c r="I452" t="s">
        <v>1384</v>
      </c>
      <c r="J452" t="s">
        <v>66</v>
      </c>
      <c r="K452">
        <v>1</v>
      </c>
      <c r="L452" t="s">
        <v>27</v>
      </c>
      <c r="M452" s="1">
        <f t="shared" ca="1" si="14"/>
        <v>46204</v>
      </c>
      <c r="N452">
        <f t="shared" ca="1" si="15"/>
        <v>1</v>
      </c>
    </row>
    <row r="453" spans="1:14" x14ac:dyDescent="0.3">
      <c r="A453" t="s">
        <v>1385</v>
      </c>
      <c r="B453" t="s">
        <v>1386</v>
      </c>
      <c r="C453" t="s">
        <v>64</v>
      </c>
      <c r="D453" t="s">
        <v>73</v>
      </c>
      <c r="E453" t="s">
        <v>24</v>
      </c>
      <c r="F453">
        <v>20.51</v>
      </c>
      <c r="G453" s="1">
        <v>46057</v>
      </c>
      <c r="H453" s="1">
        <v>45069</v>
      </c>
      <c r="I453" t="s">
        <v>1387</v>
      </c>
      <c r="J453" t="s">
        <v>66</v>
      </c>
      <c r="K453">
        <v>4</v>
      </c>
      <c r="L453" t="s">
        <v>27</v>
      </c>
      <c r="M453" s="1">
        <f t="shared" ca="1" si="14"/>
        <v>46204</v>
      </c>
      <c r="N453">
        <f t="shared" ca="1" si="15"/>
        <v>1</v>
      </c>
    </row>
    <row r="454" spans="1:14" x14ac:dyDescent="0.3">
      <c r="A454" t="s">
        <v>1388</v>
      </c>
      <c r="B454" t="s">
        <v>1389</v>
      </c>
      <c r="C454" t="s">
        <v>124</v>
      </c>
      <c r="D454" t="s">
        <v>73</v>
      </c>
      <c r="E454" t="s">
        <v>30</v>
      </c>
      <c r="F454">
        <v>9.68</v>
      </c>
      <c r="G454" s="1">
        <v>45806</v>
      </c>
      <c r="H454" s="1">
        <v>42645</v>
      </c>
      <c r="I454" t="s">
        <v>1390</v>
      </c>
      <c r="J454" t="s">
        <v>94</v>
      </c>
      <c r="K454">
        <v>4</v>
      </c>
      <c r="L454" t="s">
        <v>27</v>
      </c>
      <c r="M454" s="1">
        <f t="shared" ca="1" si="14"/>
        <v>46204</v>
      </c>
      <c r="N454">
        <f t="shared" ca="1" si="15"/>
        <v>1</v>
      </c>
    </row>
    <row r="455" spans="1:14" x14ac:dyDescent="0.3">
      <c r="A455" t="s">
        <v>1391</v>
      </c>
      <c r="B455" t="s">
        <v>1392</v>
      </c>
      <c r="C455" t="s">
        <v>15</v>
      </c>
      <c r="D455" t="s">
        <v>16</v>
      </c>
      <c r="E455" t="s">
        <v>30</v>
      </c>
      <c r="F455">
        <v>36.61</v>
      </c>
      <c r="G455" s="1">
        <v>45847</v>
      </c>
      <c r="H455" s="1">
        <v>42362</v>
      </c>
      <c r="I455" t="s">
        <v>1393</v>
      </c>
      <c r="J455" t="s">
        <v>94</v>
      </c>
      <c r="K455">
        <v>4</v>
      </c>
      <c r="L455" t="s">
        <v>20</v>
      </c>
      <c r="M455" s="1">
        <f t="shared" ca="1" si="14"/>
        <v>46204</v>
      </c>
      <c r="N455">
        <f t="shared" ca="1" si="15"/>
        <v>1</v>
      </c>
    </row>
    <row r="456" spans="1:14" x14ac:dyDescent="0.3">
      <c r="A456" t="s">
        <v>1394</v>
      </c>
      <c r="B456" t="s">
        <v>1395</v>
      </c>
      <c r="C456" t="s">
        <v>60</v>
      </c>
      <c r="D456" t="s">
        <v>35</v>
      </c>
      <c r="E456" t="s">
        <v>17</v>
      </c>
      <c r="F456">
        <v>18.809999999999999</v>
      </c>
      <c r="G456" s="1">
        <v>45738</v>
      </c>
      <c r="H456" s="1">
        <v>45111</v>
      </c>
      <c r="I456" t="s">
        <v>1396</v>
      </c>
      <c r="J456" t="s">
        <v>94</v>
      </c>
      <c r="K456">
        <v>3</v>
      </c>
      <c r="L456" t="s">
        <v>20</v>
      </c>
      <c r="M456" s="1">
        <f t="shared" ca="1" si="14"/>
        <v>46204</v>
      </c>
      <c r="N456">
        <f t="shared" ca="1" si="15"/>
        <v>1</v>
      </c>
    </row>
    <row r="457" spans="1:14" x14ac:dyDescent="0.3">
      <c r="A457" t="s">
        <v>1397</v>
      </c>
      <c r="B457" t="s">
        <v>1398</v>
      </c>
      <c r="C457" t="s">
        <v>34</v>
      </c>
      <c r="D457" t="s">
        <v>69</v>
      </c>
      <c r="E457" t="s">
        <v>52</v>
      </c>
      <c r="F457">
        <v>29.55</v>
      </c>
      <c r="G457" s="1">
        <v>45780</v>
      </c>
      <c r="H457" s="1">
        <v>42941</v>
      </c>
      <c r="I457" t="s">
        <v>1399</v>
      </c>
      <c r="J457" t="s">
        <v>37</v>
      </c>
      <c r="K457">
        <v>5</v>
      </c>
      <c r="L457" t="s">
        <v>27</v>
      </c>
      <c r="M457" s="1">
        <f t="shared" ca="1" si="14"/>
        <v>46204</v>
      </c>
      <c r="N457">
        <f t="shared" ca="1" si="15"/>
        <v>1</v>
      </c>
    </row>
    <row r="458" spans="1:14" x14ac:dyDescent="0.3">
      <c r="A458" t="s">
        <v>1400</v>
      </c>
      <c r="B458" t="s">
        <v>1401</v>
      </c>
      <c r="C458" t="s">
        <v>60</v>
      </c>
      <c r="D458" t="s">
        <v>56</v>
      </c>
      <c r="E458" t="s">
        <v>52</v>
      </c>
      <c r="F458">
        <v>18.13</v>
      </c>
      <c r="G458" s="1">
        <v>45728</v>
      </c>
      <c r="H458" s="1">
        <v>44213</v>
      </c>
      <c r="I458" t="s">
        <v>1402</v>
      </c>
      <c r="J458" t="s">
        <v>19</v>
      </c>
      <c r="K458">
        <v>5</v>
      </c>
      <c r="L458" t="s">
        <v>27</v>
      </c>
      <c r="M458" s="1">
        <f t="shared" ca="1" si="14"/>
        <v>46204</v>
      </c>
      <c r="N458">
        <f t="shared" ca="1" si="15"/>
        <v>1</v>
      </c>
    </row>
    <row r="459" spans="1:14" x14ac:dyDescent="0.3">
      <c r="A459" t="s">
        <v>1403</v>
      </c>
      <c r="B459" t="s">
        <v>1404</v>
      </c>
      <c r="C459" t="s">
        <v>47</v>
      </c>
      <c r="D459" t="s">
        <v>69</v>
      </c>
      <c r="E459" t="s">
        <v>24</v>
      </c>
      <c r="F459">
        <v>32.89</v>
      </c>
      <c r="G459" s="1">
        <v>45958</v>
      </c>
      <c r="H459" s="1">
        <v>43762</v>
      </c>
      <c r="I459" t="s">
        <v>1405</v>
      </c>
      <c r="J459" t="s">
        <v>66</v>
      </c>
      <c r="K459">
        <v>1</v>
      </c>
      <c r="L459" t="s">
        <v>20</v>
      </c>
      <c r="M459" s="1">
        <f t="shared" ca="1" si="14"/>
        <v>46204</v>
      </c>
      <c r="N459">
        <f t="shared" ca="1" si="15"/>
        <v>1</v>
      </c>
    </row>
    <row r="460" spans="1:14" x14ac:dyDescent="0.3">
      <c r="A460" t="s">
        <v>1406</v>
      </c>
      <c r="B460" t="s">
        <v>1407</v>
      </c>
      <c r="C460" t="s">
        <v>60</v>
      </c>
      <c r="D460" t="s">
        <v>56</v>
      </c>
      <c r="E460" t="s">
        <v>24</v>
      </c>
      <c r="F460">
        <v>26.85</v>
      </c>
      <c r="G460" s="1">
        <v>46011</v>
      </c>
      <c r="H460" s="1">
        <v>42671</v>
      </c>
      <c r="I460" t="s">
        <v>1408</v>
      </c>
      <c r="J460" t="s">
        <v>49</v>
      </c>
      <c r="K460">
        <v>1</v>
      </c>
      <c r="L460" t="s">
        <v>20</v>
      </c>
      <c r="M460" s="1">
        <f t="shared" ca="1" si="14"/>
        <v>46204</v>
      </c>
      <c r="N460">
        <f t="shared" ca="1" si="15"/>
        <v>1</v>
      </c>
    </row>
    <row r="461" spans="1:14" x14ac:dyDescent="0.3">
      <c r="A461" t="s">
        <v>1409</v>
      </c>
      <c r="B461" t="s">
        <v>1410</v>
      </c>
      <c r="C461" t="s">
        <v>23</v>
      </c>
      <c r="D461" t="s">
        <v>40</v>
      </c>
      <c r="E461" t="s">
        <v>17</v>
      </c>
      <c r="F461">
        <v>24.43</v>
      </c>
      <c r="G461" s="1">
        <v>45995</v>
      </c>
      <c r="H461" s="1">
        <v>43499</v>
      </c>
      <c r="I461" t="s">
        <v>1411</v>
      </c>
      <c r="J461" t="s">
        <v>66</v>
      </c>
      <c r="K461">
        <v>5</v>
      </c>
      <c r="L461" t="s">
        <v>27</v>
      </c>
      <c r="M461" s="1">
        <f t="shared" ca="1" si="14"/>
        <v>46204</v>
      </c>
      <c r="N461">
        <f t="shared" ca="1" si="15"/>
        <v>1</v>
      </c>
    </row>
    <row r="462" spans="1:14" x14ac:dyDescent="0.3">
      <c r="A462" t="s">
        <v>1412</v>
      </c>
      <c r="B462" t="s">
        <v>1413</v>
      </c>
      <c r="C462" t="s">
        <v>47</v>
      </c>
      <c r="D462" t="s">
        <v>56</v>
      </c>
      <c r="E462" t="s">
        <v>30</v>
      </c>
      <c r="F462">
        <v>21.97</v>
      </c>
      <c r="G462" s="1">
        <v>45722</v>
      </c>
      <c r="H462" s="1">
        <v>45465</v>
      </c>
      <c r="I462" t="s">
        <v>1414</v>
      </c>
      <c r="J462" t="s">
        <v>49</v>
      </c>
      <c r="K462">
        <v>4</v>
      </c>
      <c r="L462" t="s">
        <v>20</v>
      </c>
      <c r="M462" s="1">
        <f t="shared" ca="1" si="14"/>
        <v>46204</v>
      </c>
      <c r="N462">
        <f t="shared" ca="1" si="15"/>
        <v>1</v>
      </c>
    </row>
    <row r="463" spans="1:14" x14ac:dyDescent="0.3">
      <c r="A463" t="s">
        <v>1415</v>
      </c>
      <c r="B463" t="s">
        <v>1416</v>
      </c>
      <c r="C463" t="s">
        <v>15</v>
      </c>
      <c r="D463" t="s">
        <v>40</v>
      </c>
      <c r="E463" t="s">
        <v>17</v>
      </c>
      <c r="F463">
        <v>25.25</v>
      </c>
      <c r="G463" s="1">
        <v>45796</v>
      </c>
      <c r="H463" s="1">
        <v>44116</v>
      </c>
      <c r="I463" t="s">
        <v>1417</v>
      </c>
      <c r="J463" t="s">
        <v>94</v>
      </c>
      <c r="K463">
        <v>1</v>
      </c>
      <c r="L463" t="s">
        <v>27</v>
      </c>
      <c r="M463" s="1">
        <f t="shared" ca="1" si="14"/>
        <v>46204</v>
      </c>
      <c r="N463">
        <f t="shared" ca="1" si="15"/>
        <v>1</v>
      </c>
    </row>
    <row r="464" spans="1:14" x14ac:dyDescent="0.3">
      <c r="A464" t="s">
        <v>1418</v>
      </c>
      <c r="B464" t="s">
        <v>1419</v>
      </c>
      <c r="C464" t="s">
        <v>34</v>
      </c>
      <c r="D464" t="s">
        <v>56</v>
      </c>
      <c r="E464" t="s">
        <v>17</v>
      </c>
      <c r="F464">
        <v>6.22</v>
      </c>
      <c r="G464" s="1">
        <v>45956</v>
      </c>
      <c r="H464" s="1">
        <v>42504</v>
      </c>
      <c r="I464" t="s">
        <v>1420</v>
      </c>
      <c r="J464" t="s">
        <v>26</v>
      </c>
      <c r="K464">
        <v>2</v>
      </c>
      <c r="L464" t="s">
        <v>20</v>
      </c>
      <c r="M464" s="1">
        <f t="shared" ca="1" si="14"/>
        <v>46204</v>
      </c>
      <c r="N464">
        <f t="shared" ca="1" si="15"/>
        <v>1</v>
      </c>
    </row>
    <row r="465" spans="1:14" x14ac:dyDescent="0.3">
      <c r="A465" t="s">
        <v>1421</v>
      </c>
      <c r="B465" t="s">
        <v>1422</v>
      </c>
      <c r="C465" t="s">
        <v>47</v>
      </c>
      <c r="D465" t="s">
        <v>16</v>
      </c>
      <c r="E465" t="s">
        <v>30</v>
      </c>
      <c r="F465">
        <v>7.4</v>
      </c>
      <c r="G465" s="1">
        <v>45753</v>
      </c>
      <c r="H465" s="1">
        <v>44632</v>
      </c>
      <c r="I465" t="s">
        <v>1423</v>
      </c>
      <c r="J465" t="s">
        <v>66</v>
      </c>
      <c r="K465">
        <v>5</v>
      </c>
      <c r="L465" t="s">
        <v>20</v>
      </c>
      <c r="M465" s="1">
        <f t="shared" ca="1" si="14"/>
        <v>46204</v>
      </c>
      <c r="N465">
        <f t="shared" ca="1" si="15"/>
        <v>1</v>
      </c>
    </row>
    <row r="466" spans="1:14" x14ac:dyDescent="0.3">
      <c r="A466" t="s">
        <v>1424</v>
      </c>
      <c r="B466" t="s">
        <v>1425</v>
      </c>
      <c r="C466" t="s">
        <v>60</v>
      </c>
      <c r="D466" t="s">
        <v>56</v>
      </c>
      <c r="E466" t="s">
        <v>24</v>
      </c>
      <c r="F466">
        <v>14.5</v>
      </c>
      <c r="G466" s="1">
        <v>45867</v>
      </c>
      <c r="H466" s="1">
        <v>43532</v>
      </c>
      <c r="I466" t="s">
        <v>1426</v>
      </c>
      <c r="J466" t="s">
        <v>49</v>
      </c>
      <c r="K466">
        <v>2</v>
      </c>
      <c r="L466" t="s">
        <v>20</v>
      </c>
      <c r="M466" s="1">
        <f t="shared" ca="1" si="14"/>
        <v>46204</v>
      </c>
      <c r="N466">
        <f t="shared" ca="1" si="15"/>
        <v>1</v>
      </c>
    </row>
    <row r="467" spans="1:14" x14ac:dyDescent="0.3">
      <c r="A467" t="s">
        <v>1427</v>
      </c>
      <c r="B467" t="s">
        <v>1428</v>
      </c>
      <c r="C467" t="s">
        <v>15</v>
      </c>
      <c r="D467" t="s">
        <v>69</v>
      </c>
      <c r="E467" t="s">
        <v>24</v>
      </c>
      <c r="F467">
        <v>39.6</v>
      </c>
      <c r="G467" s="1">
        <v>45931</v>
      </c>
      <c r="H467" s="1">
        <v>42949</v>
      </c>
      <c r="I467" t="s">
        <v>1429</v>
      </c>
      <c r="J467" t="s">
        <v>66</v>
      </c>
      <c r="K467">
        <v>4</v>
      </c>
      <c r="L467" t="s">
        <v>27</v>
      </c>
      <c r="M467" s="1">
        <f t="shared" ca="1" si="14"/>
        <v>46204</v>
      </c>
      <c r="N467">
        <f t="shared" ca="1" si="15"/>
        <v>1</v>
      </c>
    </row>
    <row r="468" spans="1:14" x14ac:dyDescent="0.3">
      <c r="A468" t="s">
        <v>1430</v>
      </c>
      <c r="B468" t="s">
        <v>1431</v>
      </c>
      <c r="C468" t="s">
        <v>15</v>
      </c>
      <c r="D468" t="s">
        <v>73</v>
      </c>
      <c r="E468" t="s">
        <v>24</v>
      </c>
      <c r="F468">
        <v>23.75</v>
      </c>
      <c r="G468" s="1">
        <v>46052</v>
      </c>
      <c r="H468" s="1">
        <v>44560</v>
      </c>
      <c r="I468" t="s">
        <v>1432</v>
      </c>
      <c r="J468" t="s">
        <v>66</v>
      </c>
      <c r="K468">
        <v>1</v>
      </c>
      <c r="L468" t="s">
        <v>20</v>
      </c>
      <c r="M468" s="1">
        <f t="shared" ca="1" si="14"/>
        <v>46204</v>
      </c>
      <c r="N468">
        <f t="shared" ca="1" si="15"/>
        <v>1</v>
      </c>
    </row>
    <row r="469" spans="1:14" x14ac:dyDescent="0.3">
      <c r="A469" t="s">
        <v>1433</v>
      </c>
      <c r="B469" t="s">
        <v>1434</v>
      </c>
      <c r="C469" t="s">
        <v>47</v>
      </c>
      <c r="D469" t="s">
        <v>35</v>
      </c>
      <c r="E469" t="s">
        <v>17</v>
      </c>
      <c r="F469">
        <v>4.83</v>
      </c>
      <c r="G469" s="1">
        <v>46058</v>
      </c>
      <c r="H469" s="1">
        <v>44823</v>
      </c>
      <c r="I469" t="s">
        <v>1435</v>
      </c>
      <c r="J469" t="s">
        <v>37</v>
      </c>
      <c r="K469">
        <v>3</v>
      </c>
      <c r="L469" t="s">
        <v>27</v>
      </c>
      <c r="M469" s="1">
        <f t="shared" ca="1" si="14"/>
        <v>46204</v>
      </c>
      <c r="N469">
        <f t="shared" ca="1" si="15"/>
        <v>1</v>
      </c>
    </row>
    <row r="470" spans="1:14" x14ac:dyDescent="0.3">
      <c r="A470" t="s">
        <v>1436</v>
      </c>
      <c r="B470" t="s">
        <v>1437</v>
      </c>
      <c r="C470" t="s">
        <v>34</v>
      </c>
      <c r="D470" t="s">
        <v>40</v>
      </c>
      <c r="E470" t="s">
        <v>52</v>
      </c>
      <c r="F470">
        <v>15.32</v>
      </c>
      <c r="G470" s="1">
        <v>45739</v>
      </c>
      <c r="H470" s="1">
        <v>45401</v>
      </c>
      <c r="I470" t="s">
        <v>1438</v>
      </c>
      <c r="J470" t="s">
        <v>94</v>
      </c>
      <c r="K470">
        <v>5</v>
      </c>
      <c r="L470" t="s">
        <v>20</v>
      </c>
      <c r="M470" s="1">
        <f t="shared" ca="1" si="14"/>
        <v>46204</v>
      </c>
      <c r="N470">
        <f t="shared" ca="1" si="15"/>
        <v>1</v>
      </c>
    </row>
    <row r="471" spans="1:14" x14ac:dyDescent="0.3">
      <c r="A471" t="s">
        <v>1439</v>
      </c>
      <c r="B471" t="s">
        <v>1440</v>
      </c>
      <c r="C471" t="s">
        <v>60</v>
      </c>
      <c r="D471" t="s">
        <v>35</v>
      </c>
      <c r="E471" t="s">
        <v>24</v>
      </c>
      <c r="F471">
        <v>9.77</v>
      </c>
      <c r="G471" s="1">
        <v>45827</v>
      </c>
      <c r="H471" s="1">
        <v>45110</v>
      </c>
      <c r="I471" t="s">
        <v>1441</v>
      </c>
      <c r="J471" t="s">
        <v>66</v>
      </c>
      <c r="K471">
        <v>1</v>
      </c>
      <c r="L471" t="s">
        <v>20</v>
      </c>
      <c r="M471" s="1">
        <f t="shared" ca="1" si="14"/>
        <v>46204</v>
      </c>
      <c r="N471">
        <f t="shared" ca="1" si="15"/>
        <v>1</v>
      </c>
    </row>
    <row r="472" spans="1:14" x14ac:dyDescent="0.3">
      <c r="A472" t="s">
        <v>1442</v>
      </c>
      <c r="B472" t="s">
        <v>1443</v>
      </c>
      <c r="C472" t="s">
        <v>15</v>
      </c>
      <c r="D472" t="s">
        <v>73</v>
      </c>
      <c r="E472" t="s">
        <v>30</v>
      </c>
      <c r="F472">
        <v>18.04</v>
      </c>
      <c r="G472" s="1">
        <v>45979</v>
      </c>
      <c r="H472" s="1">
        <v>45279</v>
      </c>
      <c r="I472" t="s">
        <v>1188</v>
      </c>
      <c r="J472" t="s">
        <v>19</v>
      </c>
      <c r="K472">
        <v>4</v>
      </c>
      <c r="L472" t="s">
        <v>20</v>
      </c>
      <c r="M472" s="1">
        <f t="shared" ca="1" si="14"/>
        <v>46204</v>
      </c>
      <c r="N472">
        <f t="shared" ca="1" si="15"/>
        <v>1</v>
      </c>
    </row>
    <row r="473" spans="1:14" x14ac:dyDescent="0.3">
      <c r="A473" t="s">
        <v>1444</v>
      </c>
      <c r="B473" t="s">
        <v>1445</v>
      </c>
      <c r="C473" t="s">
        <v>60</v>
      </c>
      <c r="D473" t="s">
        <v>73</v>
      </c>
      <c r="E473" t="s">
        <v>52</v>
      </c>
      <c r="F473">
        <v>24.84</v>
      </c>
      <c r="G473" s="1">
        <v>45990</v>
      </c>
      <c r="H473" s="1">
        <v>42621</v>
      </c>
      <c r="I473" t="s">
        <v>1446</v>
      </c>
      <c r="J473" t="s">
        <v>66</v>
      </c>
      <c r="K473">
        <v>3</v>
      </c>
      <c r="L473" t="s">
        <v>27</v>
      </c>
      <c r="M473" s="1">
        <f t="shared" ca="1" si="14"/>
        <v>46204</v>
      </c>
      <c r="N473">
        <f t="shared" ca="1" si="15"/>
        <v>1</v>
      </c>
    </row>
    <row r="474" spans="1:14" x14ac:dyDescent="0.3">
      <c r="A474" t="s">
        <v>1447</v>
      </c>
      <c r="B474" t="s">
        <v>1448</v>
      </c>
      <c r="C474" t="s">
        <v>47</v>
      </c>
      <c r="D474" t="s">
        <v>69</v>
      </c>
      <c r="E474" t="s">
        <v>52</v>
      </c>
      <c r="F474">
        <v>11.39</v>
      </c>
      <c r="G474" s="1">
        <v>45832</v>
      </c>
      <c r="H474" s="1">
        <v>45438</v>
      </c>
      <c r="I474" t="s">
        <v>1449</v>
      </c>
      <c r="J474" t="s">
        <v>37</v>
      </c>
      <c r="K474">
        <v>3</v>
      </c>
      <c r="L474" t="s">
        <v>27</v>
      </c>
      <c r="M474" s="1">
        <f t="shared" ca="1" si="14"/>
        <v>46204</v>
      </c>
      <c r="N474">
        <f t="shared" ca="1" si="15"/>
        <v>1</v>
      </c>
    </row>
    <row r="475" spans="1:14" x14ac:dyDescent="0.3">
      <c r="A475" t="s">
        <v>1450</v>
      </c>
      <c r="B475" t="s">
        <v>1451</v>
      </c>
      <c r="C475" t="s">
        <v>124</v>
      </c>
      <c r="D475" t="s">
        <v>73</v>
      </c>
      <c r="E475" t="s">
        <v>24</v>
      </c>
      <c r="F475">
        <v>36.630000000000003</v>
      </c>
      <c r="G475" s="1">
        <v>45908</v>
      </c>
      <c r="H475" s="1">
        <v>43523</v>
      </c>
      <c r="I475" t="s">
        <v>1452</v>
      </c>
      <c r="J475" t="s">
        <v>75</v>
      </c>
      <c r="K475">
        <v>2</v>
      </c>
      <c r="L475" t="s">
        <v>27</v>
      </c>
      <c r="M475" s="1">
        <f t="shared" ca="1" si="14"/>
        <v>46204</v>
      </c>
      <c r="N475">
        <f t="shared" ca="1" si="15"/>
        <v>1</v>
      </c>
    </row>
    <row r="476" spans="1:14" x14ac:dyDescent="0.3">
      <c r="A476" t="s">
        <v>1453</v>
      </c>
      <c r="B476" t="s">
        <v>1454</v>
      </c>
      <c r="C476" t="s">
        <v>64</v>
      </c>
      <c r="D476" t="s">
        <v>35</v>
      </c>
      <c r="E476" t="s">
        <v>52</v>
      </c>
      <c r="F476">
        <v>25.97</v>
      </c>
      <c r="G476" s="1">
        <v>45991</v>
      </c>
      <c r="H476" s="1">
        <v>43729</v>
      </c>
      <c r="I476" t="s">
        <v>1455</v>
      </c>
      <c r="J476" t="s">
        <v>37</v>
      </c>
      <c r="K476">
        <v>5</v>
      </c>
      <c r="L476" t="s">
        <v>27</v>
      </c>
      <c r="M476" s="1">
        <f t="shared" ca="1" si="14"/>
        <v>46204</v>
      </c>
      <c r="N476">
        <f t="shared" ca="1" si="15"/>
        <v>1</v>
      </c>
    </row>
    <row r="477" spans="1:14" x14ac:dyDescent="0.3">
      <c r="A477" t="s">
        <v>1456</v>
      </c>
      <c r="B477" t="s">
        <v>1457</v>
      </c>
      <c r="C477" t="s">
        <v>60</v>
      </c>
      <c r="D477" t="s">
        <v>16</v>
      </c>
      <c r="E477" t="s">
        <v>52</v>
      </c>
      <c r="F477">
        <v>12.61</v>
      </c>
      <c r="G477" s="1">
        <v>45860</v>
      </c>
      <c r="H477" s="1">
        <v>44977</v>
      </c>
      <c r="I477" t="s">
        <v>1458</v>
      </c>
      <c r="J477" t="s">
        <v>19</v>
      </c>
      <c r="K477">
        <v>3</v>
      </c>
      <c r="L477" t="s">
        <v>20</v>
      </c>
      <c r="M477" s="1">
        <f t="shared" ca="1" si="14"/>
        <v>46204</v>
      </c>
      <c r="N477">
        <f t="shared" ca="1" si="15"/>
        <v>1</v>
      </c>
    </row>
    <row r="478" spans="1:14" x14ac:dyDescent="0.3">
      <c r="A478" t="s">
        <v>1459</v>
      </c>
      <c r="B478" t="s">
        <v>533</v>
      </c>
      <c r="C478" t="s">
        <v>124</v>
      </c>
      <c r="D478" t="s">
        <v>73</v>
      </c>
      <c r="E478" t="s">
        <v>17</v>
      </c>
      <c r="F478">
        <v>13.67</v>
      </c>
      <c r="G478" s="1">
        <v>45713</v>
      </c>
      <c r="H478" s="1">
        <v>45136</v>
      </c>
      <c r="I478" t="s">
        <v>1460</v>
      </c>
      <c r="J478" t="s">
        <v>26</v>
      </c>
      <c r="K478">
        <v>1</v>
      </c>
      <c r="L478" t="s">
        <v>20</v>
      </c>
      <c r="M478" s="1">
        <f t="shared" ca="1" si="14"/>
        <v>46204</v>
      </c>
      <c r="N478">
        <f t="shared" ca="1" si="15"/>
        <v>1</v>
      </c>
    </row>
    <row r="479" spans="1:14" x14ac:dyDescent="0.3">
      <c r="A479" t="s">
        <v>1461</v>
      </c>
      <c r="B479" t="s">
        <v>1462</v>
      </c>
      <c r="C479" t="s">
        <v>47</v>
      </c>
      <c r="D479" t="s">
        <v>16</v>
      </c>
      <c r="E479" t="s">
        <v>52</v>
      </c>
      <c r="F479">
        <v>20.86</v>
      </c>
      <c r="G479" s="1">
        <v>46064</v>
      </c>
      <c r="H479" s="1">
        <v>45401</v>
      </c>
      <c r="I479" t="s">
        <v>1463</v>
      </c>
      <c r="J479" t="s">
        <v>19</v>
      </c>
      <c r="K479">
        <v>4</v>
      </c>
      <c r="L479" t="s">
        <v>27</v>
      </c>
      <c r="M479" s="1">
        <f t="shared" ca="1" si="14"/>
        <v>46204</v>
      </c>
      <c r="N479">
        <f t="shared" ca="1" si="15"/>
        <v>1</v>
      </c>
    </row>
    <row r="480" spans="1:14" x14ac:dyDescent="0.3">
      <c r="A480" t="s">
        <v>1464</v>
      </c>
      <c r="B480" t="s">
        <v>1465</v>
      </c>
      <c r="C480" t="s">
        <v>124</v>
      </c>
      <c r="D480" t="s">
        <v>35</v>
      </c>
      <c r="E480" t="s">
        <v>30</v>
      </c>
      <c r="F480">
        <v>18.37</v>
      </c>
      <c r="G480" s="1">
        <v>45974</v>
      </c>
      <c r="H480" s="1">
        <v>45127</v>
      </c>
      <c r="I480" t="s">
        <v>1466</v>
      </c>
      <c r="J480" t="s">
        <v>94</v>
      </c>
      <c r="K480">
        <v>3</v>
      </c>
      <c r="L480" t="s">
        <v>27</v>
      </c>
      <c r="M480" s="1">
        <f t="shared" ca="1" si="14"/>
        <v>46204</v>
      </c>
      <c r="N480">
        <f t="shared" ca="1" si="15"/>
        <v>1</v>
      </c>
    </row>
    <row r="481" spans="1:14" x14ac:dyDescent="0.3">
      <c r="A481" t="s">
        <v>1467</v>
      </c>
      <c r="B481" t="s">
        <v>1468</v>
      </c>
      <c r="C481" t="s">
        <v>23</v>
      </c>
      <c r="D481" t="s">
        <v>40</v>
      </c>
      <c r="E481" t="s">
        <v>24</v>
      </c>
      <c r="F481">
        <v>31.87</v>
      </c>
      <c r="G481" s="1">
        <v>45953</v>
      </c>
      <c r="H481" s="1">
        <v>44370</v>
      </c>
      <c r="I481" t="s">
        <v>1469</v>
      </c>
      <c r="J481" t="s">
        <v>26</v>
      </c>
      <c r="K481">
        <v>4</v>
      </c>
      <c r="L481" t="s">
        <v>27</v>
      </c>
      <c r="M481" s="1">
        <f t="shared" ca="1" si="14"/>
        <v>46204</v>
      </c>
      <c r="N481">
        <f t="shared" ca="1" si="15"/>
        <v>1</v>
      </c>
    </row>
    <row r="482" spans="1:14" x14ac:dyDescent="0.3">
      <c r="A482" t="s">
        <v>1470</v>
      </c>
      <c r="B482" t="s">
        <v>1471</v>
      </c>
      <c r="C482" t="s">
        <v>64</v>
      </c>
      <c r="D482" t="s">
        <v>40</v>
      </c>
      <c r="E482" t="s">
        <v>24</v>
      </c>
      <c r="F482">
        <v>30.25</v>
      </c>
      <c r="G482" s="1">
        <v>45915</v>
      </c>
      <c r="H482" s="1">
        <v>43173</v>
      </c>
      <c r="I482" t="s">
        <v>1472</v>
      </c>
      <c r="J482" t="s">
        <v>49</v>
      </c>
      <c r="K482">
        <v>3</v>
      </c>
      <c r="L482" t="s">
        <v>27</v>
      </c>
      <c r="M482" s="1">
        <f t="shared" ca="1" si="14"/>
        <v>46204</v>
      </c>
      <c r="N482">
        <f t="shared" ca="1" si="15"/>
        <v>1</v>
      </c>
    </row>
    <row r="483" spans="1:14" x14ac:dyDescent="0.3">
      <c r="A483" t="s">
        <v>1473</v>
      </c>
      <c r="B483" t="s">
        <v>1474</v>
      </c>
      <c r="C483" t="s">
        <v>34</v>
      </c>
      <c r="D483" t="s">
        <v>69</v>
      </c>
      <c r="E483" t="s">
        <v>30</v>
      </c>
      <c r="F483">
        <v>13.87</v>
      </c>
      <c r="G483" s="1">
        <v>45974</v>
      </c>
      <c r="H483" s="1">
        <v>42780</v>
      </c>
      <c r="I483" t="s">
        <v>1475</v>
      </c>
      <c r="J483" t="s">
        <v>94</v>
      </c>
      <c r="K483">
        <v>5</v>
      </c>
      <c r="L483" t="s">
        <v>20</v>
      </c>
      <c r="M483" s="1">
        <f t="shared" ca="1" si="14"/>
        <v>46204</v>
      </c>
      <c r="N483">
        <f t="shared" ca="1" si="15"/>
        <v>1</v>
      </c>
    </row>
    <row r="484" spans="1:14" x14ac:dyDescent="0.3">
      <c r="A484" t="s">
        <v>1476</v>
      </c>
      <c r="B484" t="s">
        <v>1477</v>
      </c>
      <c r="C484" t="s">
        <v>34</v>
      </c>
      <c r="D484" t="s">
        <v>35</v>
      </c>
      <c r="E484" t="s">
        <v>17</v>
      </c>
      <c r="F484">
        <v>21.65</v>
      </c>
      <c r="G484" s="1">
        <v>45877</v>
      </c>
      <c r="H484" s="1">
        <v>44743</v>
      </c>
      <c r="I484" t="s">
        <v>1478</v>
      </c>
      <c r="J484" t="s">
        <v>94</v>
      </c>
      <c r="K484">
        <v>1</v>
      </c>
      <c r="L484" t="s">
        <v>20</v>
      </c>
      <c r="M484" s="1">
        <f t="shared" ca="1" si="14"/>
        <v>46204</v>
      </c>
      <c r="N484">
        <f t="shared" ca="1" si="15"/>
        <v>1</v>
      </c>
    </row>
    <row r="485" spans="1:14" x14ac:dyDescent="0.3">
      <c r="A485" t="s">
        <v>1479</v>
      </c>
      <c r="B485" t="s">
        <v>1480</v>
      </c>
      <c r="C485" t="s">
        <v>15</v>
      </c>
      <c r="D485" t="s">
        <v>40</v>
      </c>
      <c r="E485" t="s">
        <v>24</v>
      </c>
      <c r="F485">
        <v>1.86</v>
      </c>
      <c r="G485" s="1">
        <v>45954</v>
      </c>
      <c r="H485" s="1">
        <v>44123</v>
      </c>
      <c r="I485" t="s">
        <v>1481</v>
      </c>
      <c r="J485" t="s">
        <v>66</v>
      </c>
      <c r="K485">
        <v>2</v>
      </c>
      <c r="L485" t="s">
        <v>27</v>
      </c>
      <c r="M485" s="1">
        <f t="shared" ca="1" si="14"/>
        <v>46204</v>
      </c>
      <c r="N485">
        <f t="shared" ca="1" si="15"/>
        <v>1</v>
      </c>
    </row>
    <row r="486" spans="1:14" x14ac:dyDescent="0.3">
      <c r="A486" t="s">
        <v>1482</v>
      </c>
      <c r="B486" t="s">
        <v>1483</v>
      </c>
      <c r="C486" t="s">
        <v>34</v>
      </c>
      <c r="D486" t="s">
        <v>35</v>
      </c>
      <c r="E486" t="s">
        <v>17</v>
      </c>
      <c r="F486">
        <v>1.65</v>
      </c>
      <c r="G486" s="1">
        <v>45774</v>
      </c>
      <c r="H486" s="1">
        <v>45401</v>
      </c>
      <c r="I486" t="s">
        <v>1484</v>
      </c>
      <c r="J486" t="s">
        <v>75</v>
      </c>
      <c r="K486">
        <v>5</v>
      </c>
      <c r="L486" t="s">
        <v>20</v>
      </c>
      <c r="M486" s="1">
        <f t="shared" ca="1" si="14"/>
        <v>46204</v>
      </c>
      <c r="N486">
        <f t="shared" ca="1" si="15"/>
        <v>1</v>
      </c>
    </row>
    <row r="487" spans="1:14" x14ac:dyDescent="0.3">
      <c r="A487" t="s">
        <v>1485</v>
      </c>
      <c r="B487" t="s">
        <v>1486</v>
      </c>
      <c r="C487" t="s">
        <v>23</v>
      </c>
      <c r="D487" t="s">
        <v>56</v>
      </c>
      <c r="E487" t="s">
        <v>24</v>
      </c>
      <c r="F487">
        <v>2.23</v>
      </c>
      <c r="G487" s="1">
        <v>45955</v>
      </c>
      <c r="H487" s="1">
        <v>44641</v>
      </c>
      <c r="I487" t="s">
        <v>1487</v>
      </c>
      <c r="J487" t="s">
        <v>49</v>
      </c>
      <c r="K487">
        <v>2</v>
      </c>
      <c r="L487" t="s">
        <v>27</v>
      </c>
      <c r="M487" s="1">
        <f t="shared" ca="1" si="14"/>
        <v>46204</v>
      </c>
      <c r="N487">
        <f t="shared" ca="1" si="15"/>
        <v>1</v>
      </c>
    </row>
    <row r="488" spans="1:14" x14ac:dyDescent="0.3">
      <c r="A488" t="s">
        <v>1488</v>
      </c>
      <c r="B488" t="s">
        <v>1489</v>
      </c>
      <c r="C488" t="s">
        <v>23</v>
      </c>
      <c r="D488" t="s">
        <v>69</v>
      </c>
      <c r="E488" t="s">
        <v>30</v>
      </c>
      <c r="F488">
        <v>18.14</v>
      </c>
      <c r="G488" s="1">
        <v>45858</v>
      </c>
      <c r="H488" s="1">
        <v>45095</v>
      </c>
      <c r="I488" t="s">
        <v>1490</v>
      </c>
      <c r="J488" t="s">
        <v>19</v>
      </c>
      <c r="K488">
        <v>2</v>
      </c>
      <c r="L488" t="s">
        <v>27</v>
      </c>
      <c r="M488" s="1">
        <f t="shared" ca="1" si="14"/>
        <v>46204</v>
      </c>
      <c r="N488">
        <f t="shared" ca="1" si="15"/>
        <v>1</v>
      </c>
    </row>
    <row r="489" spans="1:14" x14ac:dyDescent="0.3">
      <c r="A489" t="s">
        <v>1491</v>
      </c>
      <c r="B489" t="s">
        <v>1492</v>
      </c>
      <c r="C489" t="s">
        <v>124</v>
      </c>
      <c r="D489" t="s">
        <v>69</v>
      </c>
      <c r="E489" t="s">
        <v>17</v>
      </c>
      <c r="F489">
        <v>17.13</v>
      </c>
      <c r="G489" s="1">
        <v>45751</v>
      </c>
      <c r="H489" s="1">
        <v>44284</v>
      </c>
      <c r="I489" t="s">
        <v>1493</v>
      </c>
      <c r="J489" t="s">
        <v>19</v>
      </c>
      <c r="K489">
        <v>2</v>
      </c>
      <c r="L489" t="s">
        <v>20</v>
      </c>
      <c r="M489" s="1">
        <f t="shared" ca="1" si="14"/>
        <v>46204</v>
      </c>
      <c r="N489">
        <f t="shared" ca="1" si="15"/>
        <v>1</v>
      </c>
    </row>
    <row r="490" spans="1:14" x14ac:dyDescent="0.3">
      <c r="A490" t="s">
        <v>1494</v>
      </c>
      <c r="B490" t="s">
        <v>1495</v>
      </c>
      <c r="C490" t="s">
        <v>124</v>
      </c>
      <c r="D490" t="s">
        <v>56</v>
      </c>
      <c r="E490" t="s">
        <v>24</v>
      </c>
      <c r="F490">
        <v>24.61</v>
      </c>
      <c r="G490" s="1">
        <v>45987</v>
      </c>
      <c r="H490" s="1">
        <v>45299</v>
      </c>
      <c r="I490" t="s">
        <v>1496</v>
      </c>
      <c r="J490" t="s">
        <v>94</v>
      </c>
      <c r="K490">
        <v>3</v>
      </c>
      <c r="L490" t="s">
        <v>20</v>
      </c>
      <c r="M490" s="1">
        <f t="shared" ca="1" si="14"/>
        <v>46204</v>
      </c>
      <c r="N490">
        <f t="shared" ca="1" si="15"/>
        <v>1</v>
      </c>
    </row>
    <row r="491" spans="1:14" x14ac:dyDescent="0.3">
      <c r="A491" t="s">
        <v>1497</v>
      </c>
      <c r="B491" t="s">
        <v>1498</v>
      </c>
      <c r="C491" t="s">
        <v>64</v>
      </c>
      <c r="D491" t="s">
        <v>16</v>
      </c>
      <c r="E491" t="s">
        <v>24</v>
      </c>
      <c r="F491">
        <v>7.14</v>
      </c>
      <c r="G491" s="1">
        <v>46013</v>
      </c>
      <c r="H491" s="1">
        <v>45421</v>
      </c>
      <c r="I491" t="s">
        <v>1499</v>
      </c>
      <c r="J491" t="s">
        <v>26</v>
      </c>
      <c r="K491">
        <v>3</v>
      </c>
      <c r="L491" t="s">
        <v>20</v>
      </c>
      <c r="M491" s="1">
        <f t="shared" ca="1" si="14"/>
        <v>46204</v>
      </c>
      <c r="N491">
        <f t="shared" ca="1" si="15"/>
        <v>1</v>
      </c>
    </row>
    <row r="492" spans="1:14" x14ac:dyDescent="0.3">
      <c r="A492" t="s">
        <v>1500</v>
      </c>
      <c r="B492" t="s">
        <v>1501</v>
      </c>
      <c r="C492" t="s">
        <v>47</v>
      </c>
      <c r="D492" t="s">
        <v>16</v>
      </c>
      <c r="E492" t="s">
        <v>24</v>
      </c>
      <c r="F492">
        <v>37.28</v>
      </c>
      <c r="G492" s="1">
        <v>45793</v>
      </c>
      <c r="H492" s="1">
        <v>43229</v>
      </c>
      <c r="I492" t="s">
        <v>1502</v>
      </c>
      <c r="J492" t="s">
        <v>19</v>
      </c>
      <c r="K492">
        <v>2</v>
      </c>
      <c r="L492" t="s">
        <v>27</v>
      </c>
      <c r="M492" s="1">
        <f t="shared" ca="1" si="14"/>
        <v>46204</v>
      </c>
      <c r="N492">
        <f t="shared" ca="1" si="15"/>
        <v>1</v>
      </c>
    </row>
    <row r="493" spans="1:14" x14ac:dyDescent="0.3">
      <c r="A493" t="s">
        <v>1503</v>
      </c>
      <c r="B493" t="s">
        <v>1504</v>
      </c>
      <c r="C493" t="s">
        <v>47</v>
      </c>
      <c r="D493" t="s">
        <v>73</v>
      </c>
      <c r="E493" t="s">
        <v>52</v>
      </c>
      <c r="F493">
        <v>15.81</v>
      </c>
      <c r="G493" s="1">
        <v>45788</v>
      </c>
      <c r="H493" s="1">
        <v>44609</v>
      </c>
      <c r="I493" t="s">
        <v>1505</v>
      </c>
      <c r="J493" t="s">
        <v>75</v>
      </c>
      <c r="K493">
        <v>4</v>
      </c>
      <c r="L493" t="s">
        <v>27</v>
      </c>
      <c r="M493" s="1">
        <f t="shared" ca="1" si="14"/>
        <v>46204</v>
      </c>
      <c r="N493">
        <f t="shared" ca="1" si="15"/>
        <v>1</v>
      </c>
    </row>
    <row r="494" spans="1:14" x14ac:dyDescent="0.3">
      <c r="A494" t="s">
        <v>1506</v>
      </c>
      <c r="B494" t="s">
        <v>1507</v>
      </c>
      <c r="C494" t="s">
        <v>15</v>
      </c>
      <c r="D494" t="s">
        <v>35</v>
      </c>
      <c r="E494" t="s">
        <v>30</v>
      </c>
      <c r="F494">
        <v>4.84</v>
      </c>
      <c r="G494" s="1">
        <v>46037</v>
      </c>
      <c r="H494" s="1">
        <v>44608</v>
      </c>
      <c r="I494" t="s">
        <v>1508</v>
      </c>
      <c r="J494" t="s">
        <v>49</v>
      </c>
      <c r="K494">
        <v>3</v>
      </c>
      <c r="L494" t="s">
        <v>20</v>
      </c>
      <c r="M494" s="1">
        <f t="shared" ca="1" si="14"/>
        <v>46204</v>
      </c>
      <c r="N494">
        <f t="shared" ca="1" si="15"/>
        <v>1</v>
      </c>
    </row>
    <row r="495" spans="1:14" x14ac:dyDescent="0.3">
      <c r="A495" t="s">
        <v>1509</v>
      </c>
      <c r="B495" t="s">
        <v>1510</v>
      </c>
      <c r="C495" t="s">
        <v>15</v>
      </c>
      <c r="D495" t="s">
        <v>16</v>
      </c>
      <c r="E495" t="s">
        <v>30</v>
      </c>
      <c r="F495">
        <v>38.17</v>
      </c>
      <c r="G495" s="1">
        <v>45911</v>
      </c>
      <c r="H495" s="1">
        <v>45155</v>
      </c>
      <c r="I495" t="s">
        <v>1511</v>
      </c>
      <c r="J495" t="s">
        <v>75</v>
      </c>
      <c r="K495">
        <v>1</v>
      </c>
      <c r="L495" t="s">
        <v>27</v>
      </c>
      <c r="M495" s="1">
        <f t="shared" ca="1" si="14"/>
        <v>46204</v>
      </c>
      <c r="N495">
        <f t="shared" ca="1" si="15"/>
        <v>1</v>
      </c>
    </row>
    <row r="496" spans="1:14" x14ac:dyDescent="0.3">
      <c r="A496" t="s">
        <v>1512</v>
      </c>
      <c r="B496" t="s">
        <v>1513</v>
      </c>
      <c r="C496" t="s">
        <v>47</v>
      </c>
      <c r="D496" t="s">
        <v>16</v>
      </c>
      <c r="E496" t="s">
        <v>30</v>
      </c>
      <c r="F496">
        <v>30.96</v>
      </c>
      <c r="G496" s="1">
        <v>45765</v>
      </c>
      <c r="H496" s="1">
        <v>43952</v>
      </c>
      <c r="I496" t="s">
        <v>1514</v>
      </c>
      <c r="J496" t="s">
        <v>49</v>
      </c>
      <c r="K496">
        <v>1</v>
      </c>
      <c r="L496" t="s">
        <v>20</v>
      </c>
      <c r="M496" s="1">
        <f t="shared" ca="1" si="14"/>
        <v>46204</v>
      </c>
      <c r="N496">
        <f t="shared" ca="1" si="15"/>
        <v>1</v>
      </c>
    </row>
    <row r="497" spans="1:14" x14ac:dyDescent="0.3">
      <c r="A497" t="s">
        <v>1515</v>
      </c>
      <c r="B497" t="s">
        <v>1516</v>
      </c>
      <c r="C497" t="s">
        <v>34</v>
      </c>
      <c r="D497" t="s">
        <v>73</v>
      </c>
      <c r="E497" t="s">
        <v>30</v>
      </c>
      <c r="F497">
        <v>13.97</v>
      </c>
      <c r="G497" s="1">
        <v>46061</v>
      </c>
      <c r="H497" s="1">
        <v>44174</v>
      </c>
      <c r="I497" t="s">
        <v>1517</v>
      </c>
      <c r="J497" t="s">
        <v>94</v>
      </c>
      <c r="K497">
        <v>3</v>
      </c>
      <c r="L497" t="s">
        <v>20</v>
      </c>
      <c r="M497" s="1">
        <f t="shared" ca="1" si="14"/>
        <v>46204</v>
      </c>
      <c r="N497">
        <f t="shared" ca="1" si="15"/>
        <v>1</v>
      </c>
    </row>
    <row r="498" spans="1:14" x14ac:dyDescent="0.3">
      <c r="A498" t="s">
        <v>1518</v>
      </c>
      <c r="B498" t="s">
        <v>1519</v>
      </c>
      <c r="C498" t="s">
        <v>15</v>
      </c>
      <c r="D498" t="s">
        <v>56</v>
      </c>
      <c r="E498" t="s">
        <v>24</v>
      </c>
      <c r="F498">
        <v>39.450000000000003</v>
      </c>
      <c r="G498" s="1">
        <v>46029</v>
      </c>
      <c r="H498" s="1">
        <v>43727</v>
      </c>
      <c r="I498" t="s">
        <v>1520</v>
      </c>
      <c r="J498" t="s">
        <v>19</v>
      </c>
      <c r="K498">
        <v>5</v>
      </c>
      <c r="L498" t="s">
        <v>27</v>
      </c>
      <c r="M498" s="1">
        <f t="shared" ca="1" si="14"/>
        <v>46204</v>
      </c>
      <c r="N498">
        <f t="shared" ca="1" si="15"/>
        <v>1</v>
      </c>
    </row>
    <row r="499" spans="1:14" x14ac:dyDescent="0.3">
      <c r="A499" t="s">
        <v>1521</v>
      </c>
      <c r="B499" t="s">
        <v>1522</v>
      </c>
      <c r="C499" t="s">
        <v>47</v>
      </c>
      <c r="D499" t="s">
        <v>35</v>
      </c>
      <c r="E499" t="s">
        <v>30</v>
      </c>
      <c r="F499">
        <v>24.34</v>
      </c>
      <c r="G499" s="1">
        <v>45928</v>
      </c>
      <c r="H499" s="1">
        <v>43696</v>
      </c>
      <c r="I499" t="s">
        <v>1523</v>
      </c>
      <c r="J499" t="s">
        <v>94</v>
      </c>
      <c r="K499">
        <v>5</v>
      </c>
      <c r="L499" t="s">
        <v>27</v>
      </c>
      <c r="M499" s="1">
        <f t="shared" ca="1" si="14"/>
        <v>46204</v>
      </c>
      <c r="N499">
        <f t="shared" ca="1" si="15"/>
        <v>1</v>
      </c>
    </row>
    <row r="500" spans="1:14" x14ac:dyDescent="0.3">
      <c r="A500" t="s">
        <v>1524</v>
      </c>
      <c r="B500" t="s">
        <v>1525</v>
      </c>
      <c r="C500" t="s">
        <v>34</v>
      </c>
      <c r="D500" t="s">
        <v>16</v>
      </c>
      <c r="E500" t="s">
        <v>30</v>
      </c>
      <c r="F500">
        <v>21.5</v>
      </c>
      <c r="G500" s="1">
        <v>45827</v>
      </c>
      <c r="H500" s="1">
        <v>44882</v>
      </c>
      <c r="I500" t="s">
        <v>1526</v>
      </c>
      <c r="J500" t="s">
        <v>19</v>
      </c>
      <c r="K500">
        <v>5</v>
      </c>
      <c r="L500" t="s">
        <v>27</v>
      </c>
      <c r="M500" s="1">
        <f t="shared" ca="1" si="14"/>
        <v>46204</v>
      </c>
      <c r="N500">
        <f t="shared" ca="1" si="15"/>
        <v>1</v>
      </c>
    </row>
    <row r="501" spans="1:14" x14ac:dyDescent="0.3">
      <c r="A501" t="s">
        <v>1527</v>
      </c>
      <c r="B501" t="s">
        <v>1528</v>
      </c>
      <c r="C501" t="s">
        <v>47</v>
      </c>
      <c r="D501" t="s">
        <v>56</v>
      </c>
      <c r="E501" t="s">
        <v>24</v>
      </c>
      <c r="F501">
        <v>36.909999999999997</v>
      </c>
      <c r="G501" s="1">
        <v>46018</v>
      </c>
      <c r="H501" s="1">
        <v>43686</v>
      </c>
      <c r="I501" t="s">
        <v>1529</v>
      </c>
      <c r="J501" t="s">
        <v>75</v>
      </c>
      <c r="K501">
        <v>4</v>
      </c>
      <c r="L501" t="s">
        <v>20</v>
      </c>
      <c r="M501" s="1">
        <f t="shared" ca="1" si="14"/>
        <v>46204</v>
      </c>
      <c r="N501">
        <f t="shared" ca="1" si="15"/>
        <v>1</v>
      </c>
    </row>
    <row r="502" spans="1:14" x14ac:dyDescent="0.3">
      <c r="A502" t="s">
        <v>1530</v>
      </c>
      <c r="B502" t="s">
        <v>1531</v>
      </c>
      <c r="C502" t="s">
        <v>23</v>
      </c>
      <c r="D502" t="s">
        <v>35</v>
      </c>
      <c r="E502" t="s">
        <v>52</v>
      </c>
      <c r="F502">
        <v>16.41</v>
      </c>
      <c r="G502" s="1">
        <v>45712</v>
      </c>
      <c r="H502" s="1">
        <v>44692</v>
      </c>
      <c r="I502" t="s">
        <v>1532</v>
      </c>
      <c r="J502" t="s">
        <v>26</v>
      </c>
      <c r="K502">
        <v>1</v>
      </c>
      <c r="L502" t="s">
        <v>20</v>
      </c>
      <c r="M502" s="1">
        <f t="shared" ca="1" si="14"/>
        <v>46204</v>
      </c>
      <c r="N502">
        <f t="shared" ca="1" si="15"/>
        <v>1</v>
      </c>
    </row>
    <row r="503" spans="1:14" x14ac:dyDescent="0.3">
      <c r="A503" t="s">
        <v>1533</v>
      </c>
      <c r="B503" t="s">
        <v>1534</v>
      </c>
      <c r="C503" t="s">
        <v>64</v>
      </c>
      <c r="D503" t="s">
        <v>16</v>
      </c>
      <c r="E503" t="s">
        <v>17</v>
      </c>
      <c r="F503">
        <v>20.59</v>
      </c>
      <c r="G503" s="1">
        <v>45870</v>
      </c>
      <c r="H503" s="1">
        <v>42306</v>
      </c>
      <c r="I503" t="s">
        <v>1535</v>
      </c>
      <c r="J503" t="s">
        <v>94</v>
      </c>
      <c r="K503">
        <v>3</v>
      </c>
      <c r="L503" t="s">
        <v>27</v>
      </c>
      <c r="M503" s="1">
        <f t="shared" ca="1" si="14"/>
        <v>46204</v>
      </c>
      <c r="N503">
        <f t="shared" ca="1" si="15"/>
        <v>1</v>
      </c>
    </row>
    <row r="504" spans="1:14" x14ac:dyDescent="0.3">
      <c r="A504" t="s">
        <v>1536</v>
      </c>
      <c r="B504" t="s">
        <v>1537</v>
      </c>
      <c r="C504" t="s">
        <v>15</v>
      </c>
      <c r="D504" t="s">
        <v>69</v>
      </c>
      <c r="E504" t="s">
        <v>30</v>
      </c>
      <c r="F504">
        <v>28.52</v>
      </c>
      <c r="G504" s="1">
        <v>45867</v>
      </c>
      <c r="H504" s="1">
        <v>45361</v>
      </c>
      <c r="I504" t="s">
        <v>1538</v>
      </c>
      <c r="J504" t="s">
        <v>75</v>
      </c>
      <c r="K504">
        <v>3</v>
      </c>
      <c r="L504" t="s">
        <v>20</v>
      </c>
      <c r="M504" s="1">
        <f t="shared" ca="1" si="14"/>
        <v>46204</v>
      </c>
      <c r="N504">
        <f t="shared" ca="1" si="15"/>
        <v>1</v>
      </c>
    </row>
    <row r="505" spans="1:14" x14ac:dyDescent="0.3">
      <c r="A505" t="s">
        <v>1539</v>
      </c>
      <c r="B505" t="s">
        <v>1540</v>
      </c>
      <c r="C505" t="s">
        <v>23</v>
      </c>
      <c r="D505" t="s">
        <v>69</v>
      </c>
      <c r="E505" t="s">
        <v>52</v>
      </c>
      <c r="F505">
        <v>24.04</v>
      </c>
      <c r="G505" s="1">
        <v>45724</v>
      </c>
      <c r="H505" s="1">
        <v>44009</v>
      </c>
      <c r="I505" t="s">
        <v>1541</v>
      </c>
      <c r="J505" t="s">
        <v>66</v>
      </c>
      <c r="K505">
        <v>3</v>
      </c>
      <c r="L505" t="s">
        <v>20</v>
      </c>
      <c r="M505" s="1">
        <f t="shared" ca="1" si="14"/>
        <v>46204</v>
      </c>
      <c r="N505">
        <f t="shared" ca="1" si="15"/>
        <v>1</v>
      </c>
    </row>
    <row r="506" spans="1:14" x14ac:dyDescent="0.3">
      <c r="A506" t="s">
        <v>1542</v>
      </c>
      <c r="B506" t="s">
        <v>766</v>
      </c>
      <c r="C506" t="s">
        <v>23</v>
      </c>
      <c r="D506" t="s">
        <v>40</v>
      </c>
      <c r="E506" t="s">
        <v>30</v>
      </c>
      <c r="F506">
        <v>6.23</v>
      </c>
      <c r="G506" s="1">
        <v>45821</v>
      </c>
      <c r="H506" s="1">
        <v>43129</v>
      </c>
      <c r="I506" t="s">
        <v>1543</v>
      </c>
      <c r="J506" t="s">
        <v>26</v>
      </c>
      <c r="K506">
        <v>4</v>
      </c>
      <c r="L506" t="s">
        <v>27</v>
      </c>
      <c r="M506" s="1">
        <f t="shared" ca="1" si="14"/>
        <v>46204</v>
      </c>
      <c r="N506">
        <f t="shared" ca="1" si="15"/>
        <v>1</v>
      </c>
    </row>
    <row r="507" spans="1:14" x14ac:dyDescent="0.3">
      <c r="A507" t="s">
        <v>1544</v>
      </c>
      <c r="B507" t="s">
        <v>1545</v>
      </c>
      <c r="C507" t="s">
        <v>23</v>
      </c>
      <c r="D507" t="s">
        <v>69</v>
      </c>
      <c r="E507" t="s">
        <v>30</v>
      </c>
      <c r="F507">
        <v>22.34</v>
      </c>
      <c r="G507" s="1">
        <v>46034</v>
      </c>
      <c r="H507" s="1">
        <v>42900</v>
      </c>
      <c r="I507" t="s">
        <v>1546</v>
      </c>
      <c r="J507" t="s">
        <v>37</v>
      </c>
      <c r="K507">
        <v>4</v>
      </c>
      <c r="L507" t="s">
        <v>27</v>
      </c>
      <c r="M507" s="1">
        <f t="shared" ca="1" si="14"/>
        <v>46204</v>
      </c>
      <c r="N507">
        <f t="shared" ca="1" si="15"/>
        <v>1</v>
      </c>
    </row>
    <row r="508" spans="1:14" x14ac:dyDescent="0.3">
      <c r="A508" t="s">
        <v>1547</v>
      </c>
      <c r="B508" t="s">
        <v>1548</v>
      </c>
      <c r="C508" t="s">
        <v>64</v>
      </c>
      <c r="D508" t="s">
        <v>73</v>
      </c>
      <c r="E508" t="s">
        <v>52</v>
      </c>
      <c r="F508">
        <v>10.78</v>
      </c>
      <c r="G508" s="1">
        <v>46025</v>
      </c>
      <c r="H508" s="1">
        <v>45254</v>
      </c>
      <c r="I508" t="s">
        <v>1549</v>
      </c>
      <c r="J508" t="s">
        <v>19</v>
      </c>
      <c r="K508">
        <v>4</v>
      </c>
      <c r="L508" t="s">
        <v>27</v>
      </c>
      <c r="M508" s="1">
        <f t="shared" ca="1" si="14"/>
        <v>46204</v>
      </c>
      <c r="N508">
        <f t="shared" ca="1" si="15"/>
        <v>1</v>
      </c>
    </row>
    <row r="509" spans="1:14" x14ac:dyDescent="0.3">
      <c r="A509" t="s">
        <v>1550</v>
      </c>
      <c r="B509" t="s">
        <v>1551</v>
      </c>
      <c r="C509" t="s">
        <v>64</v>
      </c>
      <c r="D509" t="s">
        <v>69</v>
      </c>
      <c r="E509" t="s">
        <v>30</v>
      </c>
      <c r="F509">
        <v>19.93</v>
      </c>
      <c r="G509" s="1">
        <v>45712</v>
      </c>
      <c r="H509" s="1">
        <v>43170</v>
      </c>
      <c r="I509" t="s">
        <v>1552</v>
      </c>
      <c r="J509" t="s">
        <v>94</v>
      </c>
      <c r="K509">
        <v>3</v>
      </c>
      <c r="L509" t="s">
        <v>20</v>
      </c>
      <c r="M509" s="1">
        <f t="shared" ca="1" si="14"/>
        <v>46204</v>
      </c>
      <c r="N509">
        <f t="shared" ca="1" si="15"/>
        <v>1</v>
      </c>
    </row>
    <row r="510" spans="1:14" x14ac:dyDescent="0.3">
      <c r="A510" t="s">
        <v>1553</v>
      </c>
      <c r="B510" t="s">
        <v>1554</v>
      </c>
      <c r="C510" t="s">
        <v>64</v>
      </c>
      <c r="D510" t="s">
        <v>69</v>
      </c>
      <c r="E510" t="s">
        <v>17</v>
      </c>
      <c r="F510">
        <v>9.68</v>
      </c>
      <c r="G510" s="1">
        <v>46052</v>
      </c>
      <c r="H510" s="1">
        <v>42859</v>
      </c>
      <c r="I510" t="s">
        <v>1555</v>
      </c>
      <c r="J510" t="s">
        <v>19</v>
      </c>
      <c r="K510">
        <v>3</v>
      </c>
      <c r="L510" t="s">
        <v>20</v>
      </c>
      <c r="M510" s="1">
        <f t="shared" ca="1" si="14"/>
        <v>46204</v>
      </c>
      <c r="N510">
        <f t="shared" ca="1" si="15"/>
        <v>1</v>
      </c>
    </row>
    <row r="511" spans="1:14" x14ac:dyDescent="0.3">
      <c r="A511" t="s">
        <v>1556</v>
      </c>
      <c r="B511" t="s">
        <v>1557</v>
      </c>
      <c r="C511" t="s">
        <v>15</v>
      </c>
      <c r="D511" t="s">
        <v>73</v>
      </c>
      <c r="E511" t="s">
        <v>52</v>
      </c>
      <c r="F511">
        <v>24.28</v>
      </c>
      <c r="G511" s="1">
        <v>46059</v>
      </c>
      <c r="H511" s="1">
        <v>44777</v>
      </c>
      <c r="I511" t="s">
        <v>1558</v>
      </c>
      <c r="J511" t="s">
        <v>26</v>
      </c>
      <c r="K511">
        <v>3</v>
      </c>
      <c r="L511" t="s">
        <v>27</v>
      </c>
      <c r="M511" s="1">
        <f t="shared" ca="1" si="14"/>
        <v>46204</v>
      </c>
      <c r="N511">
        <f t="shared" ca="1" si="15"/>
        <v>1</v>
      </c>
    </row>
    <row r="512" spans="1:14" x14ac:dyDescent="0.3">
      <c r="A512" t="s">
        <v>1559</v>
      </c>
      <c r="B512" t="s">
        <v>1560</v>
      </c>
      <c r="C512" t="s">
        <v>47</v>
      </c>
      <c r="D512" t="s">
        <v>35</v>
      </c>
      <c r="E512" t="s">
        <v>24</v>
      </c>
      <c r="F512">
        <v>14.82</v>
      </c>
      <c r="G512" s="1">
        <v>45882</v>
      </c>
      <c r="H512" s="1">
        <v>44420</v>
      </c>
      <c r="I512" t="s">
        <v>1561</v>
      </c>
      <c r="J512" t="s">
        <v>94</v>
      </c>
      <c r="K512">
        <v>5</v>
      </c>
      <c r="L512" t="s">
        <v>20</v>
      </c>
      <c r="M512" s="1">
        <f t="shared" ca="1" si="14"/>
        <v>46204</v>
      </c>
      <c r="N512">
        <f t="shared" ca="1" si="15"/>
        <v>1</v>
      </c>
    </row>
    <row r="513" spans="1:14" x14ac:dyDescent="0.3">
      <c r="A513" t="s">
        <v>1562</v>
      </c>
      <c r="B513" t="s">
        <v>1563</v>
      </c>
      <c r="C513" t="s">
        <v>15</v>
      </c>
      <c r="D513" t="s">
        <v>35</v>
      </c>
      <c r="E513" t="s">
        <v>24</v>
      </c>
      <c r="F513">
        <v>5.57</v>
      </c>
      <c r="G513" s="1">
        <v>46019</v>
      </c>
      <c r="H513" s="1">
        <v>44809</v>
      </c>
      <c r="I513" t="s">
        <v>1564</v>
      </c>
      <c r="J513" t="s">
        <v>26</v>
      </c>
      <c r="K513">
        <v>3</v>
      </c>
      <c r="L513" t="s">
        <v>20</v>
      </c>
      <c r="M513" s="1">
        <f t="shared" ca="1" si="14"/>
        <v>46204</v>
      </c>
      <c r="N513">
        <f t="shared" ca="1" si="15"/>
        <v>1</v>
      </c>
    </row>
    <row r="514" spans="1:14" x14ac:dyDescent="0.3">
      <c r="A514" t="s">
        <v>1565</v>
      </c>
      <c r="B514" t="s">
        <v>1566</v>
      </c>
      <c r="C514" t="s">
        <v>60</v>
      </c>
      <c r="D514" t="s">
        <v>56</v>
      </c>
      <c r="E514" t="s">
        <v>24</v>
      </c>
      <c r="F514">
        <v>23.96</v>
      </c>
      <c r="G514" s="1">
        <v>45877</v>
      </c>
      <c r="H514" s="1">
        <v>44886</v>
      </c>
      <c r="I514" t="s">
        <v>1567</v>
      </c>
      <c r="J514" t="s">
        <v>19</v>
      </c>
      <c r="K514">
        <v>2</v>
      </c>
      <c r="L514" t="s">
        <v>20</v>
      </c>
      <c r="M514" s="1">
        <f t="shared" ca="1" si="14"/>
        <v>46204</v>
      </c>
      <c r="N514">
        <f t="shared" ca="1" si="15"/>
        <v>1</v>
      </c>
    </row>
    <row r="515" spans="1:14" x14ac:dyDescent="0.3">
      <c r="A515" t="s">
        <v>1568</v>
      </c>
      <c r="B515" t="s">
        <v>1569</v>
      </c>
      <c r="C515" t="s">
        <v>64</v>
      </c>
      <c r="D515" t="s">
        <v>35</v>
      </c>
      <c r="E515" t="s">
        <v>30</v>
      </c>
      <c r="F515">
        <v>36.22</v>
      </c>
      <c r="G515" s="1">
        <v>46019</v>
      </c>
      <c r="H515" s="1">
        <v>44085</v>
      </c>
      <c r="I515" t="s">
        <v>1570</v>
      </c>
      <c r="J515" t="s">
        <v>26</v>
      </c>
      <c r="K515">
        <v>1</v>
      </c>
      <c r="L515" t="s">
        <v>20</v>
      </c>
      <c r="M515" s="1">
        <f t="shared" ref="M515:M578" ca="1" si="16">TODAY()</f>
        <v>46204</v>
      </c>
      <c r="N515">
        <f t="shared" ref="N515:N578" ca="1" si="17">IF(G515&lt;M515,1,0)</f>
        <v>1</v>
      </c>
    </row>
    <row r="516" spans="1:14" x14ac:dyDescent="0.3">
      <c r="A516" t="s">
        <v>1571</v>
      </c>
      <c r="B516" t="s">
        <v>1572</v>
      </c>
      <c r="C516" t="s">
        <v>15</v>
      </c>
      <c r="D516" t="s">
        <v>16</v>
      </c>
      <c r="E516" t="s">
        <v>52</v>
      </c>
      <c r="F516">
        <v>38.03</v>
      </c>
      <c r="G516" s="1">
        <v>45997</v>
      </c>
      <c r="H516" s="1">
        <v>43884</v>
      </c>
      <c r="I516" t="s">
        <v>1573</v>
      </c>
      <c r="J516" t="s">
        <v>94</v>
      </c>
      <c r="K516">
        <v>2</v>
      </c>
      <c r="L516" t="s">
        <v>20</v>
      </c>
      <c r="M516" s="1">
        <f t="shared" ca="1" si="16"/>
        <v>46204</v>
      </c>
      <c r="N516">
        <f t="shared" ca="1" si="17"/>
        <v>1</v>
      </c>
    </row>
    <row r="517" spans="1:14" x14ac:dyDescent="0.3">
      <c r="A517" t="s">
        <v>1574</v>
      </c>
      <c r="B517" t="s">
        <v>1575</v>
      </c>
      <c r="C517" t="s">
        <v>34</v>
      </c>
      <c r="D517" t="s">
        <v>69</v>
      </c>
      <c r="E517" t="s">
        <v>17</v>
      </c>
      <c r="F517">
        <v>39.659999999999997</v>
      </c>
      <c r="G517" s="1">
        <v>45916</v>
      </c>
      <c r="H517" s="1">
        <v>42652</v>
      </c>
      <c r="I517" t="s">
        <v>1576</v>
      </c>
      <c r="J517" t="s">
        <v>37</v>
      </c>
      <c r="K517">
        <v>2</v>
      </c>
      <c r="L517" t="s">
        <v>20</v>
      </c>
      <c r="M517" s="1">
        <f t="shared" ca="1" si="16"/>
        <v>46204</v>
      </c>
      <c r="N517">
        <f t="shared" ca="1" si="17"/>
        <v>1</v>
      </c>
    </row>
    <row r="518" spans="1:14" x14ac:dyDescent="0.3">
      <c r="A518" t="s">
        <v>1577</v>
      </c>
      <c r="B518" t="s">
        <v>1578</v>
      </c>
      <c r="C518" t="s">
        <v>64</v>
      </c>
      <c r="D518" t="s">
        <v>73</v>
      </c>
      <c r="E518" t="s">
        <v>30</v>
      </c>
      <c r="F518">
        <v>8.64</v>
      </c>
      <c r="G518" s="1">
        <v>45984</v>
      </c>
      <c r="H518" s="1">
        <v>44386</v>
      </c>
      <c r="I518" t="s">
        <v>1579</v>
      </c>
      <c r="J518" t="s">
        <v>37</v>
      </c>
      <c r="K518">
        <v>3</v>
      </c>
      <c r="L518" t="s">
        <v>27</v>
      </c>
      <c r="M518" s="1">
        <f t="shared" ca="1" si="16"/>
        <v>46204</v>
      </c>
      <c r="N518">
        <f t="shared" ca="1" si="17"/>
        <v>1</v>
      </c>
    </row>
    <row r="519" spans="1:14" x14ac:dyDescent="0.3">
      <c r="A519" t="s">
        <v>1580</v>
      </c>
      <c r="B519" t="s">
        <v>1581</v>
      </c>
      <c r="C519" t="s">
        <v>15</v>
      </c>
      <c r="D519" t="s">
        <v>40</v>
      </c>
      <c r="E519" t="s">
        <v>52</v>
      </c>
      <c r="F519">
        <v>28.58</v>
      </c>
      <c r="G519" s="1">
        <v>45841</v>
      </c>
      <c r="H519" s="1">
        <v>45297</v>
      </c>
      <c r="I519" t="s">
        <v>1582</v>
      </c>
      <c r="J519" t="s">
        <v>26</v>
      </c>
      <c r="K519">
        <v>5</v>
      </c>
      <c r="L519" t="s">
        <v>20</v>
      </c>
      <c r="M519" s="1">
        <f t="shared" ca="1" si="16"/>
        <v>46204</v>
      </c>
      <c r="N519">
        <f t="shared" ca="1" si="17"/>
        <v>1</v>
      </c>
    </row>
    <row r="520" spans="1:14" x14ac:dyDescent="0.3">
      <c r="A520" t="s">
        <v>1583</v>
      </c>
      <c r="B520" t="s">
        <v>1584</v>
      </c>
      <c r="C520" t="s">
        <v>47</v>
      </c>
      <c r="D520" t="s">
        <v>35</v>
      </c>
      <c r="E520" t="s">
        <v>17</v>
      </c>
      <c r="F520">
        <v>18.739999999999998</v>
      </c>
      <c r="G520" s="1">
        <v>45931</v>
      </c>
      <c r="H520" s="1">
        <v>44362</v>
      </c>
      <c r="I520" t="s">
        <v>1585</v>
      </c>
      <c r="J520" t="s">
        <v>66</v>
      </c>
      <c r="K520">
        <v>3</v>
      </c>
      <c r="L520" t="s">
        <v>20</v>
      </c>
      <c r="M520" s="1">
        <f t="shared" ca="1" si="16"/>
        <v>46204</v>
      </c>
      <c r="N520">
        <f t="shared" ca="1" si="17"/>
        <v>1</v>
      </c>
    </row>
    <row r="521" spans="1:14" x14ac:dyDescent="0.3">
      <c r="A521" t="s">
        <v>1586</v>
      </c>
      <c r="B521" t="s">
        <v>1587</v>
      </c>
      <c r="C521" t="s">
        <v>15</v>
      </c>
      <c r="D521" t="s">
        <v>16</v>
      </c>
      <c r="E521" t="s">
        <v>17</v>
      </c>
      <c r="F521">
        <v>15.95</v>
      </c>
      <c r="G521" s="1">
        <v>45796</v>
      </c>
      <c r="H521" s="1">
        <v>44164</v>
      </c>
      <c r="I521" t="s">
        <v>1588</v>
      </c>
      <c r="J521" t="s">
        <v>75</v>
      </c>
      <c r="K521">
        <v>1</v>
      </c>
      <c r="L521" t="s">
        <v>27</v>
      </c>
      <c r="M521" s="1">
        <f t="shared" ca="1" si="16"/>
        <v>46204</v>
      </c>
      <c r="N521">
        <f t="shared" ca="1" si="17"/>
        <v>1</v>
      </c>
    </row>
    <row r="522" spans="1:14" x14ac:dyDescent="0.3">
      <c r="A522" t="s">
        <v>1589</v>
      </c>
      <c r="B522" t="s">
        <v>1590</v>
      </c>
      <c r="C522" t="s">
        <v>64</v>
      </c>
      <c r="D522" t="s">
        <v>35</v>
      </c>
      <c r="E522" t="s">
        <v>24</v>
      </c>
      <c r="F522">
        <v>21.67</v>
      </c>
      <c r="G522" s="1">
        <v>45705</v>
      </c>
      <c r="H522" s="1">
        <v>43203</v>
      </c>
      <c r="I522" t="s">
        <v>1591</v>
      </c>
      <c r="J522" t="s">
        <v>75</v>
      </c>
      <c r="K522">
        <v>4</v>
      </c>
      <c r="L522" t="s">
        <v>27</v>
      </c>
      <c r="M522" s="1">
        <f t="shared" ca="1" si="16"/>
        <v>46204</v>
      </c>
      <c r="N522">
        <f t="shared" ca="1" si="17"/>
        <v>1</v>
      </c>
    </row>
    <row r="523" spans="1:14" x14ac:dyDescent="0.3">
      <c r="A523" t="s">
        <v>1592</v>
      </c>
      <c r="B523" t="s">
        <v>1593</v>
      </c>
      <c r="C523" t="s">
        <v>60</v>
      </c>
      <c r="D523" t="s">
        <v>56</v>
      </c>
      <c r="E523" t="s">
        <v>17</v>
      </c>
      <c r="F523">
        <v>15.45</v>
      </c>
      <c r="G523" s="1">
        <v>45709</v>
      </c>
      <c r="H523" s="1">
        <v>45516</v>
      </c>
      <c r="I523" t="s">
        <v>1594</v>
      </c>
      <c r="J523" t="s">
        <v>26</v>
      </c>
      <c r="K523">
        <v>1</v>
      </c>
      <c r="L523" t="s">
        <v>27</v>
      </c>
      <c r="M523" s="1">
        <f t="shared" ca="1" si="16"/>
        <v>46204</v>
      </c>
      <c r="N523">
        <f t="shared" ca="1" si="17"/>
        <v>1</v>
      </c>
    </row>
    <row r="524" spans="1:14" x14ac:dyDescent="0.3">
      <c r="A524" t="s">
        <v>1595</v>
      </c>
      <c r="B524" t="s">
        <v>1596</v>
      </c>
      <c r="C524" t="s">
        <v>60</v>
      </c>
      <c r="D524" t="s">
        <v>69</v>
      </c>
      <c r="E524" t="s">
        <v>24</v>
      </c>
      <c r="F524">
        <v>20.98</v>
      </c>
      <c r="G524" s="1">
        <v>45914</v>
      </c>
      <c r="H524" s="1">
        <v>44373</v>
      </c>
      <c r="I524" t="s">
        <v>1597</v>
      </c>
      <c r="J524" t="s">
        <v>94</v>
      </c>
      <c r="K524">
        <v>1</v>
      </c>
      <c r="L524" t="s">
        <v>27</v>
      </c>
      <c r="M524" s="1">
        <f t="shared" ca="1" si="16"/>
        <v>46204</v>
      </c>
      <c r="N524">
        <f t="shared" ca="1" si="17"/>
        <v>1</v>
      </c>
    </row>
    <row r="525" spans="1:14" x14ac:dyDescent="0.3">
      <c r="A525" t="s">
        <v>1598</v>
      </c>
      <c r="B525" t="s">
        <v>1599</v>
      </c>
      <c r="C525" t="s">
        <v>34</v>
      </c>
      <c r="D525" t="s">
        <v>73</v>
      </c>
      <c r="E525" t="s">
        <v>52</v>
      </c>
      <c r="F525">
        <v>31.78</v>
      </c>
      <c r="G525" s="1">
        <v>45909</v>
      </c>
      <c r="H525" s="1">
        <v>42264</v>
      </c>
      <c r="I525" t="s">
        <v>1600</v>
      </c>
      <c r="J525" t="s">
        <v>66</v>
      </c>
      <c r="K525">
        <v>1</v>
      </c>
      <c r="L525" t="s">
        <v>20</v>
      </c>
      <c r="M525" s="1">
        <f t="shared" ca="1" si="16"/>
        <v>46204</v>
      </c>
      <c r="N525">
        <f t="shared" ca="1" si="17"/>
        <v>1</v>
      </c>
    </row>
    <row r="526" spans="1:14" x14ac:dyDescent="0.3">
      <c r="A526" t="s">
        <v>1601</v>
      </c>
      <c r="B526" t="s">
        <v>1602</v>
      </c>
      <c r="C526" t="s">
        <v>60</v>
      </c>
      <c r="D526" t="s">
        <v>16</v>
      </c>
      <c r="E526" t="s">
        <v>24</v>
      </c>
      <c r="F526">
        <v>19.72</v>
      </c>
      <c r="G526" s="1">
        <v>45953</v>
      </c>
      <c r="H526" s="1">
        <v>44264</v>
      </c>
      <c r="I526" t="s">
        <v>1603</v>
      </c>
      <c r="J526" t="s">
        <v>37</v>
      </c>
      <c r="K526">
        <v>4</v>
      </c>
      <c r="L526" t="s">
        <v>27</v>
      </c>
      <c r="M526" s="1">
        <f t="shared" ca="1" si="16"/>
        <v>46204</v>
      </c>
      <c r="N526">
        <f t="shared" ca="1" si="17"/>
        <v>1</v>
      </c>
    </row>
    <row r="527" spans="1:14" x14ac:dyDescent="0.3">
      <c r="A527" t="s">
        <v>1604</v>
      </c>
      <c r="B527" t="s">
        <v>1605</v>
      </c>
      <c r="C527" t="s">
        <v>60</v>
      </c>
      <c r="D527" t="s">
        <v>73</v>
      </c>
      <c r="E527" t="s">
        <v>24</v>
      </c>
      <c r="F527">
        <v>29.83</v>
      </c>
      <c r="G527" s="1">
        <v>46027</v>
      </c>
      <c r="H527" s="1">
        <v>42558</v>
      </c>
      <c r="I527" t="s">
        <v>1606</v>
      </c>
      <c r="J527" t="s">
        <v>75</v>
      </c>
      <c r="K527">
        <v>2</v>
      </c>
      <c r="L527" t="s">
        <v>20</v>
      </c>
      <c r="M527" s="1">
        <f t="shared" ca="1" si="16"/>
        <v>46204</v>
      </c>
      <c r="N527">
        <f t="shared" ca="1" si="17"/>
        <v>1</v>
      </c>
    </row>
    <row r="528" spans="1:14" x14ac:dyDescent="0.3">
      <c r="A528" t="s">
        <v>1607</v>
      </c>
      <c r="B528" t="s">
        <v>1608</v>
      </c>
      <c r="C528" t="s">
        <v>34</v>
      </c>
      <c r="D528" t="s">
        <v>40</v>
      </c>
      <c r="E528" t="s">
        <v>17</v>
      </c>
      <c r="F528">
        <v>10.28</v>
      </c>
      <c r="G528" s="1">
        <v>45910</v>
      </c>
      <c r="H528" s="1">
        <v>43112</v>
      </c>
      <c r="I528" t="s">
        <v>1609</v>
      </c>
      <c r="J528" t="s">
        <v>26</v>
      </c>
      <c r="K528">
        <v>3</v>
      </c>
      <c r="L528" t="s">
        <v>27</v>
      </c>
      <c r="M528" s="1">
        <f t="shared" ca="1" si="16"/>
        <v>46204</v>
      </c>
      <c r="N528">
        <f t="shared" ca="1" si="17"/>
        <v>1</v>
      </c>
    </row>
    <row r="529" spans="1:14" x14ac:dyDescent="0.3">
      <c r="A529" t="s">
        <v>1610</v>
      </c>
      <c r="B529" t="s">
        <v>1611</v>
      </c>
      <c r="C529" t="s">
        <v>47</v>
      </c>
      <c r="D529" t="s">
        <v>56</v>
      </c>
      <c r="E529" t="s">
        <v>30</v>
      </c>
      <c r="F529">
        <v>37.840000000000003</v>
      </c>
      <c r="G529" s="1">
        <v>45767</v>
      </c>
      <c r="H529" s="1">
        <v>43743</v>
      </c>
      <c r="I529" t="s">
        <v>1612</v>
      </c>
      <c r="J529" t="s">
        <v>26</v>
      </c>
      <c r="K529">
        <v>5</v>
      </c>
      <c r="L529" t="s">
        <v>20</v>
      </c>
      <c r="M529" s="1">
        <f t="shared" ca="1" si="16"/>
        <v>46204</v>
      </c>
      <c r="N529">
        <f t="shared" ca="1" si="17"/>
        <v>1</v>
      </c>
    </row>
    <row r="530" spans="1:14" x14ac:dyDescent="0.3">
      <c r="A530" t="s">
        <v>1613</v>
      </c>
      <c r="B530" t="s">
        <v>1614</v>
      </c>
      <c r="C530" t="s">
        <v>47</v>
      </c>
      <c r="D530" t="s">
        <v>40</v>
      </c>
      <c r="E530" t="s">
        <v>30</v>
      </c>
      <c r="F530">
        <v>34.479999999999997</v>
      </c>
      <c r="G530" s="1">
        <v>45782</v>
      </c>
      <c r="H530" s="1">
        <v>43481</v>
      </c>
      <c r="I530" t="s">
        <v>1615</v>
      </c>
      <c r="J530" t="s">
        <v>37</v>
      </c>
      <c r="K530">
        <v>5</v>
      </c>
      <c r="L530" t="s">
        <v>27</v>
      </c>
      <c r="M530" s="1">
        <f t="shared" ca="1" si="16"/>
        <v>46204</v>
      </c>
      <c r="N530">
        <f t="shared" ca="1" si="17"/>
        <v>1</v>
      </c>
    </row>
    <row r="531" spans="1:14" x14ac:dyDescent="0.3">
      <c r="A531" t="s">
        <v>1616</v>
      </c>
      <c r="B531" t="s">
        <v>1617</v>
      </c>
      <c r="C531" t="s">
        <v>64</v>
      </c>
      <c r="D531" t="s">
        <v>73</v>
      </c>
      <c r="E531" t="s">
        <v>30</v>
      </c>
      <c r="F531">
        <v>27.88</v>
      </c>
      <c r="G531" s="1">
        <v>45824</v>
      </c>
      <c r="H531" s="1">
        <v>43202</v>
      </c>
      <c r="I531" t="s">
        <v>1618</v>
      </c>
      <c r="J531" t="s">
        <v>49</v>
      </c>
      <c r="K531">
        <v>2</v>
      </c>
      <c r="L531" t="s">
        <v>27</v>
      </c>
      <c r="M531" s="1">
        <f t="shared" ca="1" si="16"/>
        <v>46204</v>
      </c>
      <c r="N531">
        <f t="shared" ca="1" si="17"/>
        <v>1</v>
      </c>
    </row>
    <row r="532" spans="1:14" x14ac:dyDescent="0.3">
      <c r="A532" t="s">
        <v>1619</v>
      </c>
      <c r="B532" t="s">
        <v>1620</v>
      </c>
      <c r="C532" t="s">
        <v>23</v>
      </c>
      <c r="D532" t="s">
        <v>16</v>
      </c>
      <c r="E532" t="s">
        <v>17</v>
      </c>
      <c r="F532">
        <v>20.329999999999998</v>
      </c>
      <c r="G532" s="1">
        <v>46061</v>
      </c>
      <c r="H532" s="1">
        <v>42976</v>
      </c>
      <c r="I532" t="s">
        <v>1621</v>
      </c>
      <c r="J532" t="s">
        <v>26</v>
      </c>
      <c r="K532">
        <v>5</v>
      </c>
      <c r="L532" t="s">
        <v>27</v>
      </c>
      <c r="M532" s="1">
        <f t="shared" ca="1" si="16"/>
        <v>46204</v>
      </c>
      <c r="N532">
        <f t="shared" ca="1" si="17"/>
        <v>1</v>
      </c>
    </row>
    <row r="533" spans="1:14" x14ac:dyDescent="0.3">
      <c r="A533" t="s">
        <v>1622</v>
      </c>
      <c r="B533" t="s">
        <v>1623</v>
      </c>
      <c r="C533" t="s">
        <v>15</v>
      </c>
      <c r="D533" t="s">
        <v>35</v>
      </c>
      <c r="E533" t="s">
        <v>52</v>
      </c>
      <c r="F533">
        <v>6.92</v>
      </c>
      <c r="G533" s="1">
        <v>45778</v>
      </c>
      <c r="H533" s="1">
        <v>43718</v>
      </c>
      <c r="I533" t="s">
        <v>1624</v>
      </c>
      <c r="J533" t="s">
        <v>19</v>
      </c>
      <c r="K533">
        <v>1</v>
      </c>
      <c r="L533" t="s">
        <v>20</v>
      </c>
      <c r="M533" s="1">
        <f t="shared" ca="1" si="16"/>
        <v>46204</v>
      </c>
      <c r="N533">
        <f t="shared" ca="1" si="17"/>
        <v>1</v>
      </c>
    </row>
    <row r="534" spans="1:14" x14ac:dyDescent="0.3">
      <c r="A534" t="s">
        <v>1625</v>
      </c>
      <c r="B534" t="s">
        <v>1626</v>
      </c>
      <c r="C534" t="s">
        <v>34</v>
      </c>
      <c r="D534" t="s">
        <v>16</v>
      </c>
      <c r="E534" t="s">
        <v>30</v>
      </c>
      <c r="F534">
        <v>5.17</v>
      </c>
      <c r="G534" s="1">
        <v>45877</v>
      </c>
      <c r="H534" s="1">
        <v>44768</v>
      </c>
      <c r="I534" t="s">
        <v>1627</v>
      </c>
      <c r="J534" t="s">
        <v>37</v>
      </c>
      <c r="K534">
        <v>3</v>
      </c>
      <c r="L534" t="s">
        <v>20</v>
      </c>
      <c r="M534" s="1">
        <f t="shared" ca="1" si="16"/>
        <v>46204</v>
      </c>
      <c r="N534">
        <f t="shared" ca="1" si="17"/>
        <v>1</v>
      </c>
    </row>
    <row r="535" spans="1:14" x14ac:dyDescent="0.3">
      <c r="A535" t="s">
        <v>1628</v>
      </c>
      <c r="B535" t="s">
        <v>1629</v>
      </c>
      <c r="C535" t="s">
        <v>15</v>
      </c>
      <c r="D535" t="s">
        <v>35</v>
      </c>
      <c r="E535" t="s">
        <v>17</v>
      </c>
      <c r="F535">
        <v>20.48</v>
      </c>
      <c r="G535" s="1">
        <v>45775</v>
      </c>
      <c r="H535" s="1">
        <v>43830</v>
      </c>
      <c r="I535" t="s">
        <v>1630</v>
      </c>
      <c r="J535" t="s">
        <v>26</v>
      </c>
      <c r="K535">
        <v>1</v>
      </c>
      <c r="L535" t="s">
        <v>20</v>
      </c>
      <c r="M535" s="1">
        <f t="shared" ca="1" si="16"/>
        <v>46204</v>
      </c>
      <c r="N535">
        <f t="shared" ca="1" si="17"/>
        <v>1</v>
      </c>
    </row>
    <row r="536" spans="1:14" x14ac:dyDescent="0.3">
      <c r="A536" t="s">
        <v>1631</v>
      </c>
      <c r="B536" t="s">
        <v>1632</v>
      </c>
      <c r="C536" t="s">
        <v>64</v>
      </c>
      <c r="D536" t="s">
        <v>69</v>
      </c>
      <c r="E536" t="s">
        <v>30</v>
      </c>
      <c r="F536">
        <v>3.69</v>
      </c>
      <c r="G536" s="1">
        <v>45877</v>
      </c>
      <c r="H536" s="1">
        <v>44096</v>
      </c>
      <c r="I536" t="s">
        <v>1633</v>
      </c>
      <c r="J536" t="s">
        <v>75</v>
      </c>
      <c r="K536">
        <v>3</v>
      </c>
      <c r="L536" t="s">
        <v>20</v>
      </c>
      <c r="M536" s="1">
        <f t="shared" ca="1" si="16"/>
        <v>46204</v>
      </c>
      <c r="N536">
        <f t="shared" ca="1" si="17"/>
        <v>1</v>
      </c>
    </row>
    <row r="537" spans="1:14" x14ac:dyDescent="0.3">
      <c r="A537" t="s">
        <v>1634</v>
      </c>
      <c r="B537" t="s">
        <v>1635</v>
      </c>
      <c r="C537" t="s">
        <v>15</v>
      </c>
      <c r="D537" t="s">
        <v>16</v>
      </c>
      <c r="E537" t="s">
        <v>17</v>
      </c>
      <c r="F537">
        <v>7.05</v>
      </c>
      <c r="G537" s="1">
        <v>45880</v>
      </c>
      <c r="H537" s="1">
        <v>44613</v>
      </c>
      <c r="I537" t="s">
        <v>1636</v>
      </c>
      <c r="J537" t="s">
        <v>26</v>
      </c>
      <c r="K537">
        <v>1</v>
      </c>
      <c r="L537" t="s">
        <v>27</v>
      </c>
      <c r="M537" s="1">
        <f t="shared" ca="1" si="16"/>
        <v>46204</v>
      </c>
      <c r="N537">
        <f t="shared" ca="1" si="17"/>
        <v>1</v>
      </c>
    </row>
    <row r="538" spans="1:14" x14ac:dyDescent="0.3">
      <c r="A538" t="s">
        <v>1637</v>
      </c>
      <c r="B538" t="s">
        <v>1638</v>
      </c>
      <c r="C538" t="s">
        <v>60</v>
      </c>
      <c r="D538" t="s">
        <v>73</v>
      </c>
      <c r="E538" t="s">
        <v>52</v>
      </c>
      <c r="F538">
        <v>26.74</v>
      </c>
      <c r="G538" s="1">
        <v>45803</v>
      </c>
      <c r="H538" s="1">
        <v>42419</v>
      </c>
      <c r="I538" t="s">
        <v>1639</v>
      </c>
      <c r="J538" t="s">
        <v>26</v>
      </c>
      <c r="K538">
        <v>4</v>
      </c>
      <c r="L538" t="s">
        <v>27</v>
      </c>
      <c r="M538" s="1">
        <f t="shared" ca="1" si="16"/>
        <v>46204</v>
      </c>
      <c r="N538">
        <f t="shared" ca="1" si="17"/>
        <v>1</v>
      </c>
    </row>
    <row r="539" spans="1:14" x14ac:dyDescent="0.3">
      <c r="A539" t="s">
        <v>1640</v>
      </c>
      <c r="B539" t="s">
        <v>1641</v>
      </c>
      <c r="C539" t="s">
        <v>47</v>
      </c>
      <c r="D539" t="s">
        <v>73</v>
      </c>
      <c r="E539" t="s">
        <v>17</v>
      </c>
      <c r="F539">
        <v>22.7</v>
      </c>
      <c r="G539" s="1">
        <v>45783</v>
      </c>
      <c r="H539" s="1">
        <v>45456</v>
      </c>
      <c r="I539" t="s">
        <v>1642</v>
      </c>
      <c r="J539" t="s">
        <v>75</v>
      </c>
      <c r="K539">
        <v>2</v>
      </c>
      <c r="L539" t="s">
        <v>20</v>
      </c>
      <c r="M539" s="1">
        <f t="shared" ca="1" si="16"/>
        <v>46204</v>
      </c>
      <c r="N539">
        <f t="shared" ca="1" si="17"/>
        <v>1</v>
      </c>
    </row>
    <row r="540" spans="1:14" x14ac:dyDescent="0.3">
      <c r="A540" t="s">
        <v>1643</v>
      </c>
      <c r="B540" t="s">
        <v>1644</v>
      </c>
      <c r="C540" t="s">
        <v>124</v>
      </c>
      <c r="D540" t="s">
        <v>56</v>
      </c>
      <c r="E540" t="s">
        <v>30</v>
      </c>
      <c r="F540">
        <v>36.799999999999997</v>
      </c>
      <c r="G540" s="1">
        <v>45789</v>
      </c>
      <c r="H540" s="1">
        <v>44944</v>
      </c>
      <c r="I540" t="s">
        <v>1645</v>
      </c>
      <c r="J540" t="s">
        <v>94</v>
      </c>
      <c r="K540">
        <v>2</v>
      </c>
      <c r="L540" t="s">
        <v>20</v>
      </c>
      <c r="M540" s="1">
        <f t="shared" ca="1" si="16"/>
        <v>46204</v>
      </c>
      <c r="N540">
        <f t="shared" ca="1" si="17"/>
        <v>1</v>
      </c>
    </row>
    <row r="541" spans="1:14" x14ac:dyDescent="0.3">
      <c r="A541" t="s">
        <v>1646</v>
      </c>
      <c r="B541" t="s">
        <v>1647</v>
      </c>
      <c r="C541" t="s">
        <v>47</v>
      </c>
      <c r="D541" t="s">
        <v>40</v>
      </c>
      <c r="E541" t="s">
        <v>52</v>
      </c>
      <c r="F541">
        <v>39.979999999999997</v>
      </c>
      <c r="G541" s="1">
        <v>45968</v>
      </c>
      <c r="H541" s="1">
        <v>43093</v>
      </c>
      <c r="I541" t="s">
        <v>1648</v>
      </c>
      <c r="J541" t="s">
        <v>94</v>
      </c>
      <c r="K541">
        <v>5</v>
      </c>
      <c r="L541" t="s">
        <v>20</v>
      </c>
      <c r="M541" s="1">
        <f t="shared" ca="1" si="16"/>
        <v>46204</v>
      </c>
      <c r="N541">
        <f t="shared" ca="1" si="17"/>
        <v>1</v>
      </c>
    </row>
    <row r="542" spans="1:14" x14ac:dyDescent="0.3">
      <c r="A542" t="s">
        <v>1649</v>
      </c>
      <c r="B542" t="s">
        <v>1650</v>
      </c>
      <c r="C542" t="s">
        <v>124</v>
      </c>
      <c r="D542" t="s">
        <v>73</v>
      </c>
      <c r="E542" t="s">
        <v>52</v>
      </c>
      <c r="F542">
        <v>32.909999999999997</v>
      </c>
      <c r="G542" s="1">
        <v>45876</v>
      </c>
      <c r="H542" s="1">
        <v>43493</v>
      </c>
      <c r="I542" t="s">
        <v>1651</v>
      </c>
      <c r="J542" t="s">
        <v>37</v>
      </c>
      <c r="K542">
        <v>4</v>
      </c>
      <c r="L542" t="s">
        <v>20</v>
      </c>
      <c r="M542" s="1">
        <f t="shared" ca="1" si="16"/>
        <v>46204</v>
      </c>
      <c r="N542">
        <f t="shared" ca="1" si="17"/>
        <v>1</v>
      </c>
    </row>
    <row r="543" spans="1:14" x14ac:dyDescent="0.3">
      <c r="A543" t="s">
        <v>1652</v>
      </c>
      <c r="B543" t="s">
        <v>1653</v>
      </c>
      <c r="C543" t="s">
        <v>47</v>
      </c>
      <c r="D543" t="s">
        <v>40</v>
      </c>
      <c r="E543" t="s">
        <v>24</v>
      </c>
      <c r="F543">
        <v>38.06</v>
      </c>
      <c r="G543" s="1">
        <v>45875</v>
      </c>
      <c r="H543" s="1">
        <v>45443</v>
      </c>
      <c r="I543" t="s">
        <v>1654</v>
      </c>
      <c r="J543" t="s">
        <v>19</v>
      </c>
      <c r="K543">
        <v>5</v>
      </c>
      <c r="L543" t="s">
        <v>27</v>
      </c>
      <c r="M543" s="1">
        <f t="shared" ca="1" si="16"/>
        <v>46204</v>
      </c>
      <c r="N543">
        <f t="shared" ca="1" si="17"/>
        <v>1</v>
      </c>
    </row>
    <row r="544" spans="1:14" x14ac:dyDescent="0.3">
      <c r="A544" t="s">
        <v>1655</v>
      </c>
      <c r="B544" t="s">
        <v>1656</v>
      </c>
      <c r="C544" t="s">
        <v>47</v>
      </c>
      <c r="D544" t="s">
        <v>40</v>
      </c>
      <c r="E544" t="s">
        <v>52</v>
      </c>
      <c r="F544">
        <v>27.14</v>
      </c>
      <c r="G544" s="1">
        <v>45789</v>
      </c>
      <c r="H544" s="1">
        <v>44692</v>
      </c>
      <c r="I544" t="s">
        <v>1657</v>
      </c>
      <c r="J544" t="s">
        <v>49</v>
      </c>
      <c r="K544">
        <v>2</v>
      </c>
      <c r="L544" t="s">
        <v>20</v>
      </c>
      <c r="M544" s="1">
        <f t="shared" ca="1" si="16"/>
        <v>46204</v>
      </c>
      <c r="N544">
        <f t="shared" ca="1" si="17"/>
        <v>1</v>
      </c>
    </row>
    <row r="545" spans="1:14" x14ac:dyDescent="0.3">
      <c r="A545" t="s">
        <v>1658</v>
      </c>
      <c r="B545" t="s">
        <v>1659</v>
      </c>
      <c r="C545" t="s">
        <v>15</v>
      </c>
      <c r="D545" t="s">
        <v>69</v>
      </c>
      <c r="E545" t="s">
        <v>17</v>
      </c>
      <c r="F545">
        <v>11.33</v>
      </c>
      <c r="G545" s="1">
        <v>45857</v>
      </c>
      <c r="H545" s="1">
        <v>43235</v>
      </c>
      <c r="I545" t="s">
        <v>1660</v>
      </c>
      <c r="J545" t="s">
        <v>19</v>
      </c>
      <c r="K545">
        <v>4</v>
      </c>
      <c r="L545" t="s">
        <v>27</v>
      </c>
      <c r="M545" s="1">
        <f t="shared" ca="1" si="16"/>
        <v>46204</v>
      </c>
      <c r="N545">
        <f t="shared" ca="1" si="17"/>
        <v>1</v>
      </c>
    </row>
    <row r="546" spans="1:14" x14ac:dyDescent="0.3">
      <c r="A546" t="s">
        <v>1661</v>
      </c>
      <c r="B546" t="s">
        <v>1662</v>
      </c>
      <c r="C546" t="s">
        <v>23</v>
      </c>
      <c r="D546" t="s">
        <v>73</v>
      </c>
      <c r="E546" t="s">
        <v>52</v>
      </c>
      <c r="F546">
        <v>13.59</v>
      </c>
      <c r="G546" s="1">
        <v>45947</v>
      </c>
      <c r="H546" s="1">
        <v>43154</v>
      </c>
      <c r="I546" t="s">
        <v>1663</v>
      </c>
      <c r="J546" t="s">
        <v>49</v>
      </c>
      <c r="K546">
        <v>5</v>
      </c>
      <c r="L546" t="s">
        <v>20</v>
      </c>
      <c r="M546" s="1">
        <f t="shared" ca="1" si="16"/>
        <v>46204</v>
      </c>
      <c r="N546">
        <f t="shared" ca="1" si="17"/>
        <v>1</v>
      </c>
    </row>
    <row r="547" spans="1:14" x14ac:dyDescent="0.3">
      <c r="A547" t="s">
        <v>1664</v>
      </c>
      <c r="B547" t="s">
        <v>1665</v>
      </c>
      <c r="C547" t="s">
        <v>124</v>
      </c>
      <c r="D547" t="s">
        <v>69</v>
      </c>
      <c r="E547" t="s">
        <v>24</v>
      </c>
      <c r="F547">
        <v>26.59</v>
      </c>
      <c r="G547" s="1">
        <v>45881</v>
      </c>
      <c r="H547" s="1">
        <v>44864</v>
      </c>
      <c r="I547" t="s">
        <v>1666</v>
      </c>
      <c r="J547" t="s">
        <v>26</v>
      </c>
      <c r="K547">
        <v>3</v>
      </c>
      <c r="L547" t="s">
        <v>20</v>
      </c>
      <c r="M547" s="1">
        <f t="shared" ca="1" si="16"/>
        <v>46204</v>
      </c>
      <c r="N547">
        <f t="shared" ca="1" si="17"/>
        <v>1</v>
      </c>
    </row>
    <row r="548" spans="1:14" x14ac:dyDescent="0.3">
      <c r="A548" t="s">
        <v>1667</v>
      </c>
      <c r="B548" t="s">
        <v>1668</v>
      </c>
      <c r="C548" t="s">
        <v>15</v>
      </c>
      <c r="D548" t="s">
        <v>16</v>
      </c>
      <c r="E548" t="s">
        <v>30</v>
      </c>
      <c r="F548">
        <v>13.55</v>
      </c>
      <c r="G548" s="1">
        <v>46063</v>
      </c>
      <c r="H548" s="1">
        <v>45249</v>
      </c>
      <c r="I548" t="s">
        <v>1669</v>
      </c>
      <c r="J548" t="s">
        <v>19</v>
      </c>
      <c r="K548">
        <v>2</v>
      </c>
      <c r="L548" t="s">
        <v>20</v>
      </c>
      <c r="M548" s="1">
        <f t="shared" ca="1" si="16"/>
        <v>46204</v>
      </c>
      <c r="N548">
        <f t="shared" ca="1" si="17"/>
        <v>1</v>
      </c>
    </row>
    <row r="549" spans="1:14" x14ac:dyDescent="0.3">
      <c r="A549" t="s">
        <v>1670</v>
      </c>
      <c r="B549" t="s">
        <v>1671</v>
      </c>
      <c r="C549" t="s">
        <v>64</v>
      </c>
      <c r="D549" t="s">
        <v>35</v>
      </c>
      <c r="E549" t="s">
        <v>30</v>
      </c>
      <c r="F549">
        <v>18.329999999999998</v>
      </c>
      <c r="G549" s="1">
        <v>45778</v>
      </c>
      <c r="H549" s="1">
        <v>42614</v>
      </c>
      <c r="I549" t="s">
        <v>1672</v>
      </c>
      <c r="J549" t="s">
        <v>26</v>
      </c>
      <c r="K549">
        <v>5</v>
      </c>
      <c r="L549" t="s">
        <v>27</v>
      </c>
      <c r="M549" s="1">
        <f t="shared" ca="1" si="16"/>
        <v>46204</v>
      </c>
      <c r="N549">
        <f t="shared" ca="1" si="17"/>
        <v>1</v>
      </c>
    </row>
    <row r="550" spans="1:14" x14ac:dyDescent="0.3">
      <c r="A550" t="s">
        <v>1673</v>
      </c>
      <c r="B550" t="s">
        <v>1674</v>
      </c>
      <c r="C550" t="s">
        <v>64</v>
      </c>
      <c r="D550" t="s">
        <v>56</v>
      </c>
      <c r="E550" t="s">
        <v>52</v>
      </c>
      <c r="F550">
        <v>4</v>
      </c>
      <c r="G550" s="1">
        <v>45707</v>
      </c>
      <c r="H550" s="1">
        <v>42443</v>
      </c>
      <c r="I550" t="s">
        <v>1675</v>
      </c>
      <c r="J550" t="s">
        <v>94</v>
      </c>
      <c r="K550">
        <v>4</v>
      </c>
      <c r="L550" t="s">
        <v>27</v>
      </c>
      <c r="M550" s="1">
        <f t="shared" ca="1" si="16"/>
        <v>46204</v>
      </c>
      <c r="N550">
        <f t="shared" ca="1" si="17"/>
        <v>1</v>
      </c>
    </row>
    <row r="551" spans="1:14" x14ac:dyDescent="0.3">
      <c r="A551" t="s">
        <v>1676</v>
      </c>
      <c r="B551" t="s">
        <v>1677</v>
      </c>
      <c r="C551" t="s">
        <v>34</v>
      </c>
      <c r="D551" t="s">
        <v>56</v>
      </c>
      <c r="E551" t="s">
        <v>52</v>
      </c>
      <c r="F551">
        <v>21.45</v>
      </c>
      <c r="G551" s="1">
        <v>45918</v>
      </c>
      <c r="H551" s="1">
        <v>42579</v>
      </c>
      <c r="I551" t="s">
        <v>1678</v>
      </c>
      <c r="J551" t="s">
        <v>19</v>
      </c>
      <c r="K551">
        <v>2</v>
      </c>
      <c r="L551" t="s">
        <v>27</v>
      </c>
      <c r="M551" s="1">
        <f t="shared" ca="1" si="16"/>
        <v>46204</v>
      </c>
      <c r="N551">
        <f t="shared" ca="1" si="17"/>
        <v>1</v>
      </c>
    </row>
    <row r="552" spans="1:14" x14ac:dyDescent="0.3">
      <c r="A552" t="s">
        <v>1679</v>
      </c>
      <c r="B552" t="s">
        <v>1680</v>
      </c>
      <c r="C552" t="s">
        <v>47</v>
      </c>
      <c r="D552" t="s">
        <v>40</v>
      </c>
      <c r="E552" t="s">
        <v>24</v>
      </c>
      <c r="F552">
        <v>28.7</v>
      </c>
      <c r="G552" s="1">
        <v>45816</v>
      </c>
      <c r="H552" s="1">
        <v>45308</v>
      </c>
      <c r="I552" t="s">
        <v>1681</v>
      </c>
      <c r="J552" t="s">
        <v>94</v>
      </c>
      <c r="K552">
        <v>5</v>
      </c>
      <c r="L552" t="s">
        <v>27</v>
      </c>
      <c r="M552" s="1">
        <f t="shared" ca="1" si="16"/>
        <v>46204</v>
      </c>
      <c r="N552">
        <f t="shared" ca="1" si="17"/>
        <v>1</v>
      </c>
    </row>
    <row r="553" spans="1:14" x14ac:dyDescent="0.3">
      <c r="A553" t="s">
        <v>1682</v>
      </c>
      <c r="B553" t="s">
        <v>1683</v>
      </c>
      <c r="C553" t="s">
        <v>23</v>
      </c>
      <c r="D553" t="s">
        <v>73</v>
      </c>
      <c r="E553" t="s">
        <v>24</v>
      </c>
      <c r="F553">
        <v>17.57</v>
      </c>
      <c r="G553" s="1">
        <v>45940</v>
      </c>
      <c r="H553" s="1">
        <v>44143</v>
      </c>
      <c r="I553" t="s">
        <v>1684</v>
      </c>
      <c r="J553" t="s">
        <v>94</v>
      </c>
      <c r="K553">
        <v>5</v>
      </c>
      <c r="L553" t="s">
        <v>27</v>
      </c>
      <c r="M553" s="1">
        <f t="shared" ca="1" si="16"/>
        <v>46204</v>
      </c>
      <c r="N553">
        <f t="shared" ca="1" si="17"/>
        <v>1</v>
      </c>
    </row>
    <row r="554" spans="1:14" x14ac:dyDescent="0.3">
      <c r="A554" t="s">
        <v>1685</v>
      </c>
      <c r="B554" t="s">
        <v>1686</v>
      </c>
      <c r="C554" t="s">
        <v>64</v>
      </c>
      <c r="D554" t="s">
        <v>73</v>
      </c>
      <c r="E554" t="s">
        <v>52</v>
      </c>
      <c r="F554">
        <v>7.31</v>
      </c>
      <c r="G554" s="1">
        <v>45958</v>
      </c>
      <c r="H554" s="1">
        <v>42623</v>
      </c>
      <c r="I554" t="s">
        <v>1687</v>
      </c>
      <c r="J554" t="s">
        <v>75</v>
      </c>
      <c r="K554">
        <v>1</v>
      </c>
      <c r="L554" t="s">
        <v>27</v>
      </c>
      <c r="M554" s="1">
        <f t="shared" ca="1" si="16"/>
        <v>46204</v>
      </c>
      <c r="N554">
        <f t="shared" ca="1" si="17"/>
        <v>1</v>
      </c>
    </row>
    <row r="555" spans="1:14" x14ac:dyDescent="0.3">
      <c r="A555" t="s">
        <v>1688</v>
      </c>
      <c r="B555" t="s">
        <v>1689</v>
      </c>
      <c r="C555" t="s">
        <v>64</v>
      </c>
      <c r="D555" t="s">
        <v>56</v>
      </c>
      <c r="E555" t="s">
        <v>17</v>
      </c>
      <c r="F555">
        <v>39.229999999999997</v>
      </c>
      <c r="G555" s="1">
        <v>45761</v>
      </c>
      <c r="H555" s="1">
        <v>44012</v>
      </c>
      <c r="I555" t="s">
        <v>1690</v>
      </c>
      <c r="J555" t="s">
        <v>66</v>
      </c>
      <c r="K555">
        <v>5</v>
      </c>
      <c r="L555" t="s">
        <v>27</v>
      </c>
      <c r="M555" s="1">
        <f t="shared" ca="1" si="16"/>
        <v>46204</v>
      </c>
      <c r="N555">
        <f t="shared" ca="1" si="17"/>
        <v>1</v>
      </c>
    </row>
    <row r="556" spans="1:14" x14ac:dyDescent="0.3">
      <c r="A556" t="s">
        <v>1691</v>
      </c>
      <c r="B556" t="s">
        <v>1692</v>
      </c>
      <c r="C556" t="s">
        <v>15</v>
      </c>
      <c r="D556" t="s">
        <v>16</v>
      </c>
      <c r="E556" t="s">
        <v>17</v>
      </c>
      <c r="F556">
        <v>3.74</v>
      </c>
      <c r="G556" s="1">
        <v>45909</v>
      </c>
      <c r="H556" s="1">
        <v>44070</v>
      </c>
      <c r="I556" t="s">
        <v>1693</v>
      </c>
      <c r="J556" t="s">
        <v>94</v>
      </c>
      <c r="K556">
        <v>5</v>
      </c>
      <c r="L556" t="s">
        <v>27</v>
      </c>
      <c r="M556" s="1">
        <f t="shared" ca="1" si="16"/>
        <v>46204</v>
      </c>
      <c r="N556">
        <f t="shared" ca="1" si="17"/>
        <v>1</v>
      </c>
    </row>
    <row r="557" spans="1:14" x14ac:dyDescent="0.3">
      <c r="A557" t="s">
        <v>1694</v>
      </c>
      <c r="B557" t="s">
        <v>1695</v>
      </c>
      <c r="C557" t="s">
        <v>64</v>
      </c>
      <c r="D557" t="s">
        <v>16</v>
      </c>
      <c r="E557" t="s">
        <v>24</v>
      </c>
      <c r="F557">
        <v>36.44</v>
      </c>
      <c r="G557" s="1">
        <v>45990</v>
      </c>
      <c r="H557" s="1">
        <v>44162</v>
      </c>
      <c r="I557" t="s">
        <v>1696</v>
      </c>
      <c r="J557" t="s">
        <v>49</v>
      </c>
      <c r="K557">
        <v>3</v>
      </c>
      <c r="L557" t="s">
        <v>27</v>
      </c>
      <c r="M557" s="1">
        <f t="shared" ca="1" si="16"/>
        <v>46204</v>
      </c>
      <c r="N557">
        <f t="shared" ca="1" si="17"/>
        <v>1</v>
      </c>
    </row>
    <row r="558" spans="1:14" x14ac:dyDescent="0.3">
      <c r="A558" t="s">
        <v>1697</v>
      </c>
      <c r="B558" t="s">
        <v>1698</v>
      </c>
      <c r="C558" t="s">
        <v>23</v>
      </c>
      <c r="D558" t="s">
        <v>40</v>
      </c>
      <c r="E558" t="s">
        <v>30</v>
      </c>
      <c r="F558">
        <v>5.58</v>
      </c>
      <c r="G558" s="1">
        <v>45756</v>
      </c>
      <c r="H558" s="1">
        <v>45148</v>
      </c>
      <c r="I558" t="s">
        <v>1699</v>
      </c>
      <c r="J558" t="s">
        <v>75</v>
      </c>
      <c r="K558">
        <v>4</v>
      </c>
      <c r="L558" t="s">
        <v>20</v>
      </c>
      <c r="M558" s="1">
        <f t="shared" ca="1" si="16"/>
        <v>46204</v>
      </c>
      <c r="N558">
        <f t="shared" ca="1" si="17"/>
        <v>1</v>
      </c>
    </row>
    <row r="559" spans="1:14" x14ac:dyDescent="0.3">
      <c r="A559" t="s">
        <v>1700</v>
      </c>
      <c r="B559" t="s">
        <v>1701</v>
      </c>
      <c r="C559" t="s">
        <v>15</v>
      </c>
      <c r="D559" t="s">
        <v>40</v>
      </c>
      <c r="E559" t="s">
        <v>30</v>
      </c>
      <c r="F559">
        <v>6.06</v>
      </c>
      <c r="G559" s="1">
        <v>45946</v>
      </c>
      <c r="H559" s="1">
        <v>44354</v>
      </c>
      <c r="I559" t="s">
        <v>1702</v>
      </c>
      <c r="J559" t="s">
        <v>66</v>
      </c>
      <c r="K559">
        <v>5</v>
      </c>
      <c r="L559" t="s">
        <v>27</v>
      </c>
      <c r="M559" s="1">
        <f t="shared" ca="1" si="16"/>
        <v>46204</v>
      </c>
      <c r="N559">
        <f t="shared" ca="1" si="17"/>
        <v>1</v>
      </c>
    </row>
    <row r="560" spans="1:14" x14ac:dyDescent="0.3">
      <c r="A560" t="s">
        <v>1703</v>
      </c>
      <c r="B560" t="s">
        <v>1704</v>
      </c>
      <c r="C560" t="s">
        <v>15</v>
      </c>
      <c r="D560" t="s">
        <v>56</v>
      </c>
      <c r="E560" t="s">
        <v>30</v>
      </c>
      <c r="F560">
        <v>3.82</v>
      </c>
      <c r="G560" s="1">
        <v>45926</v>
      </c>
      <c r="H560" s="1">
        <v>44830</v>
      </c>
      <c r="I560" t="s">
        <v>1705</v>
      </c>
      <c r="J560" t="s">
        <v>66</v>
      </c>
      <c r="K560">
        <v>2</v>
      </c>
      <c r="L560" t="s">
        <v>27</v>
      </c>
      <c r="M560" s="1">
        <f t="shared" ca="1" si="16"/>
        <v>46204</v>
      </c>
      <c r="N560">
        <f t="shared" ca="1" si="17"/>
        <v>1</v>
      </c>
    </row>
    <row r="561" spans="1:14" x14ac:dyDescent="0.3">
      <c r="A561" t="s">
        <v>1706</v>
      </c>
      <c r="B561" t="s">
        <v>1707</v>
      </c>
      <c r="C561" t="s">
        <v>47</v>
      </c>
      <c r="D561" t="s">
        <v>56</v>
      </c>
      <c r="E561" t="s">
        <v>52</v>
      </c>
      <c r="F561">
        <v>35.590000000000003</v>
      </c>
      <c r="G561" s="1">
        <v>45977</v>
      </c>
      <c r="H561" s="1">
        <v>45158</v>
      </c>
      <c r="I561" t="s">
        <v>1708</v>
      </c>
      <c r="J561" t="s">
        <v>19</v>
      </c>
      <c r="K561">
        <v>3</v>
      </c>
      <c r="L561" t="s">
        <v>20</v>
      </c>
      <c r="M561" s="1">
        <f t="shared" ca="1" si="16"/>
        <v>46204</v>
      </c>
      <c r="N561">
        <f t="shared" ca="1" si="17"/>
        <v>1</v>
      </c>
    </row>
    <row r="562" spans="1:14" x14ac:dyDescent="0.3">
      <c r="A562" t="s">
        <v>1709</v>
      </c>
      <c r="B562" t="s">
        <v>1710</v>
      </c>
      <c r="C562" t="s">
        <v>23</v>
      </c>
      <c r="D562" t="s">
        <v>35</v>
      </c>
      <c r="E562" t="s">
        <v>52</v>
      </c>
      <c r="F562">
        <v>24.35</v>
      </c>
      <c r="G562" s="1">
        <v>46034</v>
      </c>
      <c r="H562" s="1">
        <v>43633</v>
      </c>
      <c r="I562" t="s">
        <v>1711</v>
      </c>
      <c r="J562" t="s">
        <v>75</v>
      </c>
      <c r="K562">
        <v>1</v>
      </c>
      <c r="L562" t="s">
        <v>27</v>
      </c>
      <c r="M562" s="1">
        <f t="shared" ca="1" si="16"/>
        <v>46204</v>
      </c>
      <c r="N562">
        <f t="shared" ca="1" si="17"/>
        <v>1</v>
      </c>
    </row>
    <row r="563" spans="1:14" x14ac:dyDescent="0.3">
      <c r="A563" t="s">
        <v>1712</v>
      </c>
      <c r="B563" t="s">
        <v>1713</v>
      </c>
      <c r="C563" t="s">
        <v>60</v>
      </c>
      <c r="D563" t="s">
        <v>73</v>
      </c>
      <c r="E563" t="s">
        <v>52</v>
      </c>
      <c r="F563">
        <v>26.93</v>
      </c>
      <c r="G563" s="1">
        <v>45858</v>
      </c>
      <c r="H563" s="1">
        <v>44473</v>
      </c>
      <c r="I563" t="s">
        <v>1714</v>
      </c>
      <c r="J563" t="s">
        <v>49</v>
      </c>
      <c r="K563">
        <v>2</v>
      </c>
      <c r="L563" t="s">
        <v>27</v>
      </c>
      <c r="M563" s="1">
        <f t="shared" ca="1" si="16"/>
        <v>46204</v>
      </c>
      <c r="N563">
        <f t="shared" ca="1" si="17"/>
        <v>1</v>
      </c>
    </row>
    <row r="564" spans="1:14" x14ac:dyDescent="0.3">
      <c r="A564" t="s">
        <v>1715</v>
      </c>
      <c r="B564" t="s">
        <v>1716</v>
      </c>
      <c r="C564" t="s">
        <v>23</v>
      </c>
      <c r="D564" t="s">
        <v>40</v>
      </c>
      <c r="E564" t="s">
        <v>17</v>
      </c>
      <c r="F564">
        <v>21.24</v>
      </c>
      <c r="G564" s="1">
        <v>45933</v>
      </c>
      <c r="H564" s="1">
        <v>42688</v>
      </c>
      <c r="I564" t="s">
        <v>1717</v>
      </c>
      <c r="J564" t="s">
        <v>75</v>
      </c>
      <c r="K564">
        <v>3</v>
      </c>
      <c r="L564" t="s">
        <v>27</v>
      </c>
      <c r="M564" s="1">
        <f t="shared" ca="1" si="16"/>
        <v>46204</v>
      </c>
      <c r="N564">
        <f t="shared" ca="1" si="17"/>
        <v>1</v>
      </c>
    </row>
    <row r="565" spans="1:14" x14ac:dyDescent="0.3">
      <c r="A565" t="s">
        <v>1718</v>
      </c>
      <c r="B565" t="s">
        <v>1719</v>
      </c>
      <c r="C565" t="s">
        <v>15</v>
      </c>
      <c r="D565" t="s">
        <v>16</v>
      </c>
      <c r="E565" t="s">
        <v>17</v>
      </c>
      <c r="F565">
        <v>18.8</v>
      </c>
      <c r="G565" s="1">
        <v>45928</v>
      </c>
      <c r="H565" s="1">
        <v>44935</v>
      </c>
      <c r="I565" t="s">
        <v>1720</v>
      </c>
      <c r="J565" t="s">
        <v>94</v>
      </c>
      <c r="K565">
        <v>1</v>
      </c>
      <c r="L565" t="s">
        <v>27</v>
      </c>
      <c r="M565" s="1">
        <f t="shared" ca="1" si="16"/>
        <v>46204</v>
      </c>
      <c r="N565">
        <f t="shared" ca="1" si="17"/>
        <v>1</v>
      </c>
    </row>
    <row r="566" spans="1:14" x14ac:dyDescent="0.3">
      <c r="A566" t="s">
        <v>1721</v>
      </c>
      <c r="B566" t="s">
        <v>1722</v>
      </c>
      <c r="C566" t="s">
        <v>64</v>
      </c>
      <c r="D566" t="s">
        <v>56</v>
      </c>
      <c r="E566" t="s">
        <v>52</v>
      </c>
      <c r="F566">
        <v>30.67</v>
      </c>
      <c r="G566" s="1">
        <v>45960</v>
      </c>
      <c r="H566" s="1">
        <v>42333</v>
      </c>
      <c r="I566" t="s">
        <v>1723</v>
      </c>
      <c r="J566" t="s">
        <v>49</v>
      </c>
      <c r="K566">
        <v>4</v>
      </c>
      <c r="L566" t="s">
        <v>20</v>
      </c>
      <c r="M566" s="1">
        <f t="shared" ca="1" si="16"/>
        <v>46204</v>
      </c>
      <c r="N566">
        <f t="shared" ca="1" si="17"/>
        <v>1</v>
      </c>
    </row>
    <row r="567" spans="1:14" x14ac:dyDescent="0.3">
      <c r="A567" t="s">
        <v>1724</v>
      </c>
      <c r="B567" t="s">
        <v>999</v>
      </c>
      <c r="C567" t="s">
        <v>124</v>
      </c>
      <c r="D567" t="s">
        <v>56</v>
      </c>
      <c r="E567" t="s">
        <v>52</v>
      </c>
      <c r="F567">
        <v>23.05</v>
      </c>
      <c r="G567" s="1">
        <v>45726</v>
      </c>
      <c r="H567" s="1">
        <v>43991</v>
      </c>
      <c r="I567" t="s">
        <v>1725</v>
      </c>
      <c r="J567" t="s">
        <v>94</v>
      </c>
      <c r="K567">
        <v>3</v>
      </c>
      <c r="L567" t="s">
        <v>20</v>
      </c>
      <c r="M567" s="1">
        <f t="shared" ca="1" si="16"/>
        <v>46204</v>
      </c>
      <c r="N567">
        <f t="shared" ca="1" si="17"/>
        <v>1</v>
      </c>
    </row>
    <row r="568" spans="1:14" x14ac:dyDescent="0.3">
      <c r="A568" t="s">
        <v>1726</v>
      </c>
      <c r="B568" t="s">
        <v>1727</v>
      </c>
      <c r="C568" t="s">
        <v>124</v>
      </c>
      <c r="D568" t="s">
        <v>16</v>
      </c>
      <c r="E568" t="s">
        <v>17</v>
      </c>
      <c r="F568">
        <v>9.8699999999999992</v>
      </c>
      <c r="G568" s="1">
        <v>45817</v>
      </c>
      <c r="H568" s="1">
        <v>43077</v>
      </c>
      <c r="I568" t="s">
        <v>1728</v>
      </c>
      <c r="J568" t="s">
        <v>75</v>
      </c>
      <c r="K568">
        <v>2</v>
      </c>
      <c r="L568" t="s">
        <v>27</v>
      </c>
      <c r="M568" s="1">
        <f t="shared" ca="1" si="16"/>
        <v>46204</v>
      </c>
      <c r="N568">
        <f t="shared" ca="1" si="17"/>
        <v>1</v>
      </c>
    </row>
    <row r="569" spans="1:14" x14ac:dyDescent="0.3">
      <c r="A569" t="s">
        <v>1729</v>
      </c>
      <c r="B569" t="s">
        <v>1730</v>
      </c>
      <c r="C569" t="s">
        <v>15</v>
      </c>
      <c r="D569" t="s">
        <v>56</v>
      </c>
      <c r="E569" t="s">
        <v>52</v>
      </c>
      <c r="F569">
        <v>13.16</v>
      </c>
      <c r="G569" s="1">
        <v>46026</v>
      </c>
      <c r="H569" s="1">
        <v>44351</v>
      </c>
      <c r="I569" t="s">
        <v>1731</v>
      </c>
      <c r="J569" t="s">
        <v>66</v>
      </c>
      <c r="K569">
        <v>5</v>
      </c>
      <c r="L569" t="s">
        <v>20</v>
      </c>
      <c r="M569" s="1">
        <f t="shared" ca="1" si="16"/>
        <v>46204</v>
      </c>
      <c r="N569">
        <f t="shared" ca="1" si="17"/>
        <v>1</v>
      </c>
    </row>
    <row r="570" spans="1:14" x14ac:dyDescent="0.3">
      <c r="A570" t="s">
        <v>1732</v>
      </c>
      <c r="B570" t="s">
        <v>1733</v>
      </c>
      <c r="C570" t="s">
        <v>124</v>
      </c>
      <c r="D570" t="s">
        <v>35</v>
      </c>
      <c r="E570" t="s">
        <v>30</v>
      </c>
      <c r="F570">
        <v>7.6</v>
      </c>
      <c r="G570" s="1">
        <v>45905</v>
      </c>
      <c r="H570" s="1">
        <v>44602</v>
      </c>
      <c r="I570" t="s">
        <v>1734</v>
      </c>
      <c r="J570" t="s">
        <v>49</v>
      </c>
      <c r="K570">
        <v>3</v>
      </c>
      <c r="L570" t="s">
        <v>20</v>
      </c>
      <c r="M570" s="1">
        <f t="shared" ca="1" si="16"/>
        <v>46204</v>
      </c>
      <c r="N570">
        <f t="shared" ca="1" si="17"/>
        <v>1</v>
      </c>
    </row>
    <row r="571" spans="1:14" x14ac:dyDescent="0.3">
      <c r="A571" t="s">
        <v>1735</v>
      </c>
      <c r="B571" t="s">
        <v>1736</v>
      </c>
      <c r="C571" t="s">
        <v>60</v>
      </c>
      <c r="D571" t="s">
        <v>73</v>
      </c>
      <c r="E571" t="s">
        <v>30</v>
      </c>
      <c r="F571">
        <v>4.29</v>
      </c>
      <c r="G571" s="1">
        <v>45833</v>
      </c>
      <c r="H571" s="1">
        <v>42662</v>
      </c>
      <c r="I571" t="s">
        <v>1737</v>
      </c>
      <c r="J571" t="s">
        <v>75</v>
      </c>
      <c r="K571">
        <v>5</v>
      </c>
      <c r="L571" t="s">
        <v>20</v>
      </c>
      <c r="M571" s="1">
        <f t="shared" ca="1" si="16"/>
        <v>46204</v>
      </c>
      <c r="N571">
        <f t="shared" ca="1" si="17"/>
        <v>1</v>
      </c>
    </row>
    <row r="572" spans="1:14" x14ac:dyDescent="0.3">
      <c r="A572" t="s">
        <v>1738</v>
      </c>
      <c r="B572" t="s">
        <v>1739</v>
      </c>
      <c r="C572" t="s">
        <v>60</v>
      </c>
      <c r="D572" t="s">
        <v>16</v>
      </c>
      <c r="E572" t="s">
        <v>17</v>
      </c>
      <c r="F572">
        <v>10.64</v>
      </c>
      <c r="G572" s="1">
        <v>46040</v>
      </c>
      <c r="H572" s="1">
        <v>43221</v>
      </c>
      <c r="I572" t="s">
        <v>1740</v>
      </c>
      <c r="J572" t="s">
        <v>75</v>
      </c>
      <c r="K572">
        <v>4</v>
      </c>
      <c r="L572" t="s">
        <v>27</v>
      </c>
      <c r="M572" s="1">
        <f t="shared" ca="1" si="16"/>
        <v>46204</v>
      </c>
      <c r="N572">
        <f t="shared" ca="1" si="17"/>
        <v>1</v>
      </c>
    </row>
    <row r="573" spans="1:14" x14ac:dyDescent="0.3">
      <c r="A573" t="s">
        <v>1741</v>
      </c>
      <c r="B573" t="s">
        <v>1742</v>
      </c>
      <c r="C573" t="s">
        <v>64</v>
      </c>
      <c r="D573" t="s">
        <v>69</v>
      </c>
      <c r="E573" t="s">
        <v>52</v>
      </c>
      <c r="F573">
        <v>2.17</v>
      </c>
      <c r="G573" s="1">
        <v>45773</v>
      </c>
      <c r="H573" s="1">
        <v>43717</v>
      </c>
      <c r="I573" t="s">
        <v>1743</v>
      </c>
      <c r="J573" t="s">
        <v>19</v>
      </c>
      <c r="K573">
        <v>4</v>
      </c>
      <c r="L573" t="s">
        <v>27</v>
      </c>
      <c r="M573" s="1">
        <f t="shared" ca="1" si="16"/>
        <v>46204</v>
      </c>
      <c r="N573">
        <f t="shared" ca="1" si="17"/>
        <v>1</v>
      </c>
    </row>
    <row r="574" spans="1:14" x14ac:dyDescent="0.3">
      <c r="A574" t="s">
        <v>1744</v>
      </c>
      <c r="B574" t="s">
        <v>1745</v>
      </c>
      <c r="C574" t="s">
        <v>47</v>
      </c>
      <c r="D574" t="s">
        <v>40</v>
      </c>
      <c r="E574" t="s">
        <v>24</v>
      </c>
      <c r="F574">
        <v>2</v>
      </c>
      <c r="G574" s="1">
        <v>45727</v>
      </c>
      <c r="H574" s="1">
        <v>42643</v>
      </c>
      <c r="I574" t="s">
        <v>1746</v>
      </c>
      <c r="J574" t="s">
        <v>94</v>
      </c>
      <c r="K574">
        <v>5</v>
      </c>
      <c r="L574" t="s">
        <v>20</v>
      </c>
      <c r="M574" s="1">
        <f t="shared" ca="1" si="16"/>
        <v>46204</v>
      </c>
      <c r="N574">
        <f t="shared" ca="1" si="17"/>
        <v>1</v>
      </c>
    </row>
    <row r="575" spans="1:14" x14ac:dyDescent="0.3">
      <c r="A575" t="s">
        <v>1747</v>
      </c>
      <c r="B575" t="s">
        <v>1748</v>
      </c>
      <c r="C575" t="s">
        <v>34</v>
      </c>
      <c r="D575" t="s">
        <v>69</v>
      </c>
      <c r="E575" t="s">
        <v>52</v>
      </c>
      <c r="F575">
        <v>31.36</v>
      </c>
      <c r="G575" s="1">
        <v>45948</v>
      </c>
      <c r="H575" s="1">
        <v>43004</v>
      </c>
      <c r="I575" t="s">
        <v>1749</v>
      </c>
      <c r="J575" t="s">
        <v>75</v>
      </c>
      <c r="K575">
        <v>3</v>
      </c>
      <c r="L575" t="s">
        <v>20</v>
      </c>
      <c r="M575" s="1">
        <f t="shared" ca="1" si="16"/>
        <v>46204</v>
      </c>
      <c r="N575">
        <f t="shared" ca="1" si="17"/>
        <v>1</v>
      </c>
    </row>
    <row r="576" spans="1:14" x14ac:dyDescent="0.3">
      <c r="A576" t="s">
        <v>1750</v>
      </c>
      <c r="B576" t="s">
        <v>1751</v>
      </c>
      <c r="C576" t="s">
        <v>15</v>
      </c>
      <c r="D576" t="s">
        <v>16</v>
      </c>
      <c r="E576" t="s">
        <v>30</v>
      </c>
      <c r="F576">
        <v>20.02</v>
      </c>
      <c r="G576" s="1">
        <v>45965</v>
      </c>
      <c r="H576" s="1">
        <v>43317</v>
      </c>
      <c r="I576" t="s">
        <v>1752</v>
      </c>
      <c r="J576" t="s">
        <v>19</v>
      </c>
      <c r="K576">
        <v>2</v>
      </c>
      <c r="L576" t="s">
        <v>20</v>
      </c>
      <c r="M576" s="1">
        <f t="shared" ca="1" si="16"/>
        <v>46204</v>
      </c>
      <c r="N576">
        <f t="shared" ca="1" si="17"/>
        <v>1</v>
      </c>
    </row>
    <row r="577" spans="1:14" x14ac:dyDescent="0.3">
      <c r="A577" t="s">
        <v>1753</v>
      </c>
      <c r="B577" t="s">
        <v>1754</v>
      </c>
      <c r="C577" t="s">
        <v>64</v>
      </c>
      <c r="D577" t="s">
        <v>16</v>
      </c>
      <c r="E577" t="s">
        <v>24</v>
      </c>
      <c r="F577">
        <v>34.68</v>
      </c>
      <c r="G577" s="1">
        <v>45740</v>
      </c>
      <c r="H577" s="1">
        <v>44421</v>
      </c>
      <c r="I577" t="s">
        <v>1755</v>
      </c>
      <c r="J577" t="s">
        <v>49</v>
      </c>
      <c r="K577">
        <v>4</v>
      </c>
      <c r="L577" t="s">
        <v>20</v>
      </c>
      <c r="M577" s="1">
        <f t="shared" ca="1" si="16"/>
        <v>46204</v>
      </c>
      <c r="N577">
        <f t="shared" ca="1" si="17"/>
        <v>1</v>
      </c>
    </row>
    <row r="578" spans="1:14" x14ac:dyDescent="0.3">
      <c r="A578" t="s">
        <v>1756</v>
      </c>
      <c r="B578" t="s">
        <v>86</v>
      </c>
      <c r="C578" t="s">
        <v>64</v>
      </c>
      <c r="D578" t="s">
        <v>16</v>
      </c>
      <c r="E578" t="s">
        <v>17</v>
      </c>
      <c r="F578">
        <v>8.49</v>
      </c>
      <c r="G578" s="1">
        <v>45903</v>
      </c>
      <c r="H578" s="1">
        <v>43336</v>
      </c>
      <c r="I578" t="s">
        <v>1757</v>
      </c>
      <c r="J578" t="s">
        <v>19</v>
      </c>
      <c r="K578">
        <v>1</v>
      </c>
      <c r="L578" t="s">
        <v>27</v>
      </c>
      <c r="M578" s="1">
        <f t="shared" ca="1" si="16"/>
        <v>46204</v>
      </c>
      <c r="N578">
        <f t="shared" ca="1" si="17"/>
        <v>1</v>
      </c>
    </row>
    <row r="579" spans="1:14" x14ac:dyDescent="0.3">
      <c r="A579" t="s">
        <v>1758</v>
      </c>
      <c r="B579" t="s">
        <v>1759</v>
      </c>
      <c r="C579" t="s">
        <v>34</v>
      </c>
      <c r="D579" t="s">
        <v>35</v>
      </c>
      <c r="E579" t="s">
        <v>30</v>
      </c>
      <c r="F579">
        <v>4.8499999999999996</v>
      </c>
      <c r="G579" s="1">
        <v>45875</v>
      </c>
      <c r="H579" s="1">
        <v>42519</v>
      </c>
      <c r="I579" t="s">
        <v>1760</v>
      </c>
      <c r="J579" t="s">
        <v>26</v>
      </c>
      <c r="K579">
        <v>2</v>
      </c>
      <c r="L579" t="s">
        <v>27</v>
      </c>
      <c r="M579" s="1">
        <f t="shared" ref="M579:M642" ca="1" si="18">TODAY()</f>
        <v>46204</v>
      </c>
      <c r="N579">
        <f t="shared" ref="N579:N642" ca="1" si="19">IF(G579&lt;M579,1,0)</f>
        <v>1</v>
      </c>
    </row>
    <row r="580" spans="1:14" x14ac:dyDescent="0.3">
      <c r="A580" t="s">
        <v>1761</v>
      </c>
      <c r="B580" t="s">
        <v>1762</v>
      </c>
      <c r="C580" t="s">
        <v>47</v>
      </c>
      <c r="D580" t="s">
        <v>16</v>
      </c>
      <c r="E580" t="s">
        <v>30</v>
      </c>
      <c r="F580">
        <v>16.47</v>
      </c>
      <c r="G580" s="1">
        <v>45829</v>
      </c>
      <c r="H580" s="1">
        <v>43277</v>
      </c>
      <c r="I580" t="s">
        <v>1763</v>
      </c>
      <c r="J580" t="s">
        <v>94</v>
      </c>
      <c r="K580">
        <v>5</v>
      </c>
      <c r="L580" t="s">
        <v>27</v>
      </c>
      <c r="M580" s="1">
        <f t="shared" ca="1" si="18"/>
        <v>46204</v>
      </c>
      <c r="N580">
        <f t="shared" ca="1" si="19"/>
        <v>1</v>
      </c>
    </row>
    <row r="581" spans="1:14" x14ac:dyDescent="0.3">
      <c r="A581" t="s">
        <v>1764</v>
      </c>
      <c r="B581" t="s">
        <v>1765</v>
      </c>
      <c r="C581" t="s">
        <v>23</v>
      </c>
      <c r="D581" t="s">
        <v>73</v>
      </c>
      <c r="E581" t="s">
        <v>30</v>
      </c>
      <c r="F581">
        <v>21.66</v>
      </c>
      <c r="G581" s="1">
        <v>45945</v>
      </c>
      <c r="H581" s="1">
        <v>45352</v>
      </c>
      <c r="I581" t="s">
        <v>1766</v>
      </c>
      <c r="J581" t="s">
        <v>49</v>
      </c>
      <c r="K581">
        <v>2</v>
      </c>
      <c r="L581" t="s">
        <v>20</v>
      </c>
      <c r="M581" s="1">
        <f t="shared" ca="1" si="18"/>
        <v>46204</v>
      </c>
      <c r="N581">
        <f t="shared" ca="1" si="19"/>
        <v>1</v>
      </c>
    </row>
    <row r="582" spans="1:14" x14ac:dyDescent="0.3">
      <c r="A582" t="s">
        <v>1767</v>
      </c>
      <c r="B582" t="s">
        <v>1768</v>
      </c>
      <c r="C582" t="s">
        <v>124</v>
      </c>
      <c r="D582" t="s">
        <v>16</v>
      </c>
      <c r="E582" t="s">
        <v>52</v>
      </c>
      <c r="F582">
        <v>17.29</v>
      </c>
      <c r="G582" s="1">
        <v>46033</v>
      </c>
      <c r="H582" s="1">
        <v>44819</v>
      </c>
      <c r="I582" t="s">
        <v>1769</v>
      </c>
      <c r="J582" t="s">
        <v>94</v>
      </c>
      <c r="K582">
        <v>2</v>
      </c>
      <c r="L582" t="s">
        <v>27</v>
      </c>
      <c r="M582" s="1">
        <f t="shared" ca="1" si="18"/>
        <v>46204</v>
      </c>
      <c r="N582">
        <f t="shared" ca="1" si="19"/>
        <v>1</v>
      </c>
    </row>
    <row r="583" spans="1:14" x14ac:dyDescent="0.3">
      <c r="A583" t="s">
        <v>1770</v>
      </c>
      <c r="B583" t="s">
        <v>1771</v>
      </c>
      <c r="C583" t="s">
        <v>34</v>
      </c>
      <c r="D583" t="s">
        <v>40</v>
      </c>
      <c r="E583" t="s">
        <v>52</v>
      </c>
      <c r="F583">
        <v>30.94</v>
      </c>
      <c r="G583" s="1">
        <v>45853</v>
      </c>
      <c r="H583" s="1">
        <v>43444</v>
      </c>
      <c r="I583" t="s">
        <v>1772</v>
      </c>
      <c r="J583" t="s">
        <v>75</v>
      </c>
      <c r="K583">
        <v>4</v>
      </c>
      <c r="L583" t="s">
        <v>27</v>
      </c>
      <c r="M583" s="1">
        <f t="shared" ca="1" si="18"/>
        <v>46204</v>
      </c>
      <c r="N583">
        <f t="shared" ca="1" si="19"/>
        <v>1</v>
      </c>
    </row>
    <row r="584" spans="1:14" x14ac:dyDescent="0.3">
      <c r="A584" t="s">
        <v>1773</v>
      </c>
      <c r="B584" t="s">
        <v>1774</v>
      </c>
      <c r="C584" t="s">
        <v>23</v>
      </c>
      <c r="D584" t="s">
        <v>56</v>
      </c>
      <c r="E584" t="s">
        <v>17</v>
      </c>
      <c r="F584">
        <v>23.24</v>
      </c>
      <c r="G584" s="1">
        <v>45734</v>
      </c>
      <c r="H584" s="1">
        <v>42597</v>
      </c>
      <c r="I584" t="s">
        <v>1775</v>
      </c>
      <c r="J584" t="s">
        <v>19</v>
      </c>
      <c r="K584">
        <v>5</v>
      </c>
      <c r="L584" t="s">
        <v>27</v>
      </c>
      <c r="M584" s="1">
        <f t="shared" ca="1" si="18"/>
        <v>46204</v>
      </c>
      <c r="N584">
        <f t="shared" ca="1" si="19"/>
        <v>1</v>
      </c>
    </row>
    <row r="585" spans="1:14" x14ac:dyDescent="0.3">
      <c r="A585" t="s">
        <v>1776</v>
      </c>
      <c r="B585" t="s">
        <v>1777</v>
      </c>
      <c r="C585" t="s">
        <v>60</v>
      </c>
      <c r="D585" t="s">
        <v>40</v>
      </c>
      <c r="E585" t="s">
        <v>52</v>
      </c>
      <c r="F585">
        <v>25.35</v>
      </c>
      <c r="G585" s="1">
        <v>45865</v>
      </c>
      <c r="H585" s="1">
        <v>44691</v>
      </c>
      <c r="I585" t="s">
        <v>1778</v>
      </c>
      <c r="J585" t="s">
        <v>75</v>
      </c>
      <c r="K585">
        <v>5</v>
      </c>
      <c r="L585" t="s">
        <v>20</v>
      </c>
      <c r="M585" s="1">
        <f t="shared" ca="1" si="18"/>
        <v>46204</v>
      </c>
      <c r="N585">
        <f t="shared" ca="1" si="19"/>
        <v>1</v>
      </c>
    </row>
    <row r="586" spans="1:14" x14ac:dyDescent="0.3">
      <c r="A586" t="s">
        <v>1779</v>
      </c>
      <c r="B586" t="s">
        <v>1780</v>
      </c>
      <c r="C586" t="s">
        <v>47</v>
      </c>
      <c r="D586" t="s">
        <v>35</v>
      </c>
      <c r="E586" t="s">
        <v>30</v>
      </c>
      <c r="F586">
        <v>26.05</v>
      </c>
      <c r="G586" s="1">
        <v>46067</v>
      </c>
      <c r="H586" s="1">
        <v>42539</v>
      </c>
      <c r="I586" t="s">
        <v>1532</v>
      </c>
      <c r="J586" t="s">
        <v>75</v>
      </c>
      <c r="K586">
        <v>1</v>
      </c>
      <c r="L586" t="s">
        <v>27</v>
      </c>
      <c r="M586" s="1">
        <f t="shared" ca="1" si="18"/>
        <v>46204</v>
      </c>
      <c r="N586">
        <f t="shared" ca="1" si="19"/>
        <v>1</v>
      </c>
    </row>
    <row r="587" spans="1:14" x14ac:dyDescent="0.3">
      <c r="A587" t="s">
        <v>1781</v>
      </c>
      <c r="B587" t="s">
        <v>1782</v>
      </c>
      <c r="C587" t="s">
        <v>60</v>
      </c>
      <c r="D587" t="s">
        <v>69</v>
      </c>
      <c r="E587" t="s">
        <v>17</v>
      </c>
      <c r="F587">
        <v>23.27</v>
      </c>
      <c r="G587" s="1">
        <v>45776</v>
      </c>
      <c r="H587" s="1">
        <v>43275</v>
      </c>
      <c r="I587" t="s">
        <v>1783</v>
      </c>
      <c r="J587" t="s">
        <v>37</v>
      </c>
      <c r="K587">
        <v>2</v>
      </c>
      <c r="L587" t="s">
        <v>27</v>
      </c>
      <c r="M587" s="1">
        <f t="shared" ca="1" si="18"/>
        <v>46204</v>
      </c>
      <c r="N587">
        <f t="shared" ca="1" si="19"/>
        <v>1</v>
      </c>
    </row>
    <row r="588" spans="1:14" x14ac:dyDescent="0.3">
      <c r="A588" t="s">
        <v>1784</v>
      </c>
      <c r="B588" t="s">
        <v>1785</v>
      </c>
      <c r="C588" t="s">
        <v>15</v>
      </c>
      <c r="D588" t="s">
        <v>69</v>
      </c>
      <c r="E588" t="s">
        <v>17</v>
      </c>
      <c r="F588">
        <v>18.78</v>
      </c>
      <c r="G588" s="1">
        <v>45800</v>
      </c>
      <c r="H588" s="1">
        <v>44742</v>
      </c>
      <c r="I588" t="s">
        <v>1786</v>
      </c>
      <c r="J588" t="s">
        <v>37</v>
      </c>
      <c r="K588">
        <v>4</v>
      </c>
      <c r="L588" t="s">
        <v>20</v>
      </c>
      <c r="M588" s="1">
        <f t="shared" ca="1" si="18"/>
        <v>46204</v>
      </c>
      <c r="N588">
        <f t="shared" ca="1" si="19"/>
        <v>1</v>
      </c>
    </row>
    <row r="589" spans="1:14" x14ac:dyDescent="0.3">
      <c r="A589" t="s">
        <v>1787</v>
      </c>
      <c r="B589" t="s">
        <v>1788</v>
      </c>
      <c r="C589" t="s">
        <v>64</v>
      </c>
      <c r="D589" t="s">
        <v>56</v>
      </c>
      <c r="E589" t="s">
        <v>52</v>
      </c>
      <c r="F589">
        <v>27.27</v>
      </c>
      <c r="G589" s="1">
        <v>46029</v>
      </c>
      <c r="H589" s="1">
        <v>44320</v>
      </c>
      <c r="I589" t="s">
        <v>1789</v>
      </c>
      <c r="J589" t="s">
        <v>66</v>
      </c>
      <c r="K589">
        <v>2</v>
      </c>
      <c r="L589" t="s">
        <v>27</v>
      </c>
      <c r="M589" s="1">
        <f t="shared" ca="1" si="18"/>
        <v>46204</v>
      </c>
      <c r="N589">
        <f t="shared" ca="1" si="19"/>
        <v>1</v>
      </c>
    </row>
    <row r="590" spans="1:14" x14ac:dyDescent="0.3">
      <c r="A590" t="s">
        <v>1790</v>
      </c>
      <c r="B590" t="s">
        <v>1791</v>
      </c>
      <c r="C590" t="s">
        <v>47</v>
      </c>
      <c r="D590" t="s">
        <v>56</v>
      </c>
      <c r="E590" t="s">
        <v>30</v>
      </c>
      <c r="F590">
        <v>1.98</v>
      </c>
      <c r="G590" s="1">
        <v>45951</v>
      </c>
      <c r="H590" s="1">
        <v>43999</v>
      </c>
      <c r="I590" t="s">
        <v>1792</v>
      </c>
      <c r="J590" t="s">
        <v>75</v>
      </c>
      <c r="K590">
        <v>3</v>
      </c>
      <c r="L590" t="s">
        <v>27</v>
      </c>
      <c r="M590" s="1">
        <f t="shared" ca="1" si="18"/>
        <v>46204</v>
      </c>
      <c r="N590">
        <f t="shared" ca="1" si="19"/>
        <v>1</v>
      </c>
    </row>
    <row r="591" spans="1:14" x14ac:dyDescent="0.3">
      <c r="A591" t="s">
        <v>1793</v>
      </c>
      <c r="B591" t="s">
        <v>1794</v>
      </c>
      <c r="C591" t="s">
        <v>34</v>
      </c>
      <c r="D591" t="s">
        <v>16</v>
      </c>
      <c r="E591" t="s">
        <v>52</v>
      </c>
      <c r="F591">
        <v>28.34</v>
      </c>
      <c r="G591" s="1">
        <v>46004</v>
      </c>
      <c r="H591" s="1">
        <v>43811</v>
      </c>
      <c r="I591" t="s">
        <v>1795</v>
      </c>
      <c r="J591" t="s">
        <v>19</v>
      </c>
      <c r="K591">
        <v>5</v>
      </c>
      <c r="L591" t="s">
        <v>20</v>
      </c>
      <c r="M591" s="1">
        <f t="shared" ca="1" si="18"/>
        <v>46204</v>
      </c>
      <c r="N591">
        <f t="shared" ca="1" si="19"/>
        <v>1</v>
      </c>
    </row>
    <row r="592" spans="1:14" x14ac:dyDescent="0.3">
      <c r="A592" t="s">
        <v>1796</v>
      </c>
      <c r="B592" t="s">
        <v>1797</v>
      </c>
      <c r="C592" t="s">
        <v>34</v>
      </c>
      <c r="D592" t="s">
        <v>73</v>
      </c>
      <c r="E592" t="s">
        <v>52</v>
      </c>
      <c r="F592">
        <v>26.94</v>
      </c>
      <c r="G592" s="1">
        <v>46064</v>
      </c>
      <c r="H592" s="1">
        <v>43160</v>
      </c>
      <c r="I592" t="s">
        <v>1798</v>
      </c>
      <c r="J592" t="s">
        <v>19</v>
      </c>
      <c r="K592">
        <v>4</v>
      </c>
      <c r="L592" t="s">
        <v>27</v>
      </c>
      <c r="M592" s="1">
        <f t="shared" ca="1" si="18"/>
        <v>46204</v>
      </c>
      <c r="N592">
        <f t="shared" ca="1" si="19"/>
        <v>1</v>
      </c>
    </row>
    <row r="593" spans="1:14" x14ac:dyDescent="0.3">
      <c r="A593" t="s">
        <v>1799</v>
      </c>
      <c r="B593" t="s">
        <v>1800</v>
      </c>
      <c r="C593" t="s">
        <v>23</v>
      </c>
      <c r="D593" t="s">
        <v>56</v>
      </c>
      <c r="E593" t="s">
        <v>52</v>
      </c>
      <c r="F593">
        <v>10.34</v>
      </c>
      <c r="G593" s="1">
        <v>45819</v>
      </c>
      <c r="H593" s="1">
        <v>43108</v>
      </c>
      <c r="I593" t="s">
        <v>1801</v>
      </c>
      <c r="J593" t="s">
        <v>66</v>
      </c>
      <c r="K593">
        <v>1</v>
      </c>
      <c r="L593" t="s">
        <v>27</v>
      </c>
      <c r="M593" s="1">
        <f t="shared" ca="1" si="18"/>
        <v>46204</v>
      </c>
      <c r="N593">
        <f t="shared" ca="1" si="19"/>
        <v>1</v>
      </c>
    </row>
    <row r="594" spans="1:14" x14ac:dyDescent="0.3">
      <c r="A594" t="s">
        <v>1802</v>
      </c>
      <c r="B594" t="s">
        <v>1803</v>
      </c>
      <c r="C594" t="s">
        <v>60</v>
      </c>
      <c r="D594" t="s">
        <v>73</v>
      </c>
      <c r="E594" t="s">
        <v>52</v>
      </c>
      <c r="F594">
        <v>19.52</v>
      </c>
      <c r="G594" s="1">
        <v>46000</v>
      </c>
      <c r="H594" s="1">
        <v>44727</v>
      </c>
      <c r="I594" t="s">
        <v>1804</v>
      </c>
      <c r="J594" t="s">
        <v>66</v>
      </c>
      <c r="K594">
        <v>2</v>
      </c>
      <c r="L594" t="s">
        <v>20</v>
      </c>
      <c r="M594" s="1">
        <f t="shared" ca="1" si="18"/>
        <v>46204</v>
      </c>
      <c r="N594">
        <f t="shared" ca="1" si="19"/>
        <v>1</v>
      </c>
    </row>
    <row r="595" spans="1:14" x14ac:dyDescent="0.3">
      <c r="A595" t="s">
        <v>1805</v>
      </c>
      <c r="B595" t="s">
        <v>1806</v>
      </c>
      <c r="C595" t="s">
        <v>64</v>
      </c>
      <c r="D595" t="s">
        <v>40</v>
      </c>
      <c r="E595" t="s">
        <v>30</v>
      </c>
      <c r="F595">
        <v>38.75</v>
      </c>
      <c r="G595" s="1">
        <v>46023</v>
      </c>
      <c r="H595" s="1">
        <v>42399</v>
      </c>
      <c r="I595" t="s">
        <v>1807</v>
      </c>
      <c r="J595" t="s">
        <v>94</v>
      </c>
      <c r="K595">
        <v>2</v>
      </c>
      <c r="L595" t="s">
        <v>27</v>
      </c>
      <c r="M595" s="1">
        <f t="shared" ca="1" si="18"/>
        <v>46204</v>
      </c>
      <c r="N595">
        <f t="shared" ca="1" si="19"/>
        <v>1</v>
      </c>
    </row>
    <row r="596" spans="1:14" x14ac:dyDescent="0.3">
      <c r="A596" t="s">
        <v>1808</v>
      </c>
      <c r="B596" t="s">
        <v>1809</v>
      </c>
      <c r="C596" t="s">
        <v>60</v>
      </c>
      <c r="D596" t="s">
        <v>40</v>
      </c>
      <c r="E596" t="s">
        <v>24</v>
      </c>
      <c r="F596">
        <v>14.09</v>
      </c>
      <c r="G596" s="1">
        <v>46063</v>
      </c>
      <c r="H596" s="1">
        <v>44363</v>
      </c>
      <c r="I596" t="s">
        <v>1810</v>
      </c>
      <c r="J596" t="s">
        <v>75</v>
      </c>
      <c r="K596">
        <v>3</v>
      </c>
      <c r="L596" t="s">
        <v>20</v>
      </c>
      <c r="M596" s="1">
        <f t="shared" ca="1" si="18"/>
        <v>46204</v>
      </c>
      <c r="N596">
        <f t="shared" ca="1" si="19"/>
        <v>1</v>
      </c>
    </row>
    <row r="597" spans="1:14" x14ac:dyDescent="0.3">
      <c r="A597" t="s">
        <v>1811</v>
      </c>
      <c r="B597" t="s">
        <v>1812</v>
      </c>
      <c r="C597" t="s">
        <v>15</v>
      </c>
      <c r="D597" t="s">
        <v>16</v>
      </c>
      <c r="E597" t="s">
        <v>24</v>
      </c>
      <c r="F597">
        <v>9.31</v>
      </c>
      <c r="G597" s="1">
        <v>45710</v>
      </c>
      <c r="H597" s="1">
        <v>42417</v>
      </c>
      <c r="I597" t="s">
        <v>1813</v>
      </c>
      <c r="J597" t="s">
        <v>49</v>
      </c>
      <c r="K597">
        <v>5</v>
      </c>
      <c r="L597" t="s">
        <v>27</v>
      </c>
      <c r="M597" s="1">
        <f t="shared" ca="1" si="18"/>
        <v>46204</v>
      </c>
      <c r="N597">
        <f t="shared" ca="1" si="19"/>
        <v>1</v>
      </c>
    </row>
    <row r="598" spans="1:14" x14ac:dyDescent="0.3">
      <c r="A598" t="s">
        <v>1814</v>
      </c>
      <c r="B598" t="s">
        <v>1815</v>
      </c>
      <c r="C598" t="s">
        <v>23</v>
      </c>
      <c r="D598" t="s">
        <v>35</v>
      </c>
      <c r="E598" t="s">
        <v>17</v>
      </c>
      <c r="F598">
        <v>32.29</v>
      </c>
      <c r="G598" s="1">
        <v>45780</v>
      </c>
      <c r="H598" s="1">
        <v>44395</v>
      </c>
      <c r="I598" t="s">
        <v>1816</v>
      </c>
      <c r="J598" t="s">
        <v>26</v>
      </c>
      <c r="K598">
        <v>2</v>
      </c>
      <c r="L598" t="s">
        <v>20</v>
      </c>
      <c r="M598" s="1">
        <f t="shared" ca="1" si="18"/>
        <v>46204</v>
      </c>
      <c r="N598">
        <f t="shared" ca="1" si="19"/>
        <v>1</v>
      </c>
    </row>
    <row r="599" spans="1:14" x14ac:dyDescent="0.3">
      <c r="A599" t="s">
        <v>1817</v>
      </c>
      <c r="B599" t="s">
        <v>1818</v>
      </c>
      <c r="C599" t="s">
        <v>15</v>
      </c>
      <c r="D599" t="s">
        <v>73</v>
      </c>
      <c r="E599" t="s">
        <v>52</v>
      </c>
      <c r="F599">
        <v>33.979999999999997</v>
      </c>
      <c r="G599" s="1">
        <v>46045</v>
      </c>
      <c r="H599" s="1">
        <v>43519</v>
      </c>
      <c r="I599" t="s">
        <v>1819</v>
      </c>
      <c r="J599" t="s">
        <v>26</v>
      </c>
      <c r="K599">
        <v>3</v>
      </c>
      <c r="L599" t="s">
        <v>20</v>
      </c>
      <c r="M599" s="1">
        <f t="shared" ca="1" si="18"/>
        <v>46204</v>
      </c>
      <c r="N599">
        <f t="shared" ca="1" si="19"/>
        <v>1</v>
      </c>
    </row>
    <row r="600" spans="1:14" x14ac:dyDescent="0.3">
      <c r="A600" t="s">
        <v>1820</v>
      </c>
      <c r="B600" t="s">
        <v>1821</v>
      </c>
      <c r="C600" t="s">
        <v>47</v>
      </c>
      <c r="D600" t="s">
        <v>73</v>
      </c>
      <c r="E600" t="s">
        <v>30</v>
      </c>
      <c r="F600">
        <v>34.56</v>
      </c>
      <c r="G600" s="1">
        <v>45744</v>
      </c>
      <c r="H600" s="1">
        <v>42300</v>
      </c>
      <c r="I600" t="s">
        <v>1822</v>
      </c>
      <c r="J600" t="s">
        <v>75</v>
      </c>
      <c r="K600">
        <v>3</v>
      </c>
      <c r="L600" t="s">
        <v>27</v>
      </c>
      <c r="M600" s="1">
        <f t="shared" ca="1" si="18"/>
        <v>46204</v>
      </c>
      <c r="N600">
        <f t="shared" ca="1" si="19"/>
        <v>1</v>
      </c>
    </row>
    <row r="601" spans="1:14" x14ac:dyDescent="0.3">
      <c r="A601" t="s">
        <v>1823</v>
      </c>
      <c r="B601" t="s">
        <v>1824</v>
      </c>
      <c r="C601" t="s">
        <v>60</v>
      </c>
      <c r="D601" t="s">
        <v>56</v>
      </c>
      <c r="E601" t="s">
        <v>24</v>
      </c>
      <c r="F601">
        <v>32.54</v>
      </c>
      <c r="G601" s="1">
        <v>45730</v>
      </c>
      <c r="H601" s="1">
        <v>43085</v>
      </c>
      <c r="I601" t="s">
        <v>1825</v>
      </c>
      <c r="J601" t="s">
        <v>75</v>
      </c>
      <c r="K601">
        <v>5</v>
      </c>
      <c r="L601" t="s">
        <v>27</v>
      </c>
      <c r="M601" s="1">
        <f t="shared" ca="1" si="18"/>
        <v>46204</v>
      </c>
      <c r="N601">
        <f t="shared" ca="1" si="19"/>
        <v>1</v>
      </c>
    </row>
    <row r="602" spans="1:14" x14ac:dyDescent="0.3">
      <c r="A602" t="s">
        <v>1826</v>
      </c>
      <c r="B602" t="s">
        <v>1827</v>
      </c>
      <c r="C602" t="s">
        <v>124</v>
      </c>
      <c r="D602" t="s">
        <v>40</v>
      </c>
      <c r="E602" t="s">
        <v>30</v>
      </c>
      <c r="F602">
        <v>23.72</v>
      </c>
      <c r="G602" s="1">
        <v>45758</v>
      </c>
      <c r="H602" s="1">
        <v>44541</v>
      </c>
      <c r="I602" t="s">
        <v>1828</v>
      </c>
      <c r="J602" t="s">
        <v>49</v>
      </c>
      <c r="K602">
        <v>2</v>
      </c>
      <c r="L602" t="s">
        <v>27</v>
      </c>
      <c r="M602" s="1">
        <f t="shared" ca="1" si="18"/>
        <v>46204</v>
      </c>
      <c r="N602">
        <f t="shared" ca="1" si="19"/>
        <v>1</v>
      </c>
    </row>
    <row r="603" spans="1:14" x14ac:dyDescent="0.3">
      <c r="A603" t="s">
        <v>1829</v>
      </c>
      <c r="B603" t="s">
        <v>1830</v>
      </c>
      <c r="C603" t="s">
        <v>23</v>
      </c>
      <c r="D603" t="s">
        <v>73</v>
      </c>
      <c r="E603" t="s">
        <v>24</v>
      </c>
      <c r="F603">
        <v>37.5</v>
      </c>
      <c r="G603" s="1">
        <v>45837</v>
      </c>
      <c r="H603" s="1">
        <v>44172</v>
      </c>
      <c r="I603" t="s">
        <v>1831</v>
      </c>
      <c r="J603" t="s">
        <v>19</v>
      </c>
      <c r="K603">
        <v>2</v>
      </c>
      <c r="L603" t="s">
        <v>27</v>
      </c>
      <c r="M603" s="1">
        <f t="shared" ca="1" si="18"/>
        <v>46204</v>
      </c>
      <c r="N603">
        <f t="shared" ca="1" si="19"/>
        <v>1</v>
      </c>
    </row>
    <row r="604" spans="1:14" x14ac:dyDescent="0.3">
      <c r="A604" t="s">
        <v>1832</v>
      </c>
      <c r="B604" t="s">
        <v>1833</v>
      </c>
      <c r="C604" t="s">
        <v>60</v>
      </c>
      <c r="D604" t="s">
        <v>73</v>
      </c>
      <c r="E604" t="s">
        <v>24</v>
      </c>
      <c r="F604">
        <v>30.54</v>
      </c>
      <c r="G604" s="1">
        <v>45717</v>
      </c>
      <c r="H604" s="1">
        <v>43289</v>
      </c>
      <c r="I604" t="s">
        <v>1834</v>
      </c>
      <c r="J604" t="s">
        <v>37</v>
      </c>
      <c r="K604">
        <v>3</v>
      </c>
      <c r="L604" t="s">
        <v>20</v>
      </c>
      <c r="M604" s="1">
        <f t="shared" ca="1" si="18"/>
        <v>46204</v>
      </c>
      <c r="N604">
        <f t="shared" ca="1" si="19"/>
        <v>1</v>
      </c>
    </row>
    <row r="605" spans="1:14" x14ac:dyDescent="0.3">
      <c r="A605" t="s">
        <v>1835</v>
      </c>
      <c r="B605" t="s">
        <v>1836</v>
      </c>
      <c r="C605" t="s">
        <v>64</v>
      </c>
      <c r="D605" t="s">
        <v>56</v>
      </c>
      <c r="E605" t="s">
        <v>17</v>
      </c>
      <c r="F605">
        <v>14.79</v>
      </c>
      <c r="G605" s="1">
        <v>46063</v>
      </c>
      <c r="H605" s="1">
        <v>44543</v>
      </c>
      <c r="I605" t="s">
        <v>1837</v>
      </c>
      <c r="J605" t="s">
        <v>49</v>
      </c>
      <c r="K605">
        <v>3</v>
      </c>
      <c r="L605" t="s">
        <v>27</v>
      </c>
      <c r="M605" s="1">
        <f t="shared" ca="1" si="18"/>
        <v>46204</v>
      </c>
      <c r="N605">
        <f t="shared" ca="1" si="19"/>
        <v>1</v>
      </c>
    </row>
    <row r="606" spans="1:14" x14ac:dyDescent="0.3">
      <c r="A606" t="s">
        <v>1838</v>
      </c>
      <c r="B606" t="s">
        <v>496</v>
      </c>
      <c r="C606" t="s">
        <v>34</v>
      </c>
      <c r="D606" t="s">
        <v>40</v>
      </c>
      <c r="E606" t="s">
        <v>30</v>
      </c>
      <c r="F606">
        <v>18.25</v>
      </c>
      <c r="G606" s="1">
        <v>45736</v>
      </c>
      <c r="H606" s="1">
        <v>43943</v>
      </c>
      <c r="I606" t="s">
        <v>1839</v>
      </c>
      <c r="J606" t="s">
        <v>66</v>
      </c>
      <c r="K606">
        <v>4</v>
      </c>
      <c r="L606" t="s">
        <v>27</v>
      </c>
      <c r="M606" s="1">
        <f t="shared" ca="1" si="18"/>
        <v>46204</v>
      </c>
      <c r="N606">
        <f t="shared" ca="1" si="19"/>
        <v>1</v>
      </c>
    </row>
    <row r="607" spans="1:14" x14ac:dyDescent="0.3">
      <c r="A607" t="s">
        <v>1840</v>
      </c>
      <c r="B607" t="s">
        <v>1841</v>
      </c>
      <c r="C607" t="s">
        <v>60</v>
      </c>
      <c r="D607" t="s">
        <v>69</v>
      </c>
      <c r="E607" t="s">
        <v>17</v>
      </c>
      <c r="F607">
        <v>8.2100000000000009</v>
      </c>
      <c r="G607" s="1">
        <v>45882</v>
      </c>
      <c r="H607" s="1">
        <v>44782</v>
      </c>
      <c r="I607" t="s">
        <v>1842</v>
      </c>
      <c r="J607" t="s">
        <v>26</v>
      </c>
      <c r="K607">
        <v>5</v>
      </c>
      <c r="L607" t="s">
        <v>27</v>
      </c>
      <c r="M607" s="1">
        <f t="shared" ca="1" si="18"/>
        <v>46204</v>
      </c>
      <c r="N607">
        <f t="shared" ca="1" si="19"/>
        <v>1</v>
      </c>
    </row>
    <row r="608" spans="1:14" x14ac:dyDescent="0.3">
      <c r="A608" t="s">
        <v>1843</v>
      </c>
      <c r="B608" t="s">
        <v>1844</v>
      </c>
      <c r="C608" t="s">
        <v>23</v>
      </c>
      <c r="D608" t="s">
        <v>35</v>
      </c>
      <c r="E608" t="s">
        <v>30</v>
      </c>
      <c r="F608">
        <v>38.11</v>
      </c>
      <c r="G608" s="1">
        <v>46006</v>
      </c>
      <c r="H608" s="1">
        <v>42673</v>
      </c>
      <c r="I608" t="s">
        <v>1845</v>
      </c>
      <c r="J608" t="s">
        <v>37</v>
      </c>
      <c r="K608">
        <v>3</v>
      </c>
      <c r="L608" t="s">
        <v>27</v>
      </c>
      <c r="M608" s="1">
        <f t="shared" ca="1" si="18"/>
        <v>46204</v>
      </c>
      <c r="N608">
        <f t="shared" ca="1" si="19"/>
        <v>1</v>
      </c>
    </row>
    <row r="609" spans="1:14" x14ac:dyDescent="0.3">
      <c r="A609" t="s">
        <v>1846</v>
      </c>
      <c r="B609" t="s">
        <v>1847</v>
      </c>
      <c r="C609" t="s">
        <v>23</v>
      </c>
      <c r="D609" t="s">
        <v>69</v>
      </c>
      <c r="E609" t="s">
        <v>52</v>
      </c>
      <c r="F609">
        <v>39.659999999999997</v>
      </c>
      <c r="G609" s="1">
        <v>45788</v>
      </c>
      <c r="H609" s="1">
        <v>44053</v>
      </c>
      <c r="I609" t="s">
        <v>1848</v>
      </c>
      <c r="J609" t="s">
        <v>26</v>
      </c>
      <c r="K609">
        <v>1</v>
      </c>
      <c r="L609" t="s">
        <v>27</v>
      </c>
      <c r="M609" s="1">
        <f t="shared" ca="1" si="18"/>
        <v>46204</v>
      </c>
      <c r="N609">
        <f t="shared" ca="1" si="19"/>
        <v>1</v>
      </c>
    </row>
    <row r="610" spans="1:14" x14ac:dyDescent="0.3">
      <c r="A610" t="s">
        <v>1849</v>
      </c>
      <c r="B610" t="s">
        <v>1850</v>
      </c>
      <c r="C610" t="s">
        <v>124</v>
      </c>
      <c r="D610" t="s">
        <v>56</v>
      </c>
      <c r="E610" t="s">
        <v>24</v>
      </c>
      <c r="F610">
        <v>8.98</v>
      </c>
      <c r="G610" s="1">
        <v>45904</v>
      </c>
      <c r="H610" s="1">
        <v>42315</v>
      </c>
      <c r="I610" t="s">
        <v>1851</v>
      </c>
      <c r="J610" t="s">
        <v>94</v>
      </c>
      <c r="K610">
        <v>5</v>
      </c>
      <c r="L610" t="s">
        <v>27</v>
      </c>
      <c r="M610" s="1">
        <f t="shared" ca="1" si="18"/>
        <v>46204</v>
      </c>
      <c r="N610">
        <f t="shared" ca="1" si="19"/>
        <v>1</v>
      </c>
    </row>
    <row r="611" spans="1:14" x14ac:dyDescent="0.3">
      <c r="A611" t="s">
        <v>1852</v>
      </c>
      <c r="B611" t="s">
        <v>1853</v>
      </c>
      <c r="C611" t="s">
        <v>34</v>
      </c>
      <c r="D611" t="s">
        <v>16</v>
      </c>
      <c r="E611" t="s">
        <v>30</v>
      </c>
      <c r="F611">
        <v>3.02</v>
      </c>
      <c r="G611" s="1">
        <v>45899</v>
      </c>
      <c r="H611" s="1">
        <v>43054</v>
      </c>
      <c r="I611" t="s">
        <v>1854</v>
      </c>
      <c r="J611" t="s">
        <v>26</v>
      </c>
      <c r="K611">
        <v>1</v>
      </c>
      <c r="L611" t="s">
        <v>27</v>
      </c>
      <c r="M611" s="1">
        <f t="shared" ca="1" si="18"/>
        <v>46204</v>
      </c>
      <c r="N611">
        <f t="shared" ca="1" si="19"/>
        <v>1</v>
      </c>
    </row>
    <row r="612" spans="1:14" x14ac:dyDescent="0.3">
      <c r="A612" t="s">
        <v>1855</v>
      </c>
      <c r="B612" t="s">
        <v>1856</v>
      </c>
      <c r="C612" t="s">
        <v>60</v>
      </c>
      <c r="D612" t="s">
        <v>73</v>
      </c>
      <c r="E612" t="s">
        <v>52</v>
      </c>
      <c r="F612">
        <v>16.57</v>
      </c>
      <c r="G612" s="1">
        <v>45937</v>
      </c>
      <c r="H612" s="1">
        <v>43712</v>
      </c>
      <c r="I612" t="s">
        <v>1857</v>
      </c>
      <c r="J612" t="s">
        <v>19</v>
      </c>
      <c r="K612">
        <v>3</v>
      </c>
      <c r="L612" t="s">
        <v>20</v>
      </c>
      <c r="M612" s="1">
        <f t="shared" ca="1" si="18"/>
        <v>46204</v>
      </c>
      <c r="N612">
        <f t="shared" ca="1" si="19"/>
        <v>1</v>
      </c>
    </row>
    <row r="613" spans="1:14" x14ac:dyDescent="0.3">
      <c r="A613" t="s">
        <v>1858</v>
      </c>
      <c r="B613" t="s">
        <v>1859</v>
      </c>
      <c r="C613" t="s">
        <v>47</v>
      </c>
      <c r="D613" t="s">
        <v>40</v>
      </c>
      <c r="E613" t="s">
        <v>30</v>
      </c>
      <c r="F613">
        <v>39.340000000000003</v>
      </c>
      <c r="G613" s="1">
        <v>45913</v>
      </c>
      <c r="H613" s="1">
        <v>43945</v>
      </c>
      <c r="I613" t="s">
        <v>1860</v>
      </c>
      <c r="J613" t="s">
        <v>75</v>
      </c>
      <c r="K613">
        <v>3</v>
      </c>
      <c r="L613" t="s">
        <v>20</v>
      </c>
      <c r="M613" s="1">
        <f t="shared" ca="1" si="18"/>
        <v>46204</v>
      </c>
      <c r="N613">
        <f t="shared" ca="1" si="19"/>
        <v>1</v>
      </c>
    </row>
    <row r="614" spans="1:14" x14ac:dyDescent="0.3">
      <c r="A614" t="s">
        <v>1861</v>
      </c>
      <c r="B614" t="s">
        <v>1862</v>
      </c>
      <c r="C614" t="s">
        <v>23</v>
      </c>
      <c r="D614" t="s">
        <v>56</v>
      </c>
      <c r="E614" t="s">
        <v>17</v>
      </c>
      <c r="F614">
        <v>29.8</v>
      </c>
      <c r="G614" s="1">
        <v>45926</v>
      </c>
      <c r="H614" s="1">
        <v>45046</v>
      </c>
      <c r="I614" t="s">
        <v>1863</v>
      </c>
      <c r="J614" t="s">
        <v>66</v>
      </c>
      <c r="K614">
        <v>3</v>
      </c>
      <c r="L614" t="s">
        <v>20</v>
      </c>
      <c r="M614" s="1">
        <f t="shared" ca="1" si="18"/>
        <v>46204</v>
      </c>
      <c r="N614">
        <f t="shared" ca="1" si="19"/>
        <v>1</v>
      </c>
    </row>
    <row r="615" spans="1:14" x14ac:dyDescent="0.3">
      <c r="A615" t="s">
        <v>1864</v>
      </c>
      <c r="B615" t="s">
        <v>1865</v>
      </c>
      <c r="C615" t="s">
        <v>34</v>
      </c>
      <c r="D615" t="s">
        <v>35</v>
      </c>
      <c r="E615" t="s">
        <v>24</v>
      </c>
      <c r="F615">
        <v>1.28</v>
      </c>
      <c r="G615" s="1">
        <v>45914</v>
      </c>
      <c r="H615" s="1">
        <v>44310</v>
      </c>
      <c r="I615" t="s">
        <v>1866</v>
      </c>
      <c r="J615" t="s">
        <v>94</v>
      </c>
      <c r="K615">
        <v>1</v>
      </c>
      <c r="L615" t="s">
        <v>20</v>
      </c>
      <c r="M615" s="1">
        <f t="shared" ca="1" si="18"/>
        <v>46204</v>
      </c>
      <c r="N615">
        <f t="shared" ca="1" si="19"/>
        <v>1</v>
      </c>
    </row>
    <row r="616" spans="1:14" x14ac:dyDescent="0.3">
      <c r="A616" t="s">
        <v>1867</v>
      </c>
      <c r="B616" t="s">
        <v>1868</v>
      </c>
      <c r="C616" t="s">
        <v>23</v>
      </c>
      <c r="D616" t="s">
        <v>69</v>
      </c>
      <c r="E616" t="s">
        <v>30</v>
      </c>
      <c r="F616">
        <v>6.54</v>
      </c>
      <c r="G616" s="1">
        <v>45916</v>
      </c>
      <c r="H616" s="1">
        <v>42834</v>
      </c>
      <c r="I616" t="s">
        <v>1869</v>
      </c>
      <c r="J616" t="s">
        <v>75</v>
      </c>
      <c r="K616">
        <v>5</v>
      </c>
      <c r="L616" t="s">
        <v>20</v>
      </c>
      <c r="M616" s="1">
        <f t="shared" ca="1" si="18"/>
        <v>46204</v>
      </c>
      <c r="N616">
        <f t="shared" ca="1" si="19"/>
        <v>1</v>
      </c>
    </row>
    <row r="617" spans="1:14" x14ac:dyDescent="0.3">
      <c r="A617" t="s">
        <v>1870</v>
      </c>
      <c r="B617" t="s">
        <v>1871</v>
      </c>
      <c r="C617" t="s">
        <v>60</v>
      </c>
      <c r="D617" t="s">
        <v>69</v>
      </c>
      <c r="E617" t="s">
        <v>52</v>
      </c>
      <c r="F617">
        <v>25.2</v>
      </c>
      <c r="G617" s="1">
        <v>45799</v>
      </c>
      <c r="H617" s="1">
        <v>42822</v>
      </c>
      <c r="I617" t="s">
        <v>1872</v>
      </c>
      <c r="J617" t="s">
        <v>66</v>
      </c>
      <c r="K617">
        <v>5</v>
      </c>
      <c r="L617" t="s">
        <v>27</v>
      </c>
      <c r="M617" s="1">
        <f t="shared" ca="1" si="18"/>
        <v>46204</v>
      </c>
      <c r="N617">
        <f t="shared" ca="1" si="19"/>
        <v>1</v>
      </c>
    </row>
    <row r="618" spans="1:14" x14ac:dyDescent="0.3">
      <c r="A618" t="s">
        <v>1873</v>
      </c>
      <c r="B618" t="s">
        <v>1874</v>
      </c>
      <c r="C618" t="s">
        <v>64</v>
      </c>
      <c r="D618" t="s">
        <v>35</v>
      </c>
      <c r="E618" t="s">
        <v>24</v>
      </c>
      <c r="F618">
        <v>12.99</v>
      </c>
      <c r="G618" s="1">
        <v>45726</v>
      </c>
      <c r="H618" s="1">
        <v>43871</v>
      </c>
      <c r="I618" t="s">
        <v>1875</v>
      </c>
      <c r="J618" t="s">
        <v>37</v>
      </c>
      <c r="K618">
        <v>2</v>
      </c>
      <c r="L618" t="s">
        <v>27</v>
      </c>
      <c r="M618" s="1">
        <f t="shared" ca="1" si="18"/>
        <v>46204</v>
      </c>
      <c r="N618">
        <f t="shared" ca="1" si="19"/>
        <v>1</v>
      </c>
    </row>
    <row r="619" spans="1:14" x14ac:dyDescent="0.3">
      <c r="A619" t="s">
        <v>1876</v>
      </c>
      <c r="B619" t="s">
        <v>1877</v>
      </c>
      <c r="C619" t="s">
        <v>23</v>
      </c>
      <c r="D619" t="s">
        <v>16</v>
      </c>
      <c r="E619" t="s">
        <v>30</v>
      </c>
      <c r="F619">
        <v>25.17</v>
      </c>
      <c r="G619" s="1">
        <v>45748</v>
      </c>
      <c r="H619" s="1">
        <v>44000</v>
      </c>
      <c r="I619" t="s">
        <v>1878</v>
      </c>
      <c r="J619" t="s">
        <v>49</v>
      </c>
      <c r="K619">
        <v>1</v>
      </c>
      <c r="L619" t="s">
        <v>27</v>
      </c>
      <c r="M619" s="1">
        <f t="shared" ca="1" si="18"/>
        <v>46204</v>
      </c>
      <c r="N619">
        <f t="shared" ca="1" si="19"/>
        <v>1</v>
      </c>
    </row>
    <row r="620" spans="1:14" x14ac:dyDescent="0.3">
      <c r="A620" t="s">
        <v>1879</v>
      </c>
      <c r="B620" t="s">
        <v>1880</v>
      </c>
      <c r="C620" t="s">
        <v>23</v>
      </c>
      <c r="D620" t="s">
        <v>40</v>
      </c>
      <c r="E620" t="s">
        <v>30</v>
      </c>
      <c r="F620">
        <v>36.81</v>
      </c>
      <c r="G620" s="1">
        <v>46063</v>
      </c>
      <c r="H620" s="1">
        <v>43354</v>
      </c>
      <c r="I620" t="s">
        <v>1881</v>
      </c>
      <c r="J620" t="s">
        <v>37</v>
      </c>
      <c r="K620">
        <v>1</v>
      </c>
      <c r="L620" t="s">
        <v>20</v>
      </c>
      <c r="M620" s="1">
        <f t="shared" ca="1" si="18"/>
        <v>46204</v>
      </c>
      <c r="N620">
        <f t="shared" ca="1" si="19"/>
        <v>1</v>
      </c>
    </row>
    <row r="621" spans="1:14" x14ac:dyDescent="0.3">
      <c r="A621" t="s">
        <v>1882</v>
      </c>
      <c r="B621" t="s">
        <v>1883</v>
      </c>
      <c r="C621" t="s">
        <v>60</v>
      </c>
      <c r="D621" t="s">
        <v>56</v>
      </c>
      <c r="E621" t="s">
        <v>52</v>
      </c>
      <c r="F621">
        <v>34.32</v>
      </c>
      <c r="G621" s="1">
        <v>46061</v>
      </c>
      <c r="H621" s="1">
        <v>44025</v>
      </c>
      <c r="I621" t="s">
        <v>1884</v>
      </c>
      <c r="J621" t="s">
        <v>26</v>
      </c>
      <c r="K621">
        <v>1</v>
      </c>
      <c r="L621" t="s">
        <v>20</v>
      </c>
      <c r="M621" s="1">
        <f t="shared" ca="1" si="18"/>
        <v>46204</v>
      </c>
      <c r="N621">
        <f t="shared" ca="1" si="19"/>
        <v>1</v>
      </c>
    </row>
    <row r="622" spans="1:14" x14ac:dyDescent="0.3">
      <c r="A622" t="s">
        <v>1885</v>
      </c>
      <c r="B622" t="s">
        <v>1886</v>
      </c>
      <c r="C622" t="s">
        <v>64</v>
      </c>
      <c r="D622" t="s">
        <v>69</v>
      </c>
      <c r="E622" t="s">
        <v>52</v>
      </c>
      <c r="F622">
        <v>14.38</v>
      </c>
      <c r="G622" s="1">
        <v>45924</v>
      </c>
      <c r="H622" s="1">
        <v>45142</v>
      </c>
      <c r="I622" t="s">
        <v>1887</v>
      </c>
      <c r="J622" t="s">
        <v>66</v>
      </c>
      <c r="K622">
        <v>4</v>
      </c>
      <c r="L622" t="s">
        <v>27</v>
      </c>
      <c r="M622" s="1">
        <f t="shared" ca="1" si="18"/>
        <v>46204</v>
      </c>
      <c r="N622">
        <f t="shared" ca="1" si="19"/>
        <v>1</v>
      </c>
    </row>
    <row r="623" spans="1:14" x14ac:dyDescent="0.3">
      <c r="A623" t="s">
        <v>1888</v>
      </c>
      <c r="B623" t="s">
        <v>1889</v>
      </c>
      <c r="C623" t="s">
        <v>60</v>
      </c>
      <c r="D623" t="s">
        <v>73</v>
      </c>
      <c r="E623" t="s">
        <v>24</v>
      </c>
      <c r="F623">
        <v>1.9</v>
      </c>
      <c r="G623" s="1">
        <v>45849</v>
      </c>
      <c r="H623" s="1">
        <v>45288</v>
      </c>
      <c r="I623" t="s">
        <v>1890</v>
      </c>
      <c r="J623" t="s">
        <v>26</v>
      </c>
      <c r="K623">
        <v>1</v>
      </c>
      <c r="L623" t="s">
        <v>27</v>
      </c>
      <c r="M623" s="1">
        <f t="shared" ca="1" si="18"/>
        <v>46204</v>
      </c>
      <c r="N623">
        <f t="shared" ca="1" si="19"/>
        <v>1</v>
      </c>
    </row>
    <row r="624" spans="1:14" x14ac:dyDescent="0.3">
      <c r="A624" t="s">
        <v>1891</v>
      </c>
      <c r="B624" t="s">
        <v>1892</v>
      </c>
      <c r="C624" t="s">
        <v>124</v>
      </c>
      <c r="D624" t="s">
        <v>56</v>
      </c>
      <c r="E624" t="s">
        <v>30</v>
      </c>
      <c r="F624">
        <v>12.89</v>
      </c>
      <c r="G624" s="1">
        <v>46022</v>
      </c>
      <c r="H624" s="1">
        <v>43269</v>
      </c>
      <c r="I624" t="s">
        <v>1893</v>
      </c>
      <c r="J624" t="s">
        <v>26</v>
      </c>
      <c r="K624">
        <v>5</v>
      </c>
      <c r="L624" t="s">
        <v>27</v>
      </c>
      <c r="M624" s="1">
        <f t="shared" ca="1" si="18"/>
        <v>46204</v>
      </c>
      <c r="N624">
        <f t="shared" ca="1" si="19"/>
        <v>1</v>
      </c>
    </row>
    <row r="625" spans="1:14" x14ac:dyDescent="0.3">
      <c r="A625" t="s">
        <v>1894</v>
      </c>
      <c r="B625" t="s">
        <v>1895</v>
      </c>
      <c r="C625" t="s">
        <v>23</v>
      </c>
      <c r="D625" t="s">
        <v>73</v>
      </c>
      <c r="E625" t="s">
        <v>52</v>
      </c>
      <c r="F625">
        <v>12.95</v>
      </c>
      <c r="G625" s="1">
        <v>45952</v>
      </c>
      <c r="H625" s="1">
        <v>44891</v>
      </c>
      <c r="I625" t="s">
        <v>1896</v>
      </c>
      <c r="J625" t="s">
        <v>75</v>
      </c>
      <c r="K625">
        <v>1</v>
      </c>
      <c r="L625" t="s">
        <v>27</v>
      </c>
      <c r="M625" s="1">
        <f t="shared" ca="1" si="18"/>
        <v>46204</v>
      </c>
      <c r="N625">
        <f t="shared" ca="1" si="19"/>
        <v>1</v>
      </c>
    </row>
    <row r="626" spans="1:14" x14ac:dyDescent="0.3">
      <c r="A626" t="s">
        <v>1897</v>
      </c>
      <c r="B626" t="s">
        <v>1898</v>
      </c>
      <c r="C626" t="s">
        <v>15</v>
      </c>
      <c r="D626" t="s">
        <v>35</v>
      </c>
      <c r="E626" t="s">
        <v>30</v>
      </c>
      <c r="F626">
        <v>16.22</v>
      </c>
      <c r="G626" s="1">
        <v>46001</v>
      </c>
      <c r="H626" s="1">
        <v>42923</v>
      </c>
      <c r="I626" t="s">
        <v>1899</v>
      </c>
      <c r="J626" t="s">
        <v>49</v>
      </c>
      <c r="K626">
        <v>1</v>
      </c>
      <c r="L626" t="s">
        <v>27</v>
      </c>
      <c r="M626" s="1">
        <f t="shared" ca="1" si="18"/>
        <v>46204</v>
      </c>
      <c r="N626">
        <f t="shared" ca="1" si="19"/>
        <v>1</v>
      </c>
    </row>
    <row r="627" spans="1:14" x14ac:dyDescent="0.3">
      <c r="A627" t="s">
        <v>1900</v>
      </c>
      <c r="B627" t="s">
        <v>1901</v>
      </c>
      <c r="C627" t="s">
        <v>15</v>
      </c>
      <c r="D627" t="s">
        <v>40</v>
      </c>
      <c r="E627" t="s">
        <v>30</v>
      </c>
      <c r="F627">
        <v>17.57</v>
      </c>
      <c r="G627" s="1">
        <v>46024</v>
      </c>
      <c r="H627" s="1">
        <v>43064</v>
      </c>
      <c r="I627" t="s">
        <v>1902</v>
      </c>
      <c r="J627" t="s">
        <v>49</v>
      </c>
      <c r="K627">
        <v>3</v>
      </c>
      <c r="L627" t="s">
        <v>27</v>
      </c>
      <c r="M627" s="1">
        <f t="shared" ca="1" si="18"/>
        <v>46204</v>
      </c>
      <c r="N627">
        <f t="shared" ca="1" si="19"/>
        <v>1</v>
      </c>
    </row>
    <row r="628" spans="1:14" x14ac:dyDescent="0.3">
      <c r="A628" t="s">
        <v>1903</v>
      </c>
      <c r="B628" t="s">
        <v>1904</v>
      </c>
      <c r="C628" t="s">
        <v>15</v>
      </c>
      <c r="D628" t="s">
        <v>56</v>
      </c>
      <c r="E628" t="s">
        <v>17</v>
      </c>
      <c r="F628">
        <v>26.49</v>
      </c>
      <c r="G628" s="1">
        <v>45791</v>
      </c>
      <c r="H628" s="1">
        <v>43392</v>
      </c>
      <c r="I628" t="s">
        <v>1905</v>
      </c>
      <c r="J628" t="s">
        <v>75</v>
      </c>
      <c r="K628">
        <v>4</v>
      </c>
      <c r="L628" t="s">
        <v>20</v>
      </c>
      <c r="M628" s="1">
        <f t="shared" ca="1" si="18"/>
        <v>46204</v>
      </c>
      <c r="N628">
        <f t="shared" ca="1" si="19"/>
        <v>1</v>
      </c>
    </row>
    <row r="629" spans="1:14" x14ac:dyDescent="0.3">
      <c r="A629" t="s">
        <v>1906</v>
      </c>
      <c r="B629" t="s">
        <v>1907</v>
      </c>
      <c r="C629" t="s">
        <v>15</v>
      </c>
      <c r="D629" t="s">
        <v>56</v>
      </c>
      <c r="E629" t="s">
        <v>24</v>
      </c>
      <c r="F629">
        <v>33.880000000000003</v>
      </c>
      <c r="G629" s="1">
        <v>45864</v>
      </c>
      <c r="H629" s="1">
        <v>45050</v>
      </c>
      <c r="I629" t="s">
        <v>1908</v>
      </c>
      <c r="J629" t="s">
        <v>37</v>
      </c>
      <c r="K629">
        <v>4</v>
      </c>
      <c r="L629" t="s">
        <v>27</v>
      </c>
      <c r="M629" s="1">
        <f t="shared" ca="1" si="18"/>
        <v>46204</v>
      </c>
      <c r="N629">
        <f t="shared" ca="1" si="19"/>
        <v>1</v>
      </c>
    </row>
    <row r="630" spans="1:14" x14ac:dyDescent="0.3">
      <c r="A630" t="s">
        <v>1909</v>
      </c>
      <c r="B630" t="s">
        <v>1910</v>
      </c>
      <c r="C630" t="s">
        <v>34</v>
      </c>
      <c r="D630" t="s">
        <v>35</v>
      </c>
      <c r="E630" t="s">
        <v>24</v>
      </c>
      <c r="F630">
        <v>34.25</v>
      </c>
      <c r="G630" s="1">
        <v>46002</v>
      </c>
      <c r="H630" s="1">
        <v>44979</v>
      </c>
      <c r="I630" t="s">
        <v>1911</v>
      </c>
      <c r="J630" t="s">
        <v>75</v>
      </c>
      <c r="K630">
        <v>1</v>
      </c>
      <c r="L630" t="s">
        <v>20</v>
      </c>
      <c r="M630" s="1">
        <f t="shared" ca="1" si="18"/>
        <v>46204</v>
      </c>
      <c r="N630">
        <f t="shared" ca="1" si="19"/>
        <v>1</v>
      </c>
    </row>
    <row r="631" spans="1:14" x14ac:dyDescent="0.3">
      <c r="A631" t="s">
        <v>1912</v>
      </c>
      <c r="B631" t="s">
        <v>1913</v>
      </c>
      <c r="C631" t="s">
        <v>34</v>
      </c>
      <c r="D631" t="s">
        <v>69</v>
      </c>
      <c r="E631" t="s">
        <v>17</v>
      </c>
      <c r="F631">
        <v>32.17</v>
      </c>
      <c r="G631" s="1">
        <v>45846</v>
      </c>
      <c r="H631" s="1">
        <v>45376</v>
      </c>
      <c r="I631" t="s">
        <v>1914</v>
      </c>
      <c r="J631" t="s">
        <v>19</v>
      </c>
      <c r="K631">
        <v>4</v>
      </c>
      <c r="L631" t="s">
        <v>27</v>
      </c>
      <c r="M631" s="1">
        <f t="shared" ca="1" si="18"/>
        <v>46204</v>
      </c>
      <c r="N631">
        <f t="shared" ca="1" si="19"/>
        <v>1</v>
      </c>
    </row>
    <row r="632" spans="1:14" x14ac:dyDescent="0.3">
      <c r="A632" t="s">
        <v>1915</v>
      </c>
      <c r="B632" t="s">
        <v>1916</v>
      </c>
      <c r="C632" t="s">
        <v>23</v>
      </c>
      <c r="D632" t="s">
        <v>40</v>
      </c>
      <c r="E632" t="s">
        <v>24</v>
      </c>
      <c r="F632">
        <v>37.729999999999997</v>
      </c>
      <c r="G632" s="1">
        <v>45917</v>
      </c>
      <c r="H632" s="1">
        <v>45487</v>
      </c>
      <c r="I632" t="s">
        <v>1917</v>
      </c>
      <c r="J632" t="s">
        <v>49</v>
      </c>
      <c r="K632">
        <v>5</v>
      </c>
      <c r="L632" t="s">
        <v>20</v>
      </c>
      <c r="M632" s="1">
        <f t="shared" ca="1" si="18"/>
        <v>46204</v>
      </c>
      <c r="N632">
        <f t="shared" ca="1" si="19"/>
        <v>1</v>
      </c>
    </row>
    <row r="633" spans="1:14" x14ac:dyDescent="0.3">
      <c r="A633" t="s">
        <v>1918</v>
      </c>
      <c r="B633" t="s">
        <v>1919</v>
      </c>
      <c r="C633" t="s">
        <v>23</v>
      </c>
      <c r="D633" t="s">
        <v>73</v>
      </c>
      <c r="E633" t="s">
        <v>17</v>
      </c>
      <c r="F633">
        <v>8.15</v>
      </c>
      <c r="G633" s="1">
        <v>45845</v>
      </c>
      <c r="H633" s="1">
        <v>43989</v>
      </c>
      <c r="I633" t="s">
        <v>1920</v>
      </c>
      <c r="J633" t="s">
        <v>19</v>
      </c>
      <c r="K633">
        <v>4</v>
      </c>
      <c r="L633" t="s">
        <v>27</v>
      </c>
      <c r="M633" s="1">
        <f t="shared" ca="1" si="18"/>
        <v>46204</v>
      </c>
      <c r="N633">
        <f t="shared" ca="1" si="19"/>
        <v>1</v>
      </c>
    </row>
    <row r="634" spans="1:14" x14ac:dyDescent="0.3">
      <c r="A634" t="s">
        <v>1921</v>
      </c>
      <c r="B634" t="s">
        <v>1922</v>
      </c>
      <c r="C634" t="s">
        <v>47</v>
      </c>
      <c r="D634" t="s">
        <v>40</v>
      </c>
      <c r="E634" t="s">
        <v>30</v>
      </c>
      <c r="F634">
        <v>15.12</v>
      </c>
      <c r="G634" s="1">
        <v>45830</v>
      </c>
      <c r="H634" s="1">
        <v>43581</v>
      </c>
      <c r="I634" t="s">
        <v>1923</v>
      </c>
      <c r="J634" t="s">
        <v>49</v>
      </c>
      <c r="K634">
        <v>1</v>
      </c>
      <c r="L634" t="s">
        <v>20</v>
      </c>
      <c r="M634" s="1">
        <f t="shared" ca="1" si="18"/>
        <v>46204</v>
      </c>
      <c r="N634">
        <f t="shared" ca="1" si="19"/>
        <v>1</v>
      </c>
    </row>
    <row r="635" spans="1:14" x14ac:dyDescent="0.3">
      <c r="A635" t="s">
        <v>1924</v>
      </c>
      <c r="B635" t="s">
        <v>1925</v>
      </c>
      <c r="C635" t="s">
        <v>64</v>
      </c>
      <c r="D635" t="s">
        <v>40</v>
      </c>
      <c r="E635" t="s">
        <v>24</v>
      </c>
      <c r="F635">
        <v>31.2</v>
      </c>
      <c r="G635" s="1">
        <v>45970</v>
      </c>
      <c r="H635" s="1">
        <v>42696</v>
      </c>
      <c r="I635" t="s">
        <v>1926</v>
      </c>
      <c r="J635" t="s">
        <v>19</v>
      </c>
      <c r="K635">
        <v>5</v>
      </c>
      <c r="L635" t="s">
        <v>20</v>
      </c>
      <c r="M635" s="1">
        <f t="shared" ca="1" si="18"/>
        <v>46204</v>
      </c>
      <c r="N635">
        <f t="shared" ca="1" si="19"/>
        <v>1</v>
      </c>
    </row>
    <row r="636" spans="1:14" x14ac:dyDescent="0.3">
      <c r="A636" t="s">
        <v>1927</v>
      </c>
      <c r="B636" t="s">
        <v>1928</v>
      </c>
      <c r="C636" t="s">
        <v>64</v>
      </c>
      <c r="D636" t="s">
        <v>40</v>
      </c>
      <c r="E636" t="s">
        <v>24</v>
      </c>
      <c r="F636">
        <v>5.03</v>
      </c>
      <c r="G636" s="1">
        <v>45794</v>
      </c>
      <c r="H636" s="1">
        <v>43330</v>
      </c>
      <c r="I636" t="s">
        <v>1929</v>
      </c>
      <c r="J636" t="s">
        <v>49</v>
      </c>
      <c r="K636">
        <v>1</v>
      </c>
      <c r="L636" t="s">
        <v>27</v>
      </c>
      <c r="M636" s="1">
        <f t="shared" ca="1" si="18"/>
        <v>46204</v>
      </c>
      <c r="N636">
        <f t="shared" ca="1" si="19"/>
        <v>1</v>
      </c>
    </row>
    <row r="637" spans="1:14" x14ac:dyDescent="0.3">
      <c r="A637" t="s">
        <v>1930</v>
      </c>
      <c r="B637" t="s">
        <v>1931</v>
      </c>
      <c r="C637" t="s">
        <v>60</v>
      </c>
      <c r="D637" t="s">
        <v>69</v>
      </c>
      <c r="E637" t="s">
        <v>52</v>
      </c>
      <c r="F637">
        <v>9.8699999999999992</v>
      </c>
      <c r="G637" s="1">
        <v>45744</v>
      </c>
      <c r="H637" s="1">
        <v>43542</v>
      </c>
      <c r="I637" t="s">
        <v>1932</v>
      </c>
      <c r="J637" t="s">
        <v>37</v>
      </c>
      <c r="K637">
        <v>4</v>
      </c>
      <c r="L637" t="s">
        <v>20</v>
      </c>
      <c r="M637" s="1">
        <f t="shared" ca="1" si="18"/>
        <v>46204</v>
      </c>
      <c r="N637">
        <f t="shared" ca="1" si="19"/>
        <v>1</v>
      </c>
    </row>
    <row r="638" spans="1:14" x14ac:dyDescent="0.3">
      <c r="A638" t="s">
        <v>1933</v>
      </c>
      <c r="B638" t="s">
        <v>1934</v>
      </c>
      <c r="C638" t="s">
        <v>47</v>
      </c>
      <c r="D638" t="s">
        <v>16</v>
      </c>
      <c r="E638" t="s">
        <v>17</v>
      </c>
      <c r="F638">
        <v>2.25</v>
      </c>
      <c r="G638" s="1">
        <v>45871</v>
      </c>
      <c r="H638" s="1">
        <v>42478</v>
      </c>
      <c r="I638" t="s">
        <v>1935</v>
      </c>
      <c r="J638" t="s">
        <v>19</v>
      </c>
      <c r="K638">
        <v>3</v>
      </c>
      <c r="L638" t="s">
        <v>20</v>
      </c>
      <c r="M638" s="1">
        <f t="shared" ca="1" si="18"/>
        <v>46204</v>
      </c>
      <c r="N638">
        <f t="shared" ca="1" si="19"/>
        <v>1</v>
      </c>
    </row>
    <row r="639" spans="1:14" x14ac:dyDescent="0.3">
      <c r="A639" t="s">
        <v>1936</v>
      </c>
      <c r="B639" t="s">
        <v>1937</v>
      </c>
      <c r="C639" t="s">
        <v>34</v>
      </c>
      <c r="D639" t="s">
        <v>56</v>
      </c>
      <c r="E639" t="s">
        <v>30</v>
      </c>
      <c r="F639">
        <v>38.51</v>
      </c>
      <c r="G639" s="1">
        <v>45728</v>
      </c>
      <c r="H639" s="1">
        <v>45017</v>
      </c>
      <c r="I639" t="s">
        <v>1938</v>
      </c>
      <c r="J639" t="s">
        <v>75</v>
      </c>
      <c r="K639">
        <v>2</v>
      </c>
      <c r="L639" t="s">
        <v>20</v>
      </c>
      <c r="M639" s="1">
        <f t="shared" ca="1" si="18"/>
        <v>46204</v>
      </c>
      <c r="N639">
        <f t="shared" ca="1" si="19"/>
        <v>1</v>
      </c>
    </row>
    <row r="640" spans="1:14" x14ac:dyDescent="0.3">
      <c r="A640" t="s">
        <v>1939</v>
      </c>
      <c r="B640" t="s">
        <v>1940</v>
      </c>
      <c r="C640" t="s">
        <v>124</v>
      </c>
      <c r="D640" t="s">
        <v>56</v>
      </c>
      <c r="E640" t="s">
        <v>24</v>
      </c>
      <c r="F640">
        <v>37.159999999999997</v>
      </c>
      <c r="G640" s="1">
        <v>45955</v>
      </c>
      <c r="H640" s="1">
        <v>45303</v>
      </c>
      <c r="I640" t="s">
        <v>1941</v>
      </c>
      <c r="J640" t="s">
        <v>19</v>
      </c>
      <c r="K640">
        <v>3</v>
      </c>
      <c r="L640" t="s">
        <v>27</v>
      </c>
      <c r="M640" s="1">
        <f t="shared" ca="1" si="18"/>
        <v>46204</v>
      </c>
      <c r="N640">
        <f t="shared" ca="1" si="19"/>
        <v>1</v>
      </c>
    </row>
    <row r="641" spans="1:14" x14ac:dyDescent="0.3">
      <c r="A641" t="s">
        <v>1942</v>
      </c>
      <c r="B641" t="s">
        <v>1943</v>
      </c>
      <c r="C641" t="s">
        <v>64</v>
      </c>
      <c r="D641" t="s">
        <v>16</v>
      </c>
      <c r="E641" t="s">
        <v>24</v>
      </c>
      <c r="F641">
        <v>32.79</v>
      </c>
      <c r="G641" s="1">
        <v>45969</v>
      </c>
      <c r="H641" s="1">
        <v>42366</v>
      </c>
      <c r="I641" t="s">
        <v>1944</v>
      </c>
      <c r="J641" t="s">
        <v>94</v>
      </c>
      <c r="K641">
        <v>2</v>
      </c>
      <c r="L641" t="s">
        <v>27</v>
      </c>
      <c r="M641" s="1">
        <f t="shared" ca="1" si="18"/>
        <v>46204</v>
      </c>
      <c r="N641">
        <f t="shared" ca="1" si="19"/>
        <v>1</v>
      </c>
    </row>
    <row r="642" spans="1:14" x14ac:dyDescent="0.3">
      <c r="A642" t="s">
        <v>1945</v>
      </c>
      <c r="B642" t="s">
        <v>1946</v>
      </c>
      <c r="C642" t="s">
        <v>64</v>
      </c>
      <c r="D642" t="s">
        <v>69</v>
      </c>
      <c r="E642" t="s">
        <v>17</v>
      </c>
      <c r="F642">
        <v>15.14</v>
      </c>
      <c r="G642" s="1">
        <v>45933</v>
      </c>
      <c r="H642" s="1">
        <v>42365</v>
      </c>
      <c r="I642" t="s">
        <v>1947</v>
      </c>
      <c r="J642" t="s">
        <v>94</v>
      </c>
      <c r="K642">
        <v>3</v>
      </c>
      <c r="L642" t="s">
        <v>27</v>
      </c>
      <c r="M642" s="1">
        <f t="shared" ca="1" si="18"/>
        <v>46204</v>
      </c>
      <c r="N642">
        <f t="shared" ca="1" si="19"/>
        <v>1</v>
      </c>
    </row>
    <row r="643" spans="1:14" x14ac:dyDescent="0.3">
      <c r="A643" t="s">
        <v>1948</v>
      </c>
      <c r="B643" t="s">
        <v>1949</v>
      </c>
      <c r="C643" t="s">
        <v>60</v>
      </c>
      <c r="D643" t="s">
        <v>73</v>
      </c>
      <c r="E643" t="s">
        <v>30</v>
      </c>
      <c r="F643">
        <v>12.23</v>
      </c>
      <c r="G643" s="1">
        <v>45991</v>
      </c>
      <c r="H643" s="1">
        <v>43509</v>
      </c>
      <c r="I643" t="s">
        <v>1950</v>
      </c>
      <c r="J643" t="s">
        <v>26</v>
      </c>
      <c r="K643">
        <v>4</v>
      </c>
      <c r="L643" t="s">
        <v>20</v>
      </c>
      <c r="M643" s="1">
        <f t="shared" ref="M643:M706" ca="1" si="20">TODAY()</f>
        <v>46204</v>
      </c>
      <c r="N643">
        <f t="shared" ref="N643:N706" ca="1" si="21">IF(G643&lt;M643,1,0)</f>
        <v>1</v>
      </c>
    </row>
    <row r="644" spans="1:14" x14ac:dyDescent="0.3">
      <c r="A644" t="s">
        <v>1951</v>
      </c>
      <c r="B644" t="s">
        <v>1952</v>
      </c>
      <c r="C644" t="s">
        <v>34</v>
      </c>
      <c r="D644" t="s">
        <v>73</v>
      </c>
      <c r="E644" t="s">
        <v>52</v>
      </c>
      <c r="F644">
        <v>37.869999999999997</v>
      </c>
      <c r="G644" s="1">
        <v>45923</v>
      </c>
      <c r="H644" s="1">
        <v>43578</v>
      </c>
      <c r="I644" t="s">
        <v>1953</v>
      </c>
      <c r="J644" t="s">
        <v>49</v>
      </c>
      <c r="K644">
        <v>3</v>
      </c>
      <c r="L644" t="s">
        <v>20</v>
      </c>
      <c r="M644" s="1">
        <f t="shared" ca="1" si="20"/>
        <v>46204</v>
      </c>
      <c r="N644">
        <f t="shared" ca="1" si="21"/>
        <v>1</v>
      </c>
    </row>
    <row r="645" spans="1:14" x14ac:dyDescent="0.3">
      <c r="A645" t="s">
        <v>1954</v>
      </c>
      <c r="B645" t="s">
        <v>1955</v>
      </c>
      <c r="C645" t="s">
        <v>124</v>
      </c>
      <c r="D645" t="s">
        <v>73</v>
      </c>
      <c r="E645" t="s">
        <v>52</v>
      </c>
      <c r="F645">
        <v>7.7</v>
      </c>
      <c r="G645" s="1">
        <v>45855</v>
      </c>
      <c r="H645" s="1">
        <v>43711</v>
      </c>
      <c r="I645" t="s">
        <v>1956</v>
      </c>
      <c r="J645" t="s">
        <v>66</v>
      </c>
      <c r="K645">
        <v>1</v>
      </c>
      <c r="L645" t="s">
        <v>20</v>
      </c>
      <c r="M645" s="1">
        <f t="shared" ca="1" si="20"/>
        <v>46204</v>
      </c>
      <c r="N645">
        <f t="shared" ca="1" si="21"/>
        <v>1</v>
      </c>
    </row>
    <row r="646" spans="1:14" x14ac:dyDescent="0.3">
      <c r="A646" t="s">
        <v>1957</v>
      </c>
      <c r="B646" t="s">
        <v>1958</v>
      </c>
      <c r="C646" t="s">
        <v>34</v>
      </c>
      <c r="D646" t="s">
        <v>40</v>
      </c>
      <c r="E646" t="s">
        <v>52</v>
      </c>
      <c r="F646">
        <v>1.58</v>
      </c>
      <c r="G646" s="1">
        <v>45821</v>
      </c>
      <c r="H646" s="1">
        <v>44116</v>
      </c>
      <c r="I646" t="s">
        <v>1959</v>
      </c>
      <c r="J646" t="s">
        <v>26</v>
      </c>
      <c r="K646">
        <v>3</v>
      </c>
      <c r="L646" t="s">
        <v>20</v>
      </c>
      <c r="M646" s="1">
        <f t="shared" ca="1" si="20"/>
        <v>46204</v>
      </c>
      <c r="N646">
        <f t="shared" ca="1" si="21"/>
        <v>1</v>
      </c>
    </row>
    <row r="647" spans="1:14" x14ac:dyDescent="0.3">
      <c r="A647" t="s">
        <v>1960</v>
      </c>
      <c r="B647" t="s">
        <v>1961</v>
      </c>
      <c r="C647" t="s">
        <v>47</v>
      </c>
      <c r="D647" t="s">
        <v>69</v>
      </c>
      <c r="E647" t="s">
        <v>30</v>
      </c>
      <c r="F647">
        <v>14.82</v>
      </c>
      <c r="G647" s="1">
        <v>45723</v>
      </c>
      <c r="H647" s="1">
        <v>43140</v>
      </c>
      <c r="I647" t="s">
        <v>1962</v>
      </c>
      <c r="J647" t="s">
        <v>94</v>
      </c>
      <c r="K647">
        <v>3</v>
      </c>
      <c r="L647" t="s">
        <v>27</v>
      </c>
      <c r="M647" s="1">
        <f t="shared" ca="1" si="20"/>
        <v>46204</v>
      </c>
      <c r="N647">
        <f t="shared" ca="1" si="21"/>
        <v>1</v>
      </c>
    </row>
    <row r="648" spans="1:14" x14ac:dyDescent="0.3">
      <c r="A648" t="s">
        <v>1963</v>
      </c>
      <c r="B648" t="s">
        <v>1964</v>
      </c>
      <c r="C648" t="s">
        <v>64</v>
      </c>
      <c r="D648" t="s">
        <v>40</v>
      </c>
      <c r="E648" t="s">
        <v>17</v>
      </c>
      <c r="F648">
        <v>35.39</v>
      </c>
      <c r="G648" s="1">
        <v>45832</v>
      </c>
      <c r="H648" s="1">
        <v>43895</v>
      </c>
      <c r="I648" t="s">
        <v>1965</v>
      </c>
      <c r="J648" t="s">
        <v>94</v>
      </c>
      <c r="K648">
        <v>5</v>
      </c>
      <c r="L648" t="s">
        <v>20</v>
      </c>
      <c r="M648" s="1">
        <f t="shared" ca="1" si="20"/>
        <v>46204</v>
      </c>
      <c r="N648">
        <f t="shared" ca="1" si="21"/>
        <v>1</v>
      </c>
    </row>
    <row r="649" spans="1:14" x14ac:dyDescent="0.3">
      <c r="A649" t="s">
        <v>1966</v>
      </c>
      <c r="B649" t="s">
        <v>1967</v>
      </c>
      <c r="C649" t="s">
        <v>23</v>
      </c>
      <c r="D649" t="s">
        <v>69</v>
      </c>
      <c r="E649" t="s">
        <v>17</v>
      </c>
      <c r="F649">
        <v>11.36</v>
      </c>
      <c r="G649" s="1">
        <v>45830</v>
      </c>
      <c r="H649" s="1">
        <v>42809</v>
      </c>
      <c r="I649" t="s">
        <v>1968</v>
      </c>
      <c r="J649" t="s">
        <v>94</v>
      </c>
      <c r="K649">
        <v>1</v>
      </c>
      <c r="L649" t="s">
        <v>27</v>
      </c>
      <c r="M649" s="1">
        <f t="shared" ca="1" si="20"/>
        <v>46204</v>
      </c>
      <c r="N649">
        <f t="shared" ca="1" si="21"/>
        <v>1</v>
      </c>
    </row>
    <row r="650" spans="1:14" x14ac:dyDescent="0.3">
      <c r="A650" t="s">
        <v>1969</v>
      </c>
      <c r="B650" t="s">
        <v>1970</v>
      </c>
      <c r="C650" t="s">
        <v>47</v>
      </c>
      <c r="D650" t="s">
        <v>40</v>
      </c>
      <c r="E650" t="s">
        <v>17</v>
      </c>
      <c r="F650">
        <v>28.78</v>
      </c>
      <c r="G650" s="1">
        <v>45952</v>
      </c>
      <c r="H650" s="1">
        <v>45459</v>
      </c>
      <c r="I650" t="s">
        <v>1971</v>
      </c>
      <c r="J650" t="s">
        <v>94</v>
      </c>
      <c r="K650">
        <v>2</v>
      </c>
      <c r="L650" t="s">
        <v>20</v>
      </c>
      <c r="M650" s="1">
        <f t="shared" ca="1" si="20"/>
        <v>46204</v>
      </c>
      <c r="N650">
        <f t="shared" ca="1" si="21"/>
        <v>1</v>
      </c>
    </row>
    <row r="651" spans="1:14" x14ac:dyDescent="0.3">
      <c r="A651" t="s">
        <v>1972</v>
      </c>
      <c r="B651" t="s">
        <v>1973</v>
      </c>
      <c r="C651" t="s">
        <v>34</v>
      </c>
      <c r="D651" t="s">
        <v>40</v>
      </c>
      <c r="E651" t="s">
        <v>17</v>
      </c>
      <c r="F651">
        <v>33.17</v>
      </c>
      <c r="G651" s="1">
        <v>45778</v>
      </c>
      <c r="H651" s="1">
        <v>45083</v>
      </c>
      <c r="I651" t="s">
        <v>1974</v>
      </c>
      <c r="J651" t="s">
        <v>26</v>
      </c>
      <c r="K651">
        <v>4</v>
      </c>
      <c r="L651" t="s">
        <v>27</v>
      </c>
      <c r="M651" s="1">
        <f t="shared" ca="1" si="20"/>
        <v>46204</v>
      </c>
      <c r="N651">
        <f t="shared" ca="1" si="21"/>
        <v>1</v>
      </c>
    </row>
    <row r="652" spans="1:14" x14ac:dyDescent="0.3">
      <c r="A652" t="s">
        <v>1975</v>
      </c>
      <c r="B652" t="s">
        <v>1976</v>
      </c>
      <c r="C652" t="s">
        <v>23</v>
      </c>
      <c r="D652" t="s">
        <v>69</v>
      </c>
      <c r="E652" t="s">
        <v>24</v>
      </c>
      <c r="F652">
        <v>22.32</v>
      </c>
      <c r="G652" s="1">
        <v>45981</v>
      </c>
      <c r="H652" s="1">
        <v>44993</v>
      </c>
      <c r="I652" t="s">
        <v>1977</v>
      </c>
      <c r="J652" t="s">
        <v>66</v>
      </c>
      <c r="K652">
        <v>5</v>
      </c>
      <c r="L652" t="s">
        <v>20</v>
      </c>
      <c r="M652" s="1">
        <f t="shared" ca="1" si="20"/>
        <v>46204</v>
      </c>
      <c r="N652">
        <f t="shared" ca="1" si="21"/>
        <v>1</v>
      </c>
    </row>
    <row r="653" spans="1:14" x14ac:dyDescent="0.3">
      <c r="A653" t="s">
        <v>1978</v>
      </c>
      <c r="B653" t="s">
        <v>1979</v>
      </c>
      <c r="C653" t="s">
        <v>34</v>
      </c>
      <c r="D653" t="s">
        <v>40</v>
      </c>
      <c r="E653" t="s">
        <v>52</v>
      </c>
      <c r="F653">
        <v>32.6</v>
      </c>
      <c r="G653" s="1">
        <v>45848</v>
      </c>
      <c r="H653" s="1">
        <v>45419</v>
      </c>
      <c r="I653" t="s">
        <v>1980</v>
      </c>
      <c r="J653" t="s">
        <v>94</v>
      </c>
      <c r="K653">
        <v>4</v>
      </c>
      <c r="L653" t="s">
        <v>27</v>
      </c>
      <c r="M653" s="1">
        <f t="shared" ca="1" si="20"/>
        <v>46204</v>
      </c>
      <c r="N653">
        <f t="shared" ca="1" si="21"/>
        <v>1</v>
      </c>
    </row>
    <row r="654" spans="1:14" x14ac:dyDescent="0.3">
      <c r="A654" t="s">
        <v>1981</v>
      </c>
      <c r="B654" t="s">
        <v>1982</v>
      </c>
      <c r="C654" t="s">
        <v>34</v>
      </c>
      <c r="D654" t="s">
        <v>73</v>
      </c>
      <c r="E654" t="s">
        <v>24</v>
      </c>
      <c r="F654">
        <v>24.95</v>
      </c>
      <c r="G654" s="1">
        <v>45710</v>
      </c>
      <c r="H654" s="1">
        <v>43408</v>
      </c>
      <c r="I654" t="s">
        <v>1983</v>
      </c>
      <c r="J654" t="s">
        <v>37</v>
      </c>
      <c r="K654">
        <v>5</v>
      </c>
      <c r="L654" t="s">
        <v>27</v>
      </c>
      <c r="M654" s="1">
        <f t="shared" ca="1" si="20"/>
        <v>46204</v>
      </c>
      <c r="N654">
        <f t="shared" ca="1" si="21"/>
        <v>1</v>
      </c>
    </row>
    <row r="655" spans="1:14" x14ac:dyDescent="0.3">
      <c r="A655" t="s">
        <v>1984</v>
      </c>
      <c r="B655" t="s">
        <v>44</v>
      </c>
      <c r="C655" t="s">
        <v>47</v>
      </c>
      <c r="D655" t="s">
        <v>35</v>
      </c>
      <c r="E655" t="s">
        <v>30</v>
      </c>
      <c r="F655">
        <v>15.79</v>
      </c>
      <c r="G655" s="1">
        <v>45935</v>
      </c>
      <c r="H655" s="1">
        <v>43382</v>
      </c>
      <c r="I655" t="s">
        <v>1985</v>
      </c>
      <c r="J655" t="s">
        <v>26</v>
      </c>
      <c r="K655">
        <v>2</v>
      </c>
      <c r="L655" t="s">
        <v>27</v>
      </c>
      <c r="M655" s="1">
        <f t="shared" ca="1" si="20"/>
        <v>46204</v>
      </c>
      <c r="N655">
        <f t="shared" ca="1" si="21"/>
        <v>1</v>
      </c>
    </row>
    <row r="656" spans="1:14" x14ac:dyDescent="0.3">
      <c r="A656" t="s">
        <v>1986</v>
      </c>
      <c r="B656" t="s">
        <v>1987</v>
      </c>
      <c r="C656" t="s">
        <v>60</v>
      </c>
      <c r="D656" t="s">
        <v>40</v>
      </c>
      <c r="E656" t="s">
        <v>24</v>
      </c>
      <c r="F656">
        <v>21.56</v>
      </c>
      <c r="G656" s="1">
        <v>45785</v>
      </c>
      <c r="H656" s="1">
        <v>42401</v>
      </c>
      <c r="I656" t="s">
        <v>1988</v>
      </c>
      <c r="J656" t="s">
        <v>49</v>
      </c>
      <c r="K656">
        <v>4</v>
      </c>
      <c r="L656" t="s">
        <v>27</v>
      </c>
      <c r="M656" s="1">
        <f t="shared" ca="1" si="20"/>
        <v>46204</v>
      </c>
      <c r="N656">
        <f t="shared" ca="1" si="21"/>
        <v>1</v>
      </c>
    </row>
    <row r="657" spans="1:14" x14ac:dyDescent="0.3">
      <c r="A657" t="s">
        <v>1989</v>
      </c>
      <c r="B657" t="s">
        <v>1990</v>
      </c>
      <c r="C657" t="s">
        <v>15</v>
      </c>
      <c r="D657" t="s">
        <v>16</v>
      </c>
      <c r="E657" t="s">
        <v>24</v>
      </c>
      <c r="F657">
        <v>28.05</v>
      </c>
      <c r="G657" s="1">
        <v>46035</v>
      </c>
      <c r="H657" s="1">
        <v>45420</v>
      </c>
      <c r="I657" t="s">
        <v>1991</v>
      </c>
      <c r="J657" t="s">
        <v>66</v>
      </c>
      <c r="K657">
        <v>1</v>
      </c>
      <c r="L657" t="s">
        <v>20</v>
      </c>
      <c r="M657" s="1">
        <f t="shared" ca="1" si="20"/>
        <v>46204</v>
      </c>
      <c r="N657">
        <f t="shared" ca="1" si="21"/>
        <v>1</v>
      </c>
    </row>
    <row r="658" spans="1:14" x14ac:dyDescent="0.3">
      <c r="A658" t="s">
        <v>1992</v>
      </c>
      <c r="B658" t="s">
        <v>1993</v>
      </c>
      <c r="C658" t="s">
        <v>64</v>
      </c>
      <c r="D658" t="s">
        <v>16</v>
      </c>
      <c r="E658" t="s">
        <v>17</v>
      </c>
      <c r="F658">
        <v>17.43</v>
      </c>
      <c r="G658" s="1">
        <v>46014</v>
      </c>
      <c r="H658" s="1">
        <v>44041</v>
      </c>
      <c r="I658" t="s">
        <v>1994</v>
      </c>
      <c r="J658" t="s">
        <v>75</v>
      </c>
      <c r="K658">
        <v>5</v>
      </c>
      <c r="L658" t="s">
        <v>20</v>
      </c>
      <c r="M658" s="1">
        <f t="shared" ca="1" si="20"/>
        <v>46204</v>
      </c>
      <c r="N658">
        <f t="shared" ca="1" si="21"/>
        <v>1</v>
      </c>
    </row>
    <row r="659" spans="1:14" x14ac:dyDescent="0.3">
      <c r="A659" t="s">
        <v>1995</v>
      </c>
      <c r="B659" t="s">
        <v>1996</v>
      </c>
      <c r="C659" t="s">
        <v>34</v>
      </c>
      <c r="D659" t="s">
        <v>73</v>
      </c>
      <c r="E659" t="s">
        <v>52</v>
      </c>
      <c r="F659">
        <v>28.79</v>
      </c>
      <c r="G659" s="1">
        <v>45960</v>
      </c>
      <c r="H659" s="1">
        <v>44790</v>
      </c>
      <c r="I659" t="s">
        <v>1997</v>
      </c>
      <c r="J659" t="s">
        <v>19</v>
      </c>
      <c r="K659">
        <v>4</v>
      </c>
      <c r="L659" t="s">
        <v>27</v>
      </c>
      <c r="M659" s="1">
        <f t="shared" ca="1" si="20"/>
        <v>46204</v>
      </c>
      <c r="N659">
        <f t="shared" ca="1" si="21"/>
        <v>1</v>
      </c>
    </row>
    <row r="660" spans="1:14" x14ac:dyDescent="0.3">
      <c r="A660" t="s">
        <v>1998</v>
      </c>
      <c r="B660" t="s">
        <v>1999</v>
      </c>
      <c r="C660" t="s">
        <v>124</v>
      </c>
      <c r="D660" t="s">
        <v>69</v>
      </c>
      <c r="E660" t="s">
        <v>30</v>
      </c>
      <c r="F660">
        <v>3.76</v>
      </c>
      <c r="G660" s="1">
        <v>45797</v>
      </c>
      <c r="H660" s="1">
        <v>45152</v>
      </c>
      <c r="I660" t="s">
        <v>2000</v>
      </c>
      <c r="J660" t="s">
        <v>75</v>
      </c>
      <c r="K660">
        <v>4</v>
      </c>
      <c r="L660" t="s">
        <v>27</v>
      </c>
      <c r="M660" s="1">
        <f t="shared" ca="1" si="20"/>
        <v>46204</v>
      </c>
      <c r="N660">
        <f t="shared" ca="1" si="21"/>
        <v>1</v>
      </c>
    </row>
    <row r="661" spans="1:14" x14ac:dyDescent="0.3">
      <c r="A661" t="s">
        <v>2001</v>
      </c>
      <c r="B661" t="s">
        <v>2002</v>
      </c>
      <c r="C661" t="s">
        <v>15</v>
      </c>
      <c r="D661" t="s">
        <v>40</v>
      </c>
      <c r="E661" t="s">
        <v>17</v>
      </c>
      <c r="F661">
        <v>27.4</v>
      </c>
      <c r="G661" s="1">
        <v>45886</v>
      </c>
      <c r="H661" s="1">
        <v>44116</v>
      </c>
      <c r="I661" t="s">
        <v>2003</v>
      </c>
      <c r="J661" t="s">
        <v>66</v>
      </c>
      <c r="K661">
        <v>5</v>
      </c>
      <c r="L661" t="s">
        <v>20</v>
      </c>
      <c r="M661" s="1">
        <f t="shared" ca="1" si="20"/>
        <v>46204</v>
      </c>
      <c r="N661">
        <f t="shared" ca="1" si="21"/>
        <v>1</v>
      </c>
    </row>
    <row r="662" spans="1:14" x14ac:dyDescent="0.3">
      <c r="A662" t="s">
        <v>2004</v>
      </c>
      <c r="B662" t="s">
        <v>2005</v>
      </c>
      <c r="C662" t="s">
        <v>64</v>
      </c>
      <c r="D662" t="s">
        <v>73</v>
      </c>
      <c r="E662" t="s">
        <v>52</v>
      </c>
      <c r="F662">
        <v>23.5</v>
      </c>
      <c r="G662" s="1">
        <v>45905</v>
      </c>
      <c r="H662" s="1">
        <v>44057</v>
      </c>
      <c r="I662" t="s">
        <v>2006</v>
      </c>
      <c r="J662" t="s">
        <v>75</v>
      </c>
      <c r="K662">
        <v>3</v>
      </c>
      <c r="L662" t="s">
        <v>27</v>
      </c>
      <c r="M662" s="1">
        <f t="shared" ca="1" si="20"/>
        <v>46204</v>
      </c>
      <c r="N662">
        <f t="shared" ca="1" si="21"/>
        <v>1</v>
      </c>
    </row>
    <row r="663" spans="1:14" x14ac:dyDescent="0.3">
      <c r="A663" t="s">
        <v>2007</v>
      </c>
      <c r="B663" t="s">
        <v>2008</v>
      </c>
      <c r="C663" t="s">
        <v>15</v>
      </c>
      <c r="D663" t="s">
        <v>35</v>
      </c>
      <c r="E663" t="s">
        <v>30</v>
      </c>
      <c r="F663">
        <v>10.54</v>
      </c>
      <c r="G663" s="1">
        <v>45795</v>
      </c>
      <c r="H663" s="1">
        <v>45478</v>
      </c>
      <c r="I663" t="s">
        <v>2009</v>
      </c>
      <c r="J663" t="s">
        <v>94</v>
      </c>
      <c r="K663">
        <v>1</v>
      </c>
      <c r="L663" t="s">
        <v>27</v>
      </c>
      <c r="M663" s="1">
        <f t="shared" ca="1" si="20"/>
        <v>46204</v>
      </c>
      <c r="N663">
        <f t="shared" ca="1" si="21"/>
        <v>1</v>
      </c>
    </row>
    <row r="664" spans="1:14" x14ac:dyDescent="0.3">
      <c r="A664" t="s">
        <v>2010</v>
      </c>
      <c r="B664" t="s">
        <v>2011</v>
      </c>
      <c r="C664" t="s">
        <v>34</v>
      </c>
      <c r="D664" t="s">
        <v>16</v>
      </c>
      <c r="E664" t="s">
        <v>24</v>
      </c>
      <c r="F664">
        <v>5.21</v>
      </c>
      <c r="G664" s="1">
        <v>45819</v>
      </c>
      <c r="H664" s="1">
        <v>45006</v>
      </c>
      <c r="I664" t="s">
        <v>2012</v>
      </c>
      <c r="J664" t="s">
        <v>75</v>
      </c>
      <c r="K664">
        <v>5</v>
      </c>
      <c r="L664" t="s">
        <v>20</v>
      </c>
      <c r="M664" s="1">
        <f t="shared" ca="1" si="20"/>
        <v>46204</v>
      </c>
      <c r="N664">
        <f t="shared" ca="1" si="21"/>
        <v>1</v>
      </c>
    </row>
    <row r="665" spans="1:14" x14ac:dyDescent="0.3">
      <c r="A665" t="s">
        <v>2013</v>
      </c>
      <c r="B665" t="s">
        <v>2014</v>
      </c>
      <c r="C665" t="s">
        <v>23</v>
      </c>
      <c r="D665" t="s">
        <v>40</v>
      </c>
      <c r="E665" t="s">
        <v>30</v>
      </c>
      <c r="F665">
        <v>16.61</v>
      </c>
      <c r="G665" s="1">
        <v>45836</v>
      </c>
      <c r="H665" s="1">
        <v>42627</v>
      </c>
      <c r="I665" t="s">
        <v>2015</v>
      </c>
      <c r="J665" t="s">
        <v>26</v>
      </c>
      <c r="K665">
        <v>2</v>
      </c>
      <c r="L665" t="s">
        <v>27</v>
      </c>
      <c r="M665" s="1">
        <f t="shared" ca="1" si="20"/>
        <v>46204</v>
      </c>
      <c r="N665">
        <f t="shared" ca="1" si="21"/>
        <v>1</v>
      </c>
    </row>
    <row r="666" spans="1:14" x14ac:dyDescent="0.3">
      <c r="A666" t="s">
        <v>2016</v>
      </c>
      <c r="B666" t="s">
        <v>2017</v>
      </c>
      <c r="C666" t="s">
        <v>23</v>
      </c>
      <c r="D666" t="s">
        <v>40</v>
      </c>
      <c r="E666" t="s">
        <v>17</v>
      </c>
      <c r="F666">
        <v>26.14</v>
      </c>
      <c r="G666" s="1">
        <v>46002</v>
      </c>
      <c r="H666" s="1">
        <v>43265</v>
      </c>
      <c r="I666" t="s">
        <v>2018</v>
      </c>
      <c r="J666" t="s">
        <v>37</v>
      </c>
      <c r="K666">
        <v>2</v>
      </c>
      <c r="L666" t="s">
        <v>20</v>
      </c>
      <c r="M666" s="1">
        <f t="shared" ca="1" si="20"/>
        <v>46204</v>
      </c>
      <c r="N666">
        <f t="shared" ca="1" si="21"/>
        <v>1</v>
      </c>
    </row>
    <row r="667" spans="1:14" x14ac:dyDescent="0.3">
      <c r="A667" t="s">
        <v>2019</v>
      </c>
      <c r="B667" t="s">
        <v>2020</v>
      </c>
      <c r="C667" t="s">
        <v>124</v>
      </c>
      <c r="D667" t="s">
        <v>73</v>
      </c>
      <c r="E667" t="s">
        <v>24</v>
      </c>
      <c r="F667">
        <v>25.11</v>
      </c>
      <c r="G667" s="1">
        <v>45914</v>
      </c>
      <c r="H667" s="1">
        <v>43542</v>
      </c>
      <c r="I667" t="s">
        <v>2021</v>
      </c>
      <c r="J667" t="s">
        <v>37</v>
      </c>
      <c r="K667">
        <v>3</v>
      </c>
      <c r="L667" t="s">
        <v>27</v>
      </c>
      <c r="M667" s="1">
        <f t="shared" ca="1" si="20"/>
        <v>46204</v>
      </c>
      <c r="N667">
        <f t="shared" ca="1" si="21"/>
        <v>1</v>
      </c>
    </row>
    <row r="668" spans="1:14" x14ac:dyDescent="0.3">
      <c r="A668" t="s">
        <v>2022</v>
      </c>
      <c r="B668" t="s">
        <v>2023</v>
      </c>
      <c r="C668" t="s">
        <v>60</v>
      </c>
      <c r="D668" t="s">
        <v>35</v>
      </c>
      <c r="E668" t="s">
        <v>52</v>
      </c>
      <c r="F668">
        <v>35.33</v>
      </c>
      <c r="G668" s="1">
        <v>46031</v>
      </c>
      <c r="H668" s="1">
        <v>44967</v>
      </c>
      <c r="I668" t="s">
        <v>2024</v>
      </c>
      <c r="J668" t="s">
        <v>37</v>
      </c>
      <c r="K668">
        <v>3</v>
      </c>
      <c r="L668" t="s">
        <v>27</v>
      </c>
      <c r="M668" s="1">
        <f t="shared" ca="1" si="20"/>
        <v>46204</v>
      </c>
      <c r="N668">
        <f t="shared" ca="1" si="21"/>
        <v>1</v>
      </c>
    </row>
    <row r="669" spans="1:14" x14ac:dyDescent="0.3">
      <c r="A669" t="s">
        <v>2025</v>
      </c>
      <c r="B669" t="s">
        <v>2026</v>
      </c>
      <c r="C669" t="s">
        <v>64</v>
      </c>
      <c r="D669" t="s">
        <v>40</v>
      </c>
      <c r="E669" t="s">
        <v>17</v>
      </c>
      <c r="F669">
        <v>35.82</v>
      </c>
      <c r="G669" s="1">
        <v>45814</v>
      </c>
      <c r="H669" s="1">
        <v>44442</v>
      </c>
      <c r="I669" t="s">
        <v>2027</v>
      </c>
      <c r="J669" t="s">
        <v>37</v>
      </c>
      <c r="K669">
        <v>4</v>
      </c>
      <c r="L669" t="s">
        <v>27</v>
      </c>
      <c r="M669" s="1">
        <f t="shared" ca="1" si="20"/>
        <v>46204</v>
      </c>
      <c r="N669">
        <f t="shared" ca="1" si="21"/>
        <v>1</v>
      </c>
    </row>
    <row r="670" spans="1:14" x14ac:dyDescent="0.3">
      <c r="A670" t="s">
        <v>2028</v>
      </c>
      <c r="B670" t="s">
        <v>2029</v>
      </c>
      <c r="C670" t="s">
        <v>124</v>
      </c>
      <c r="D670" t="s">
        <v>35</v>
      </c>
      <c r="E670" t="s">
        <v>52</v>
      </c>
      <c r="F670">
        <v>17.260000000000002</v>
      </c>
      <c r="G670" s="1">
        <v>46026</v>
      </c>
      <c r="H670" s="1">
        <v>44188</v>
      </c>
      <c r="I670" t="s">
        <v>2030</v>
      </c>
      <c r="J670" t="s">
        <v>66</v>
      </c>
      <c r="K670">
        <v>3</v>
      </c>
      <c r="L670" t="s">
        <v>27</v>
      </c>
      <c r="M670" s="1">
        <f t="shared" ca="1" si="20"/>
        <v>46204</v>
      </c>
      <c r="N670">
        <f t="shared" ca="1" si="21"/>
        <v>1</v>
      </c>
    </row>
    <row r="671" spans="1:14" x14ac:dyDescent="0.3">
      <c r="A671" t="s">
        <v>2031</v>
      </c>
      <c r="B671" t="s">
        <v>2032</v>
      </c>
      <c r="C671" t="s">
        <v>23</v>
      </c>
      <c r="D671" t="s">
        <v>56</v>
      </c>
      <c r="E671" t="s">
        <v>24</v>
      </c>
      <c r="F671">
        <v>36.5</v>
      </c>
      <c r="G671" s="1">
        <v>45830</v>
      </c>
      <c r="H671" s="1">
        <v>44891</v>
      </c>
      <c r="I671" t="s">
        <v>2033</v>
      </c>
      <c r="J671" t="s">
        <v>49</v>
      </c>
      <c r="K671">
        <v>2</v>
      </c>
      <c r="L671" t="s">
        <v>27</v>
      </c>
      <c r="M671" s="1">
        <f t="shared" ca="1" si="20"/>
        <v>46204</v>
      </c>
      <c r="N671">
        <f t="shared" ca="1" si="21"/>
        <v>1</v>
      </c>
    </row>
    <row r="672" spans="1:14" x14ac:dyDescent="0.3">
      <c r="A672" t="s">
        <v>2034</v>
      </c>
      <c r="B672" t="s">
        <v>2035</v>
      </c>
      <c r="C672" t="s">
        <v>124</v>
      </c>
      <c r="D672" t="s">
        <v>40</v>
      </c>
      <c r="E672" t="s">
        <v>52</v>
      </c>
      <c r="F672">
        <v>1.73</v>
      </c>
      <c r="G672" s="1">
        <v>45974</v>
      </c>
      <c r="H672" s="1">
        <v>45032</v>
      </c>
      <c r="I672" t="s">
        <v>2036</v>
      </c>
      <c r="J672" t="s">
        <v>66</v>
      </c>
      <c r="K672">
        <v>5</v>
      </c>
      <c r="L672" t="s">
        <v>27</v>
      </c>
      <c r="M672" s="1">
        <f t="shared" ca="1" si="20"/>
        <v>46204</v>
      </c>
      <c r="N672">
        <f t="shared" ca="1" si="21"/>
        <v>1</v>
      </c>
    </row>
    <row r="673" spans="1:14" x14ac:dyDescent="0.3">
      <c r="A673" t="s">
        <v>2037</v>
      </c>
      <c r="B673" t="s">
        <v>2038</v>
      </c>
      <c r="C673" t="s">
        <v>124</v>
      </c>
      <c r="D673" t="s">
        <v>16</v>
      </c>
      <c r="E673" t="s">
        <v>24</v>
      </c>
      <c r="F673">
        <v>11.18</v>
      </c>
      <c r="G673" s="1">
        <v>46005</v>
      </c>
      <c r="H673" s="1">
        <v>45224</v>
      </c>
      <c r="I673" t="s">
        <v>2039</v>
      </c>
      <c r="J673" t="s">
        <v>19</v>
      </c>
      <c r="K673">
        <v>4</v>
      </c>
      <c r="L673" t="s">
        <v>27</v>
      </c>
      <c r="M673" s="1">
        <f t="shared" ca="1" si="20"/>
        <v>46204</v>
      </c>
      <c r="N673">
        <f t="shared" ca="1" si="21"/>
        <v>1</v>
      </c>
    </row>
    <row r="674" spans="1:14" x14ac:dyDescent="0.3">
      <c r="A674" t="s">
        <v>2040</v>
      </c>
      <c r="B674" t="s">
        <v>2041</v>
      </c>
      <c r="C674" t="s">
        <v>34</v>
      </c>
      <c r="D674" t="s">
        <v>56</v>
      </c>
      <c r="E674" t="s">
        <v>24</v>
      </c>
      <c r="F674">
        <v>15.29</v>
      </c>
      <c r="G674" s="1">
        <v>45709</v>
      </c>
      <c r="H674" s="1">
        <v>42506</v>
      </c>
      <c r="I674" t="s">
        <v>2042</v>
      </c>
      <c r="J674" t="s">
        <v>94</v>
      </c>
      <c r="K674">
        <v>3</v>
      </c>
      <c r="L674" t="s">
        <v>27</v>
      </c>
      <c r="M674" s="1">
        <f t="shared" ca="1" si="20"/>
        <v>46204</v>
      </c>
      <c r="N674">
        <f t="shared" ca="1" si="21"/>
        <v>1</v>
      </c>
    </row>
    <row r="675" spans="1:14" x14ac:dyDescent="0.3">
      <c r="A675" t="s">
        <v>2043</v>
      </c>
      <c r="B675" t="s">
        <v>2044</v>
      </c>
      <c r="C675" t="s">
        <v>34</v>
      </c>
      <c r="D675" t="s">
        <v>56</v>
      </c>
      <c r="E675" t="s">
        <v>24</v>
      </c>
      <c r="F675">
        <v>39.31</v>
      </c>
      <c r="G675" s="1">
        <v>45748</v>
      </c>
      <c r="H675" s="1">
        <v>42546</v>
      </c>
      <c r="I675" t="s">
        <v>2045</v>
      </c>
      <c r="J675" t="s">
        <v>37</v>
      </c>
      <c r="K675">
        <v>2</v>
      </c>
      <c r="L675" t="s">
        <v>20</v>
      </c>
      <c r="M675" s="1">
        <f t="shared" ca="1" si="20"/>
        <v>46204</v>
      </c>
      <c r="N675">
        <f t="shared" ca="1" si="21"/>
        <v>1</v>
      </c>
    </row>
    <row r="676" spans="1:14" x14ac:dyDescent="0.3">
      <c r="A676" t="s">
        <v>2046</v>
      </c>
      <c r="B676" t="s">
        <v>2047</v>
      </c>
      <c r="C676" t="s">
        <v>47</v>
      </c>
      <c r="D676" t="s">
        <v>56</v>
      </c>
      <c r="E676" t="s">
        <v>52</v>
      </c>
      <c r="F676">
        <v>35.49</v>
      </c>
      <c r="G676" s="1">
        <v>46024</v>
      </c>
      <c r="H676" s="1">
        <v>43911</v>
      </c>
      <c r="I676" t="s">
        <v>2048</v>
      </c>
      <c r="J676" t="s">
        <v>37</v>
      </c>
      <c r="K676">
        <v>4</v>
      </c>
      <c r="L676" t="s">
        <v>27</v>
      </c>
      <c r="M676" s="1">
        <f t="shared" ca="1" si="20"/>
        <v>46204</v>
      </c>
      <c r="N676">
        <f t="shared" ca="1" si="21"/>
        <v>1</v>
      </c>
    </row>
    <row r="677" spans="1:14" x14ac:dyDescent="0.3">
      <c r="A677" t="s">
        <v>2049</v>
      </c>
      <c r="B677" t="s">
        <v>2050</v>
      </c>
      <c r="C677" t="s">
        <v>34</v>
      </c>
      <c r="D677" t="s">
        <v>40</v>
      </c>
      <c r="E677" t="s">
        <v>24</v>
      </c>
      <c r="F677">
        <v>11.94</v>
      </c>
      <c r="G677" s="1">
        <v>46024</v>
      </c>
      <c r="H677" s="1">
        <v>43168</v>
      </c>
      <c r="I677" t="s">
        <v>2051</v>
      </c>
      <c r="J677" t="s">
        <v>19</v>
      </c>
      <c r="K677">
        <v>5</v>
      </c>
      <c r="L677" t="s">
        <v>20</v>
      </c>
      <c r="M677" s="1">
        <f t="shared" ca="1" si="20"/>
        <v>46204</v>
      </c>
      <c r="N677">
        <f t="shared" ca="1" si="21"/>
        <v>1</v>
      </c>
    </row>
    <row r="678" spans="1:14" x14ac:dyDescent="0.3">
      <c r="A678" t="s">
        <v>2052</v>
      </c>
      <c r="B678" t="s">
        <v>2053</v>
      </c>
      <c r="C678" t="s">
        <v>23</v>
      </c>
      <c r="D678" t="s">
        <v>16</v>
      </c>
      <c r="E678" t="s">
        <v>17</v>
      </c>
      <c r="F678">
        <v>11.72</v>
      </c>
      <c r="G678" s="1">
        <v>45757</v>
      </c>
      <c r="H678" s="1">
        <v>44052</v>
      </c>
      <c r="I678" t="s">
        <v>2054</v>
      </c>
      <c r="J678" t="s">
        <v>94</v>
      </c>
      <c r="K678">
        <v>3</v>
      </c>
      <c r="L678" t="s">
        <v>27</v>
      </c>
      <c r="M678" s="1">
        <f t="shared" ca="1" si="20"/>
        <v>46204</v>
      </c>
      <c r="N678">
        <f t="shared" ca="1" si="21"/>
        <v>1</v>
      </c>
    </row>
    <row r="679" spans="1:14" x14ac:dyDescent="0.3">
      <c r="A679" t="s">
        <v>2055</v>
      </c>
      <c r="B679" t="s">
        <v>2056</v>
      </c>
      <c r="C679" t="s">
        <v>15</v>
      </c>
      <c r="D679" t="s">
        <v>16</v>
      </c>
      <c r="E679" t="s">
        <v>52</v>
      </c>
      <c r="F679">
        <v>39.369999999999997</v>
      </c>
      <c r="G679" s="1">
        <v>46006</v>
      </c>
      <c r="H679" s="1">
        <v>44132</v>
      </c>
      <c r="I679" t="s">
        <v>2057</v>
      </c>
      <c r="J679" t="s">
        <v>66</v>
      </c>
      <c r="K679">
        <v>1</v>
      </c>
      <c r="L679" t="s">
        <v>20</v>
      </c>
      <c r="M679" s="1">
        <f t="shared" ca="1" si="20"/>
        <v>46204</v>
      </c>
      <c r="N679">
        <f t="shared" ca="1" si="21"/>
        <v>1</v>
      </c>
    </row>
    <row r="680" spans="1:14" x14ac:dyDescent="0.3">
      <c r="A680" t="s">
        <v>2058</v>
      </c>
      <c r="B680" t="s">
        <v>2059</v>
      </c>
      <c r="C680" t="s">
        <v>15</v>
      </c>
      <c r="D680" t="s">
        <v>73</v>
      </c>
      <c r="E680" t="s">
        <v>30</v>
      </c>
      <c r="F680">
        <v>9.56</v>
      </c>
      <c r="G680" s="1">
        <v>45970</v>
      </c>
      <c r="H680" s="1">
        <v>43214</v>
      </c>
      <c r="I680" t="s">
        <v>2060</v>
      </c>
      <c r="J680" t="s">
        <v>19</v>
      </c>
      <c r="K680">
        <v>5</v>
      </c>
      <c r="L680" t="s">
        <v>20</v>
      </c>
      <c r="M680" s="1">
        <f t="shared" ca="1" si="20"/>
        <v>46204</v>
      </c>
      <c r="N680">
        <f t="shared" ca="1" si="21"/>
        <v>1</v>
      </c>
    </row>
    <row r="681" spans="1:14" x14ac:dyDescent="0.3">
      <c r="A681" t="s">
        <v>2061</v>
      </c>
      <c r="B681" t="s">
        <v>2062</v>
      </c>
      <c r="C681" t="s">
        <v>60</v>
      </c>
      <c r="D681" t="s">
        <v>56</v>
      </c>
      <c r="E681" t="s">
        <v>30</v>
      </c>
      <c r="F681">
        <v>37.86</v>
      </c>
      <c r="G681" s="1">
        <v>45918</v>
      </c>
      <c r="H681" s="1">
        <v>44537</v>
      </c>
      <c r="I681" t="s">
        <v>2063</v>
      </c>
      <c r="J681" t="s">
        <v>37</v>
      </c>
      <c r="K681">
        <v>2</v>
      </c>
      <c r="L681" t="s">
        <v>27</v>
      </c>
      <c r="M681" s="1">
        <f t="shared" ca="1" si="20"/>
        <v>46204</v>
      </c>
      <c r="N681">
        <f t="shared" ca="1" si="21"/>
        <v>1</v>
      </c>
    </row>
    <row r="682" spans="1:14" x14ac:dyDescent="0.3">
      <c r="A682" t="s">
        <v>2064</v>
      </c>
      <c r="B682" t="s">
        <v>2065</v>
      </c>
      <c r="C682" t="s">
        <v>64</v>
      </c>
      <c r="D682" t="s">
        <v>35</v>
      </c>
      <c r="E682" t="s">
        <v>24</v>
      </c>
      <c r="F682">
        <v>13</v>
      </c>
      <c r="G682" s="1">
        <v>45863</v>
      </c>
      <c r="H682" s="1">
        <v>44554</v>
      </c>
      <c r="I682" t="s">
        <v>2066</v>
      </c>
      <c r="J682" t="s">
        <v>66</v>
      </c>
      <c r="K682">
        <v>2</v>
      </c>
      <c r="L682" t="s">
        <v>20</v>
      </c>
      <c r="M682" s="1">
        <f t="shared" ca="1" si="20"/>
        <v>46204</v>
      </c>
      <c r="N682">
        <f t="shared" ca="1" si="21"/>
        <v>1</v>
      </c>
    </row>
    <row r="683" spans="1:14" x14ac:dyDescent="0.3">
      <c r="A683" t="s">
        <v>2067</v>
      </c>
      <c r="B683" t="s">
        <v>2068</v>
      </c>
      <c r="C683" t="s">
        <v>34</v>
      </c>
      <c r="D683" t="s">
        <v>16</v>
      </c>
      <c r="E683" t="s">
        <v>30</v>
      </c>
      <c r="F683">
        <v>36.69</v>
      </c>
      <c r="G683" s="1">
        <v>46065</v>
      </c>
      <c r="H683" s="1">
        <v>43374</v>
      </c>
      <c r="I683" t="s">
        <v>2069</v>
      </c>
      <c r="J683" t="s">
        <v>66</v>
      </c>
      <c r="K683">
        <v>3</v>
      </c>
      <c r="L683" t="s">
        <v>20</v>
      </c>
      <c r="M683" s="1">
        <f t="shared" ca="1" si="20"/>
        <v>46204</v>
      </c>
      <c r="N683">
        <f t="shared" ca="1" si="21"/>
        <v>1</v>
      </c>
    </row>
    <row r="684" spans="1:14" x14ac:dyDescent="0.3">
      <c r="A684" t="s">
        <v>2070</v>
      </c>
      <c r="B684" t="s">
        <v>2071</v>
      </c>
      <c r="C684" t="s">
        <v>15</v>
      </c>
      <c r="D684" t="s">
        <v>40</v>
      </c>
      <c r="E684" t="s">
        <v>24</v>
      </c>
      <c r="F684">
        <v>15.51</v>
      </c>
      <c r="G684" s="1">
        <v>45832</v>
      </c>
      <c r="H684" s="1">
        <v>43953</v>
      </c>
      <c r="I684" t="s">
        <v>2072</v>
      </c>
      <c r="J684" t="s">
        <v>49</v>
      </c>
      <c r="K684">
        <v>2</v>
      </c>
      <c r="L684" t="s">
        <v>20</v>
      </c>
      <c r="M684" s="1">
        <f t="shared" ca="1" si="20"/>
        <v>46204</v>
      </c>
      <c r="N684">
        <f t="shared" ca="1" si="21"/>
        <v>1</v>
      </c>
    </row>
    <row r="685" spans="1:14" x14ac:dyDescent="0.3">
      <c r="A685" t="s">
        <v>2073</v>
      </c>
      <c r="B685" t="s">
        <v>2074</v>
      </c>
      <c r="C685" t="s">
        <v>64</v>
      </c>
      <c r="D685" t="s">
        <v>73</v>
      </c>
      <c r="E685" t="s">
        <v>17</v>
      </c>
      <c r="F685">
        <v>7.08</v>
      </c>
      <c r="G685" s="1">
        <v>46001</v>
      </c>
      <c r="H685" s="1">
        <v>44138</v>
      </c>
      <c r="I685" t="s">
        <v>2075</v>
      </c>
      <c r="J685" t="s">
        <v>75</v>
      </c>
      <c r="K685">
        <v>4</v>
      </c>
      <c r="L685" t="s">
        <v>27</v>
      </c>
      <c r="M685" s="1">
        <f t="shared" ca="1" si="20"/>
        <v>46204</v>
      </c>
      <c r="N685">
        <f t="shared" ca="1" si="21"/>
        <v>1</v>
      </c>
    </row>
    <row r="686" spans="1:14" x14ac:dyDescent="0.3">
      <c r="A686" t="s">
        <v>2076</v>
      </c>
      <c r="B686" t="s">
        <v>2077</v>
      </c>
      <c r="C686" t="s">
        <v>47</v>
      </c>
      <c r="D686" t="s">
        <v>40</v>
      </c>
      <c r="E686" t="s">
        <v>17</v>
      </c>
      <c r="F686">
        <v>38.909999999999997</v>
      </c>
      <c r="G686" s="1">
        <v>46059</v>
      </c>
      <c r="H686" s="1">
        <v>42514</v>
      </c>
      <c r="I686" t="s">
        <v>2078</v>
      </c>
      <c r="J686" t="s">
        <v>66</v>
      </c>
      <c r="K686">
        <v>5</v>
      </c>
      <c r="L686" t="s">
        <v>20</v>
      </c>
      <c r="M686" s="1">
        <f t="shared" ca="1" si="20"/>
        <v>46204</v>
      </c>
      <c r="N686">
        <f t="shared" ca="1" si="21"/>
        <v>1</v>
      </c>
    </row>
    <row r="687" spans="1:14" x14ac:dyDescent="0.3">
      <c r="A687" t="s">
        <v>2079</v>
      </c>
      <c r="B687" t="s">
        <v>2080</v>
      </c>
      <c r="C687" t="s">
        <v>124</v>
      </c>
      <c r="D687" t="s">
        <v>35</v>
      </c>
      <c r="E687" t="s">
        <v>52</v>
      </c>
      <c r="F687">
        <v>8.85</v>
      </c>
      <c r="G687" s="1">
        <v>45708</v>
      </c>
      <c r="H687" s="1">
        <v>44883</v>
      </c>
      <c r="I687" t="s">
        <v>2081</v>
      </c>
      <c r="J687" t="s">
        <v>49</v>
      </c>
      <c r="K687">
        <v>5</v>
      </c>
      <c r="L687" t="s">
        <v>20</v>
      </c>
      <c r="M687" s="1">
        <f t="shared" ca="1" si="20"/>
        <v>46204</v>
      </c>
      <c r="N687">
        <f t="shared" ca="1" si="21"/>
        <v>1</v>
      </c>
    </row>
    <row r="688" spans="1:14" x14ac:dyDescent="0.3">
      <c r="A688" t="s">
        <v>2082</v>
      </c>
      <c r="B688" t="s">
        <v>2083</v>
      </c>
      <c r="C688" t="s">
        <v>34</v>
      </c>
      <c r="D688" t="s">
        <v>56</v>
      </c>
      <c r="E688" t="s">
        <v>52</v>
      </c>
      <c r="F688">
        <v>7.67</v>
      </c>
      <c r="G688" s="1">
        <v>45908</v>
      </c>
      <c r="H688" s="1">
        <v>44663</v>
      </c>
      <c r="I688" t="s">
        <v>2084</v>
      </c>
      <c r="J688" t="s">
        <v>19</v>
      </c>
      <c r="K688">
        <v>3</v>
      </c>
      <c r="L688" t="s">
        <v>20</v>
      </c>
      <c r="M688" s="1">
        <f t="shared" ca="1" si="20"/>
        <v>46204</v>
      </c>
      <c r="N688">
        <f t="shared" ca="1" si="21"/>
        <v>1</v>
      </c>
    </row>
    <row r="689" spans="1:14" x14ac:dyDescent="0.3">
      <c r="A689" t="s">
        <v>2085</v>
      </c>
      <c r="B689" t="s">
        <v>2086</v>
      </c>
      <c r="C689" t="s">
        <v>60</v>
      </c>
      <c r="D689" t="s">
        <v>35</v>
      </c>
      <c r="E689" t="s">
        <v>17</v>
      </c>
      <c r="F689">
        <v>32.67</v>
      </c>
      <c r="G689" s="1">
        <v>45735</v>
      </c>
      <c r="H689" s="1">
        <v>43490</v>
      </c>
      <c r="I689" t="s">
        <v>2087</v>
      </c>
      <c r="J689" t="s">
        <v>94</v>
      </c>
      <c r="K689">
        <v>2</v>
      </c>
      <c r="L689" t="s">
        <v>20</v>
      </c>
      <c r="M689" s="1">
        <f t="shared" ca="1" si="20"/>
        <v>46204</v>
      </c>
      <c r="N689">
        <f t="shared" ca="1" si="21"/>
        <v>1</v>
      </c>
    </row>
    <row r="690" spans="1:14" x14ac:dyDescent="0.3">
      <c r="A690" t="s">
        <v>2088</v>
      </c>
      <c r="B690" t="s">
        <v>2089</v>
      </c>
      <c r="C690" t="s">
        <v>23</v>
      </c>
      <c r="D690" t="s">
        <v>16</v>
      </c>
      <c r="E690" t="s">
        <v>30</v>
      </c>
      <c r="F690">
        <v>38.6</v>
      </c>
      <c r="G690" s="1">
        <v>45976</v>
      </c>
      <c r="H690" s="1">
        <v>42576</v>
      </c>
      <c r="I690" t="s">
        <v>2090</v>
      </c>
      <c r="J690" t="s">
        <v>19</v>
      </c>
      <c r="K690">
        <v>4</v>
      </c>
      <c r="L690" t="s">
        <v>20</v>
      </c>
      <c r="M690" s="1">
        <f t="shared" ca="1" si="20"/>
        <v>46204</v>
      </c>
      <c r="N690">
        <f t="shared" ca="1" si="21"/>
        <v>1</v>
      </c>
    </row>
    <row r="691" spans="1:14" x14ac:dyDescent="0.3">
      <c r="A691" t="s">
        <v>2091</v>
      </c>
      <c r="B691" t="s">
        <v>2092</v>
      </c>
      <c r="C691" t="s">
        <v>64</v>
      </c>
      <c r="D691" t="s">
        <v>73</v>
      </c>
      <c r="E691" t="s">
        <v>24</v>
      </c>
      <c r="F691">
        <v>30.7</v>
      </c>
      <c r="G691" s="1">
        <v>45756</v>
      </c>
      <c r="H691" s="1">
        <v>42798</v>
      </c>
      <c r="I691" t="s">
        <v>2093</v>
      </c>
      <c r="J691" t="s">
        <v>26</v>
      </c>
      <c r="K691">
        <v>3</v>
      </c>
      <c r="L691" t="s">
        <v>27</v>
      </c>
      <c r="M691" s="1">
        <f t="shared" ca="1" si="20"/>
        <v>46204</v>
      </c>
      <c r="N691">
        <f t="shared" ca="1" si="21"/>
        <v>1</v>
      </c>
    </row>
    <row r="692" spans="1:14" x14ac:dyDescent="0.3">
      <c r="A692" t="s">
        <v>2094</v>
      </c>
      <c r="B692" t="s">
        <v>2095</v>
      </c>
      <c r="C692" t="s">
        <v>64</v>
      </c>
      <c r="D692" t="s">
        <v>16</v>
      </c>
      <c r="E692" t="s">
        <v>52</v>
      </c>
      <c r="F692">
        <v>35.369999999999997</v>
      </c>
      <c r="G692" s="1">
        <v>45815</v>
      </c>
      <c r="H692" s="1">
        <v>43828</v>
      </c>
      <c r="I692" t="s">
        <v>2096</v>
      </c>
      <c r="J692" t="s">
        <v>37</v>
      </c>
      <c r="K692">
        <v>5</v>
      </c>
      <c r="L692" t="s">
        <v>20</v>
      </c>
      <c r="M692" s="1">
        <f t="shared" ca="1" si="20"/>
        <v>46204</v>
      </c>
      <c r="N692">
        <f t="shared" ca="1" si="21"/>
        <v>1</v>
      </c>
    </row>
    <row r="693" spans="1:14" x14ac:dyDescent="0.3">
      <c r="A693" t="s">
        <v>2097</v>
      </c>
      <c r="B693" t="s">
        <v>2098</v>
      </c>
      <c r="C693" t="s">
        <v>15</v>
      </c>
      <c r="D693" t="s">
        <v>40</v>
      </c>
      <c r="E693" t="s">
        <v>52</v>
      </c>
      <c r="F693">
        <v>13.05</v>
      </c>
      <c r="G693" s="1">
        <v>45927</v>
      </c>
      <c r="H693" s="1">
        <v>44140</v>
      </c>
      <c r="I693" t="s">
        <v>2099</v>
      </c>
      <c r="J693" t="s">
        <v>26</v>
      </c>
      <c r="K693">
        <v>5</v>
      </c>
      <c r="L693" t="s">
        <v>27</v>
      </c>
      <c r="M693" s="1">
        <f t="shared" ca="1" si="20"/>
        <v>46204</v>
      </c>
      <c r="N693">
        <f t="shared" ca="1" si="21"/>
        <v>1</v>
      </c>
    </row>
    <row r="694" spans="1:14" x14ac:dyDescent="0.3">
      <c r="A694" t="s">
        <v>2100</v>
      </c>
      <c r="B694" t="s">
        <v>2101</v>
      </c>
      <c r="C694" t="s">
        <v>34</v>
      </c>
      <c r="D694" t="s">
        <v>73</v>
      </c>
      <c r="E694" t="s">
        <v>52</v>
      </c>
      <c r="F694">
        <v>23.33</v>
      </c>
      <c r="G694" s="1">
        <v>45904</v>
      </c>
      <c r="H694" s="1">
        <v>42669</v>
      </c>
      <c r="I694" t="s">
        <v>2102</v>
      </c>
      <c r="J694" t="s">
        <v>94</v>
      </c>
      <c r="K694">
        <v>2</v>
      </c>
      <c r="L694" t="s">
        <v>27</v>
      </c>
      <c r="M694" s="1">
        <f t="shared" ca="1" si="20"/>
        <v>46204</v>
      </c>
      <c r="N694">
        <f t="shared" ca="1" si="21"/>
        <v>1</v>
      </c>
    </row>
    <row r="695" spans="1:14" x14ac:dyDescent="0.3">
      <c r="A695" t="s">
        <v>2103</v>
      </c>
      <c r="B695" t="s">
        <v>2104</v>
      </c>
      <c r="C695" t="s">
        <v>64</v>
      </c>
      <c r="D695" t="s">
        <v>40</v>
      </c>
      <c r="E695" t="s">
        <v>52</v>
      </c>
      <c r="F695">
        <v>14.56</v>
      </c>
      <c r="G695" s="1">
        <v>45933</v>
      </c>
      <c r="H695" s="1">
        <v>42473</v>
      </c>
      <c r="I695" t="s">
        <v>2105</v>
      </c>
      <c r="J695" t="s">
        <v>19</v>
      </c>
      <c r="K695">
        <v>4</v>
      </c>
      <c r="L695" t="s">
        <v>20</v>
      </c>
      <c r="M695" s="1">
        <f t="shared" ca="1" si="20"/>
        <v>46204</v>
      </c>
      <c r="N695">
        <f t="shared" ca="1" si="21"/>
        <v>1</v>
      </c>
    </row>
    <row r="696" spans="1:14" x14ac:dyDescent="0.3">
      <c r="A696" t="s">
        <v>2106</v>
      </c>
      <c r="B696" t="s">
        <v>2107</v>
      </c>
      <c r="C696" t="s">
        <v>15</v>
      </c>
      <c r="D696" t="s">
        <v>40</v>
      </c>
      <c r="E696" t="s">
        <v>52</v>
      </c>
      <c r="F696">
        <v>5.67</v>
      </c>
      <c r="G696" s="1">
        <v>45940</v>
      </c>
      <c r="H696" s="1">
        <v>43435</v>
      </c>
      <c r="I696" t="s">
        <v>2108</v>
      </c>
      <c r="J696" t="s">
        <v>19</v>
      </c>
      <c r="K696">
        <v>4</v>
      </c>
      <c r="L696" t="s">
        <v>20</v>
      </c>
      <c r="M696" s="1">
        <f t="shared" ca="1" si="20"/>
        <v>46204</v>
      </c>
      <c r="N696">
        <f t="shared" ca="1" si="21"/>
        <v>1</v>
      </c>
    </row>
    <row r="697" spans="1:14" x14ac:dyDescent="0.3">
      <c r="A697" t="s">
        <v>2109</v>
      </c>
      <c r="B697" t="s">
        <v>2110</v>
      </c>
      <c r="C697" t="s">
        <v>47</v>
      </c>
      <c r="D697" t="s">
        <v>56</v>
      </c>
      <c r="E697" t="s">
        <v>24</v>
      </c>
      <c r="F697">
        <v>18.86</v>
      </c>
      <c r="G697" s="1">
        <v>45914</v>
      </c>
      <c r="H697" s="1">
        <v>45024</v>
      </c>
      <c r="I697" t="s">
        <v>2111</v>
      </c>
      <c r="J697" t="s">
        <v>37</v>
      </c>
      <c r="K697">
        <v>5</v>
      </c>
      <c r="L697" t="s">
        <v>20</v>
      </c>
      <c r="M697" s="1">
        <f t="shared" ca="1" si="20"/>
        <v>46204</v>
      </c>
      <c r="N697">
        <f t="shared" ca="1" si="21"/>
        <v>1</v>
      </c>
    </row>
    <row r="698" spans="1:14" x14ac:dyDescent="0.3">
      <c r="A698" t="s">
        <v>2112</v>
      </c>
      <c r="B698" t="s">
        <v>2113</v>
      </c>
      <c r="C698" t="s">
        <v>64</v>
      </c>
      <c r="D698" t="s">
        <v>69</v>
      </c>
      <c r="E698" t="s">
        <v>52</v>
      </c>
      <c r="F698">
        <v>15.54</v>
      </c>
      <c r="G698" s="1">
        <v>45978</v>
      </c>
      <c r="H698" s="1">
        <v>44699</v>
      </c>
      <c r="I698" t="s">
        <v>2114</v>
      </c>
      <c r="J698" t="s">
        <v>94</v>
      </c>
      <c r="K698">
        <v>3</v>
      </c>
      <c r="L698" t="s">
        <v>27</v>
      </c>
      <c r="M698" s="1">
        <f t="shared" ca="1" si="20"/>
        <v>46204</v>
      </c>
      <c r="N698">
        <f t="shared" ca="1" si="21"/>
        <v>1</v>
      </c>
    </row>
    <row r="699" spans="1:14" x14ac:dyDescent="0.3">
      <c r="A699" t="s">
        <v>2115</v>
      </c>
      <c r="B699" t="s">
        <v>2116</v>
      </c>
      <c r="C699" t="s">
        <v>34</v>
      </c>
      <c r="D699" t="s">
        <v>69</v>
      </c>
      <c r="E699" t="s">
        <v>24</v>
      </c>
      <c r="F699">
        <v>1.79</v>
      </c>
      <c r="G699" s="1">
        <v>46065</v>
      </c>
      <c r="H699" s="1">
        <v>44017</v>
      </c>
      <c r="I699" t="s">
        <v>2117</v>
      </c>
      <c r="J699" t="s">
        <v>37</v>
      </c>
      <c r="K699">
        <v>2</v>
      </c>
      <c r="L699" t="s">
        <v>27</v>
      </c>
      <c r="M699" s="1">
        <f t="shared" ca="1" si="20"/>
        <v>46204</v>
      </c>
      <c r="N699">
        <f t="shared" ca="1" si="21"/>
        <v>1</v>
      </c>
    </row>
    <row r="700" spans="1:14" x14ac:dyDescent="0.3">
      <c r="A700" t="s">
        <v>2118</v>
      </c>
      <c r="B700" t="s">
        <v>2119</v>
      </c>
      <c r="C700" t="s">
        <v>23</v>
      </c>
      <c r="D700" t="s">
        <v>56</v>
      </c>
      <c r="E700" t="s">
        <v>17</v>
      </c>
      <c r="F700">
        <v>6.35</v>
      </c>
      <c r="G700" s="1">
        <v>46000</v>
      </c>
      <c r="H700" s="1">
        <v>44631</v>
      </c>
      <c r="I700" t="s">
        <v>2120</v>
      </c>
      <c r="J700" t="s">
        <v>49</v>
      </c>
      <c r="K700">
        <v>2</v>
      </c>
      <c r="L700" t="s">
        <v>20</v>
      </c>
      <c r="M700" s="1">
        <f t="shared" ca="1" si="20"/>
        <v>46204</v>
      </c>
      <c r="N700">
        <f t="shared" ca="1" si="21"/>
        <v>1</v>
      </c>
    </row>
    <row r="701" spans="1:14" x14ac:dyDescent="0.3">
      <c r="A701" t="s">
        <v>2121</v>
      </c>
      <c r="B701" t="s">
        <v>2122</v>
      </c>
      <c r="C701" t="s">
        <v>23</v>
      </c>
      <c r="D701" t="s">
        <v>73</v>
      </c>
      <c r="E701" t="s">
        <v>30</v>
      </c>
      <c r="F701">
        <v>21.05</v>
      </c>
      <c r="G701" s="1">
        <v>46004</v>
      </c>
      <c r="H701" s="1">
        <v>45054</v>
      </c>
      <c r="I701" t="s">
        <v>2123</v>
      </c>
      <c r="J701" t="s">
        <v>26</v>
      </c>
      <c r="K701">
        <v>4</v>
      </c>
      <c r="L701" t="s">
        <v>20</v>
      </c>
      <c r="M701" s="1">
        <f t="shared" ca="1" si="20"/>
        <v>46204</v>
      </c>
      <c r="N701">
        <f t="shared" ca="1" si="21"/>
        <v>1</v>
      </c>
    </row>
    <row r="702" spans="1:14" x14ac:dyDescent="0.3">
      <c r="A702" t="s">
        <v>2124</v>
      </c>
      <c r="B702" t="s">
        <v>2125</v>
      </c>
      <c r="C702" t="s">
        <v>23</v>
      </c>
      <c r="D702" t="s">
        <v>69</v>
      </c>
      <c r="E702" t="s">
        <v>24</v>
      </c>
      <c r="F702">
        <v>18.95</v>
      </c>
      <c r="G702" s="1">
        <v>45794</v>
      </c>
      <c r="H702" s="1">
        <v>45307</v>
      </c>
      <c r="I702" t="s">
        <v>2126</v>
      </c>
      <c r="J702" t="s">
        <v>26</v>
      </c>
      <c r="K702">
        <v>1</v>
      </c>
      <c r="L702" t="s">
        <v>27</v>
      </c>
      <c r="M702" s="1">
        <f t="shared" ca="1" si="20"/>
        <v>46204</v>
      </c>
      <c r="N702">
        <f t="shared" ca="1" si="21"/>
        <v>1</v>
      </c>
    </row>
    <row r="703" spans="1:14" x14ac:dyDescent="0.3">
      <c r="A703" t="s">
        <v>2127</v>
      </c>
      <c r="B703" t="s">
        <v>2128</v>
      </c>
      <c r="C703" t="s">
        <v>124</v>
      </c>
      <c r="D703" t="s">
        <v>35</v>
      </c>
      <c r="E703" t="s">
        <v>30</v>
      </c>
      <c r="F703">
        <v>21.35</v>
      </c>
      <c r="G703" s="1">
        <v>45838</v>
      </c>
      <c r="H703" s="1">
        <v>44759</v>
      </c>
      <c r="I703" t="s">
        <v>2129</v>
      </c>
      <c r="J703" t="s">
        <v>19</v>
      </c>
      <c r="K703">
        <v>4</v>
      </c>
      <c r="L703" t="s">
        <v>20</v>
      </c>
      <c r="M703" s="1">
        <f t="shared" ca="1" si="20"/>
        <v>46204</v>
      </c>
      <c r="N703">
        <f t="shared" ca="1" si="21"/>
        <v>1</v>
      </c>
    </row>
    <row r="704" spans="1:14" x14ac:dyDescent="0.3">
      <c r="A704" t="s">
        <v>2130</v>
      </c>
      <c r="B704" t="s">
        <v>2131</v>
      </c>
      <c r="C704" t="s">
        <v>64</v>
      </c>
      <c r="D704" t="s">
        <v>40</v>
      </c>
      <c r="E704" t="s">
        <v>17</v>
      </c>
      <c r="F704">
        <v>9.73</v>
      </c>
      <c r="G704" s="1">
        <v>45877</v>
      </c>
      <c r="H704" s="1">
        <v>43799</v>
      </c>
      <c r="I704" t="s">
        <v>2132</v>
      </c>
      <c r="J704" t="s">
        <v>49</v>
      </c>
      <c r="K704">
        <v>2</v>
      </c>
      <c r="L704" t="s">
        <v>20</v>
      </c>
      <c r="M704" s="1">
        <f t="shared" ca="1" si="20"/>
        <v>46204</v>
      </c>
      <c r="N704">
        <f t="shared" ca="1" si="21"/>
        <v>1</v>
      </c>
    </row>
    <row r="705" spans="1:14" x14ac:dyDescent="0.3">
      <c r="A705" t="s">
        <v>2133</v>
      </c>
      <c r="B705" t="s">
        <v>2134</v>
      </c>
      <c r="C705" t="s">
        <v>124</v>
      </c>
      <c r="D705" t="s">
        <v>16</v>
      </c>
      <c r="E705" t="s">
        <v>17</v>
      </c>
      <c r="F705">
        <v>13.19</v>
      </c>
      <c r="G705" s="1">
        <v>45894</v>
      </c>
      <c r="H705" s="1">
        <v>45252</v>
      </c>
      <c r="I705" t="s">
        <v>2135</v>
      </c>
      <c r="J705" t="s">
        <v>66</v>
      </c>
      <c r="K705">
        <v>4</v>
      </c>
      <c r="L705" t="s">
        <v>20</v>
      </c>
      <c r="M705" s="1">
        <f t="shared" ca="1" si="20"/>
        <v>46204</v>
      </c>
      <c r="N705">
        <f t="shared" ca="1" si="21"/>
        <v>1</v>
      </c>
    </row>
    <row r="706" spans="1:14" x14ac:dyDescent="0.3">
      <c r="A706" t="s">
        <v>2136</v>
      </c>
      <c r="B706" t="s">
        <v>2137</v>
      </c>
      <c r="C706" t="s">
        <v>47</v>
      </c>
      <c r="D706" t="s">
        <v>56</v>
      </c>
      <c r="E706" t="s">
        <v>24</v>
      </c>
      <c r="F706">
        <v>21.32</v>
      </c>
      <c r="G706" s="1">
        <v>45936</v>
      </c>
      <c r="H706" s="1">
        <v>42425</v>
      </c>
      <c r="I706" t="s">
        <v>2138</v>
      </c>
      <c r="J706" t="s">
        <v>66</v>
      </c>
      <c r="K706">
        <v>4</v>
      </c>
      <c r="L706" t="s">
        <v>27</v>
      </c>
      <c r="M706" s="1">
        <f t="shared" ca="1" si="20"/>
        <v>46204</v>
      </c>
      <c r="N706">
        <f t="shared" ca="1" si="21"/>
        <v>1</v>
      </c>
    </row>
    <row r="707" spans="1:14" x14ac:dyDescent="0.3">
      <c r="A707" t="s">
        <v>2139</v>
      </c>
      <c r="B707" t="s">
        <v>2140</v>
      </c>
      <c r="C707" t="s">
        <v>23</v>
      </c>
      <c r="D707" t="s">
        <v>35</v>
      </c>
      <c r="E707" t="s">
        <v>24</v>
      </c>
      <c r="F707">
        <v>1.67</v>
      </c>
      <c r="G707" s="1">
        <v>45775</v>
      </c>
      <c r="H707" s="1">
        <v>45454</v>
      </c>
      <c r="I707" t="s">
        <v>2141</v>
      </c>
      <c r="J707" t="s">
        <v>49</v>
      </c>
      <c r="K707">
        <v>1</v>
      </c>
      <c r="L707" t="s">
        <v>20</v>
      </c>
      <c r="M707" s="1">
        <f t="shared" ref="M707:M770" ca="1" si="22">TODAY()</f>
        <v>46204</v>
      </c>
      <c r="N707">
        <f t="shared" ref="N707:N770" ca="1" si="23">IF(G707&lt;M707,1,0)</f>
        <v>1</v>
      </c>
    </row>
    <row r="708" spans="1:14" x14ac:dyDescent="0.3">
      <c r="A708" t="s">
        <v>2142</v>
      </c>
      <c r="B708" t="s">
        <v>2143</v>
      </c>
      <c r="C708" t="s">
        <v>23</v>
      </c>
      <c r="D708" t="s">
        <v>40</v>
      </c>
      <c r="E708" t="s">
        <v>17</v>
      </c>
      <c r="F708">
        <v>2.1</v>
      </c>
      <c r="G708" s="1">
        <v>45809</v>
      </c>
      <c r="H708" s="1">
        <v>44559</v>
      </c>
      <c r="I708" t="s">
        <v>2144</v>
      </c>
      <c r="J708" t="s">
        <v>37</v>
      </c>
      <c r="K708">
        <v>5</v>
      </c>
      <c r="L708" t="s">
        <v>27</v>
      </c>
      <c r="M708" s="1">
        <f t="shared" ca="1" si="22"/>
        <v>46204</v>
      </c>
      <c r="N708">
        <f t="shared" ca="1" si="23"/>
        <v>1</v>
      </c>
    </row>
    <row r="709" spans="1:14" x14ac:dyDescent="0.3">
      <c r="A709" t="s">
        <v>2145</v>
      </c>
      <c r="B709" t="s">
        <v>2146</v>
      </c>
      <c r="C709" t="s">
        <v>23</v>
      </c>
      <c r="D709" t="s">
        <v>35</v>
      </c>
      <c r="E709" t="s">
        <v>24</v>
      </c>
      <c r="F709">
        <v>4.38</v>
      </c>
      <c r="G709" s="1">
        <v>45792</v>
      </c>
      <c r="H709" s="1">
        <v>44511</v>
      </c>
      <c r="I709" t="s">
        <v>2147</v>
      </c>
      <c r="J709" t="s">
        <v>26</v>
      </c>
      <c r="K709">
        <v>1</v>
      </c>
      <c r="L709" t="s">
        <v>20</v>
      </c>
      <c r="M709" s="1">
        <f t="shared" ca="1" si="22"/>
        <v>46204</v>
      </c>
      <c r="N709">
        <f t="shared" ca="1" si="23"/>
        <v>1</v>
      </c>
    </row>
    <row r="710" spans="1:14" x14ac:dyDescent="0.3">
      <c r="A710" t="s">
        <v>2148</v>
      </c>
      <c r="B710" t="s">
        <v>2149</v>
      </c>
      <c r="C710" t="s">
        <v>47</v>
      </c>
      <c r="D710" t="s">
        <v>35</v>
      </c>
      <c r="E710" t="s">
        <v>52</v>
      </c>
      <c r="F710">
        <v>21.77</v>
      </c>
      <c r="G710" s="1">
        <v>45840</v>
      </c>
      <c r="H710" s="1">
        <v>42627</v>
      </c>
      <c r="I710" t="s">
        <v>2150</v>
      </c>
      <c r="J710" t="s">
        <v>75</v>
      </c>
      <c r="K710">
        <v>5</v>
      </c>
      <c r="L710" t="s">
        <v>20</v>
      </c>
      <c r="M710" s="1">
        <f t="shared" ca="1" si="22"/>
        <v>46204</v>
      </c>
      <c r="N710">
        <f t="shared" ca="1" si="23"/>
        <v>1</v>
      </c>
    </row>
    <row r="711" spans="1:14" x14ac:dyDescent="0.3">
      <c r="A711" t="s">
        <v>2151</v>
      </c>
      <c r="B711" t="s">
        <v>2152</v>
      </c>
      <c r="C711" t="s">
        <v>47</v>
      </c>
      <c r="D711" t="s">
        <v>40</v>
      </c>
      <c r="E711" t="s">
        <v>24</v>
      </c>
      <c r="F711">
        <v>37.880000000000003</v>
      </c>
      <c r="G711" s="1">
        <v>45945</v>
      </c>
      <c r="H711" s="1">
        <v>45135</v>
      </c>
      <c r="I711" t="s">
        <v>2153</v>
      </c>
      <c r="J711" t="s">
        <v>49</v>
      </c>
      <c r="K711">
        <v>4</v>
      </c>
      <c r="L711" t="s">
        <v>20</v>
      </c>
      <c r="M711" s="1">
        <f t="shared" ca="1" si="22"/>
        <v>46204</v>
      </c>
      <c r="N711">
        <f t="shared" ca="1" si="23"/>
        <v>1</v>
      </c>
    </row>
    <row r="712" spans="1:14" x14ac:dyDescent="0.3">
      <c r="A712" t="s">
        <v>2154</v>
      </c>
      <c r="B712" t="s">
        <v>2155</v>
      </c>
      <c r="C712" t="s">
        <v>23</v>
      </c>
      <c r="D712" t="s">
        <v>56</v>
      </c>
      <c r="E712" t="s">
        <v>17</v>
      </c>
      <c r="F712">
        <v>33</v>
      </c>
      <c r="G712" s="1">
        <v>45740</v>
      </c>
      <c r="H712" s="1">
        <v>44091</v>
      </c>
      <c r="I712" t="s">
        <v>2156</v>
      </c>
      <c r="J712" t="s">
        <v>19</v>
      </c>
      <c r="K712">
        <v>3</v>
      </c>
      <c r="L712" t="s">
        <v>20</v>
      </c>
      <c r="M712" s="1">
        <f t="shared" ca="1" si="22"/>
        <v>46204</v>
      </c>
      <c r="N712">
        <f t="shared" ca="1" si="23"/>
        <v>1</v>
      </c>
    </row>
    <row r="713" spans="1:14" x14ac:dyDescent="0.3">
      <c r="A713" t="s">
        <v>2157</v>
      </c>
      <c r="B713" t="s">
        <v>2158</v>
      </c>
      <c r="C713" t="s">
        <v>47</v>
      </c>
      <c r="D713" t="s">
        <v>35</v>
      </c>
      <c r="E713" t="s">
        <v>17</v>
      </c>
      <c r="F713">
        <v>4.5599999999999996</v>
      </c>
      <c r="G713" s="1">
        <v>45872</v>
      </c>
      <c r="H713" s="1">
        <v>43173</v>
      </c>
      <c r="I713" t="s">
        <v>2159</v>
      </c>
      <c r="J713" t="s">
        <v>26</v>
      </c>
      <c r="K713">
        <v>5</v>
      </c>
      <c r="L713" t="s">
        <v>20</v>
      </c>
      <c r="M713" s="1">
        <f t="shared" ca="1" si="22"/>
        <v>46204</v>
      </c>
      <c r="N713">
        <f t="shared" ca="1" si="23"/>
        <v>1</v>
      </c>
    </row>
    <row r="714" spans="1:14" x14ac:dyDescent="0.3">
      <c r="A714" t="s">
        <v>2160</v>
      </c>
      <c r="B714" t="s">
        <v>2161</v>
      </c>
      <c r="C714" t="s">
        <v>60</v>
      </c>
      <c r="D714" t="s">
        <v>56</v>
      </c>
      <c r="E714" t="s">
        <v>52</v>
      </c>
      <c r="F714">
        <v>2.68</v>
      </c>
      <c r="G714" s="1">
        <v>45713</v>
      </c>
      <c r="H714" s="1">
        <v>43169</v>
      </c>
      <c r="I714" t="s">
        <v>2162</v>
      </c>
      <c r="J714" t="s">
        <v>94</v>
      </c>
      <c r="K714">
        <v>4</v>
      </c>
      <c r="L714" t="s">
        <v>27</v>
      </c>
      <c r="M714" s="1">
        <f t="shared" ca="1" si="22"/>
        <v>46204</v>
      </c>
      <c r="N714">
        <f t="shared" ca="1" si="23"/>
        <v>1</v>
      </c>
    </row>
    <row r="715" spans="1:14" x14ac:dyDescent="0.3">
      <c r="A715" t="s">
        <v>2163</v>
      </c>
      <c r="B715" t="s">
        <v>2164</v>
      </c>
      <c r="C715" t="s">
        <v>23</v>
      </c>
      <c r="D715" t="s">
        <v>56</v>
      </c>
      <c r="E715" t="s">
        <v>52</v>
      </c>
      <c r="F715">
        <v>34.6</v>
      </c>
      <c r="G715" s="1">
        <v>46029</v>
      </c>
      <c r="H715" s="1">
        <v>43474</v>
      </c>
      <c r="I715" t="s">
        <v>2165</v>
      </c>
      <c r="J715" t="s">
        <v>66</v>
      </c>
      <c r="K715">
        <v>5</v>
      </c>
      <c r="L715" t="s">
        <v>20</v>
      </c>
      <c r="M715" s="1">
        <f t="shared" ca="1" si="22"/>
        <v>46204</v>
      </c>
      <c r="N715">
        <f t="shared" ca="1" si="23"/>
        <v>1</v>
      </c>
    </row>
    <row r="716" spans="1:14" x14ac:dyDescent="0.3">
      <c r="A716" t="s">
        <v>2166</v>
      </c>
      <c r="B716" t="s">
        <v>2167</v>
      </c>
      <c r="C716" t="s">
        <v>15</v>
      </c>
      <c r="D716" t="s">
        <v>69</v>
      </c>
      <c r="E716" t="s">
        <v>24</v>
      </c>
      <c r="F716">
        <v>31.2</v>
      </c>
      <c r="G716" s="1">
        <v>46009</v>
      </c>
      <c r="H716" s="1">
        <v>45212</v>
      </c>
      <c r="I716" t="s">
        <v>2168</v>
      </c>
      <c r="J716" t="s">
        <v>37</v>
      </c>
      <c r="K716">
        <v>3</v>
      </c>
      <c r="L716" t="s">
        <v>20</v>
      </c>
      <c r="M716" s="1">
        <f t="shared" ca="1" si="22"/>
        <v>46204</v>
      </c>
      <c r="N716">
        <f t="shared" ca="1" si="23"/>
        <v>1</v>
      </c>
    </row>
    <row r="717" spans="1:14" x14ac:dyDescent="0.3">
      <c r="A717" t="s">
        <v>2169</v>
      </c>
      <c r="B717" t="s">
        <v>2170</v>
      </c>
      <c r="C717" t="s">
        <v>23</v>
      </c>
      <c r="D717" t="s">
        <v>40</v>
      </c>
      <c r="E717" t="s">
        <v>30</v>
      </c>
      <c r="F717">
        <v>27.17</v>
      </c>
      <c r="G717" s="1">
        <v>45951</v>
      </c>
      <c r="H717" s="1">
        <v>43351</v>
      </c>
      <c r="I717" t="s">
        <v>2171</v>
      </c>
      <c r="J717" t="s">
        <v>94</v>
      </c>
      <c r="K717">
        <v>4</v>
      </c>
      <c r="L717" t="s">
        <v>20</v>
      </c>
      <c r="M717" s="1">
        <f t="shared" ca="1" si="22"/>
        <v>46204</v>
      </c>
      <c r="N717">
        <f t="shared" ca="1" si="23"/>
        <v>1</v>
      </c>
    </row>
    <row r="718" spans="1:14" x14ac:dyDescent="0.3">
      <c r="A718" t="s">
        <v>2172</v>
      </c>
      <c r="B718" t="s">
        <v>2173</v>
      </c>
      <c r="C718" t="s">
        <v>23</v>
      </c>
      <c r="D718" t="s">
        <v>56</v>
      </c>
      <c r="E718" t="s">
        <v>17</v>
      </c>
      <c r="F718">
        <v>18.899999999999999</v>
      </c>
      <c r="G718" s="1">
        <v>45765</v>
      </c>
      <c r="H718" s="1">
        <v>44984</v>
      </c>
      <c r="I718" t="s">
        <v>2174</v>
      </c>
      <c r="J718" t="s">
        <v>49</v>
      </c>
      <c r="K718">
        <v>3</v>
      </c>
      <c r="L718" t="s">
        <v>20</v>
      </c>
      <c r="M718" s="1">
        <f t="shared" ca="1" si="22"/>
        <v>46204</v>
      </c>
      <c r="N718">
        <f t="shared" ca="1" si="23"/>
        <v>1</v>
      </c>
    </row>
    <row r="719" spans="1:14" x14ac:dyDescent="0.3">
      <c r="A719" t="s">
        <v>2175</v>
      </c>
      <c r="B719" t="s">
        <v>2176</v>
      </c>
      <c r="C719" t="s">
        <v>23</v>
      </c>
      <c r="D719" t="s">
        <v>56</v>
      </c>
      <c r="E719" t="s">
        <v>52</v>
      </c>
      <c r="F719">
        <v>26.29</v>
      </c>
      <c r="G719" s="1">
        <v>45921</v>
      </c>
      <c r="H719" s="1">
        <v>42878</v>
      </c>
      <c r="I719" t="s">
        <v>2177</v>
      </c>
      <c r="J719" t="s">
        <v>37</v>
      </c>
      <c r="K719">
        <v>3</v>
      </c>
      <c r="L719" t="s">
        <v>20</v>
      </c>
      <c r="M719" s="1">
        <f t="shared" ca="1" si="22"/>
        <v>46204</v>
      </c>
      <c r="N719">
        <f t="shared" ca="1" si="23"/>
        <v>1</v>
      </c>
    </row>
    <row r="720" spans="1:14" x14ac:dyDescent="0.3">
      <c r="A720" t="s">
        <v>2178</v>
      </c>
      <c r="B720" t="s">
        <v>2179</v>
      </c>
      <c r="C720" t="s">
        <v>47</v>
      </c>
      <c r="D720" t="s">
        <v>69</v>
      </c>
      <c r="E720" t="s">
        <v>30</v>
      </c>
      <c r="F720">
        <v>34.840000000000003</v>
      </c>
      <c r="G720" s="1">
        <v>46033</v>
      </c>
      <c r="H720" s="1">
        <v>44786</v>
      </c>
      <c r="I720" t="s">
        <v>2180</v>
      </c>
      <c r="J720" t="s">
        <v>26</v>
      </c>
      <c r="K720">
        <v>4</v>
      </c>
      <c r="L720" t="s">
        <v>20</v>
      </c>
      <c r="M720" s="1">
        <f t="shared" ca="1" si="22"/>
        <v>46204</v>
      </c>
      <c r="N720">
        <f t="shared" ca="1" si="23"/>
        <v>1</v>
      </c>
    </row>
    <row r="721" spans="1:14" x14ac:dyDescent="0.3">
      <c r="A721" t="s">
        <v>2181</v>
      </c>
      <c r="B721" t="s">
        <v>2182</v>
      </c>
      <c r="C721" t="s">
        <v>47</v>
      </c>
      <c r="D721" t="s">
        <v>73</v>
      </c>
      <c r="E721" t="s">
        <v>30</v>
      </c>
      <c r="F721">
        <v>34.869999999999997</v>
      </c>
      <c r="G721" s="1">
        <v>46046</v>
      </c>
      <c r="H721" s="1">
        <v>43996</v>
      </c>
      <c r="I721" t="s">
        <v>2183</v>
      </c>
      <c r="J721" t="s">
        <v>19</v>
      </c>
      <c r="K721">
        <v>4</v>
      </c>
      <c r="L721" t="s">
        <v>27</v>
      </c>
      <c r="M721" s="1">
        <f t="shared" ca="1" si="22"/>
        <v>46204</v>
      </c>
      <c r="N721">
        <f t="shared" ca="1" si="23"/>
        <v>1</v>
      </c>
    </row>
    <row r="722" spans="1:14" x14ac:dyDescent="0.3">
      <c r="A722" t="s">
        <v>2184</v>
      </c>
      <c r="B722" t="s">
        <v>2185</v>
      </c>
      <c r="C722" t="s">
        <v>34</v>
      </c>
      <c r="D722" t="s">
        <v>40</v>
      </c>
      <c r="E722" t="s">
        <v>17</v>
      </c>
      <c r="F722">
        <v>23.57</v>
      </c>
      <c r="G722" s="1">
        <v>45984</v>
      </c>
      <c r="H722" s="1">
        <v>43020</v>
      </c>
      <c r="I722" t="s">
        <v>2186</v>
      </c>
      <c r="J722" t="s">
        <v>26</v>
      </c>
      <c r="K722">
        <v>3</v>
      </c>
      <c r="L722" t="s">
        <v>27</v>
      </c>
      <c r="M722" s="1">
        <f t="shared" ca="1" si="22"/>
        <v>46204</v>
      </c>
      <c r="N722">
        <f t="shared" ca="1" si="23"/>
        <v>1</v>
      </c>
    </row>
    <row r="723" spans="1:14" x14ac:dyDescent="0.3">
      <c r="A723" t="s">
        <v>2187</v>
      </c>
      <c r="B723" t="s">
        <v>2188</v>
      </c>
      <c r="C723" t="s">
        <v>34</v>
      </c>
      <c r="D723" t="s">
        <v>35</v>
      </c>
      <c r="E723" t="s">
        <v>30</v>
      </c>
      <c r="F723">
        <v>17.62</v>
      </c>
      <c r="G723" s="1">
        <v>45766</v>
      </c>
      <c r="H723" s="1">
        <v>42669</v>
      </c>
      <c r="I723" t="s">
        <v>2189</v>
      </c>
      <c r="J723" t="s">
        <v>94</v>
      </c>
      <c r="K723">
        <v>1</v>
      </c>
      <c r="L723" t="s">
        <v>27</v>
      </c>
      <c r="M723" s="1">
        <f t="shared" ca="1" si="22"/>
        <v>46204</v>
      </c>
      <c r="N723">
        <f t="shared" ca="1" si="23"/>
        <v>1</v>
      </c>
    </row>
    <row r="724" spans="1:14" x14ac:dyDescent="0.3">
      <c r="A724" t="s">
        <v>2190</v>
      </c>
      <c r="B724" t="s">
        <v>2191</v>
      </c>
      <c r="C724" t="s">
        <v>23</v>
      </c>
      <c r="D724" t="s">
        <v>16</v>
      </c>
      <c r="E724" t="s">
        <v>30</v>
      </c>
      <c r="F724">
        <v>17.22</v>
      </c>
      <c r="G724" s="1">
        <v>45918</v>
      </c>
      <c r="H724" s="1">
        <v>43155</v>
      </c>
      <c r="I724" t="s">
        <v>2192</v>
      </c>
      <c r="J724" t="s">
        <v>75</v>
      </c>
      <c r="K724">
        <v>2</v>
      </c>
      <c r="L724" t="s">
        <v>27</v>
      </c>
      <c r="M724" s="1">
        <f t="shared" ca="1" si="22"/>
        <v>46204</v>
      </c>
      <c r="N724">
        <f t="shared" ca="1" si="23"/>
        <v>1</v>
      </c>
    </row>
    <row r="725" spans="1:14" x14ac:dyDescent="0.3">
      <c r="A725" t="s">
        <v>2193</v>
      </c>
      <c r="B725" t="s">
        <v>2194</v>
      </c>
      <c r="C725" t="s">
        <v>64</v>
      </c>
      <c r="D725" t="s">
        <v>35</v>
      </c>
      <c r="E725" t="s">
        <v>17</v>
      </c>
      <c r="F725">
        <v>30.07</v>
      </c>
      <c r="G725" s="1">
        <v>46042</v>
      </c>
      <c r="H725" s="1">
        <v>45196</v>
      </c>
      <c r="I725" t="s">
        <v>2195</v>
      </c>
      <c r="J725" t="s">
        <v>94</v>
      </c>
      <c r="K725">
        <v>3</v>
      </c>
      <c r="L725" t="s">
        <v>20</v>
      </c>
      <c r="M725" s="1">
        <f t="shared" ca="1" si="22"/>
        <v>46204</v>
      </c>
      <c r="N725">
        <f t="shared" ca="1" si="23"/>
        <v>1</v>
      </c>
    </row>
    <row r="726" spans="1:14" x14ac:dyDescent="0.3">
      <c r="A726" t="s">
        <v>2196</v>
      </c>
      <c r="B726" t="s">
        <v>2197</v>
      </c>
      <c r="C726" t="s">
        <v>34</v>
      </c>
      <c r="D726" t="s">
        <v>16</v>
      </c>
      <c r="E726" t="s">
        <v>52</v>
      </c>
      <c r="F726">
        <v>8.59</v>
      </c>
      <c r="G726" s="1">
        <v>46003</v>
      </c>
      <c r="H726" s="1">
        <v>44295</v>
      </c>
      <c r="I726" t="s">
        <v>2198</v>
      </c>
      <c r="J726" t="s">
        <v>66</v>
      </c>
      <c r="K726">
        <v>1</v>
      </c>
      <c r="L726" t="s">
        <v>20</v>
      </c>
      <c r="M726" s="1">
        <f t="shared" ca="1" si="22"/>
        <v>46204</v>
      </c>
      <c r="N726">
        <f t="shared" ca="1" si="23"/>
        <v>1</v>
      </c>
    </row>
    <row r="727" spans="1:14" x14ac:dyDescent="0.3">
      <c r="A727" t="s">
        <v>2199</v>
      </c>
      <c r="B727" t="s">
        <v>2200</v>
      </c>
      <c r="C727" t="s">
        <v>64</v>
      </c>
      <c r="D727" t="s">
        <v>56</v>
      </c>
      <c r="E727" t="s">
        <v>24</v>
      </c>
      <c r="F727">
        <v>27.21</v>
      </c>
      <c r="G727" s="1">
        <v>45948</v>
      </c>
      <c r="H727" s="1">
        <v>45438</v>
      </c>
      <c r="I727" t="s">
        <v>2201</v>
      </c>
      <c r="J727" t="s">
        <v>66</v>
      </c>
      <c r="K727">
        <v>4</v>
      </c>
      <c r="L727" t="s">
        <v>20</v>
      </c>
      <c r="M727" s="1">
        <f t="shared" ca="1" si="22"/>
        <v>46204</v>
      </c>
      <c r="N727">
        <f t="shared" ca="1" si="23"/>
        <v>1</v>
      </c>
    </row>
    <row r="728" spans="1:14" x14ac:dyDescent="0.3">
      <c r="A728" t="s">
        <v>2202</v>
      </c>
      <c r="B728" t="s">
        <v>2203</v>
      </c>
      <c r="C728" t="s">
        <v>23</v>
      </c>
      <c r="D728" t="s">
        <v>56</v>
      </c>
      <c r="E728" t="s">
        <v>24</v>
      </c>
      <c r="F728">
        <v>38.979999999999997</v>
      </c>
      <c r="G728" s="1">
        <v>46061</v>
      </c>
      <c r="H728" s="1">
        <v>42607</v>
      </c>
      <c r="I728" t="s">
        <v>2204</v>
      </c>
      <c r="J728" t="s">
        <v>75</v>
      </c>
      <c r="K728">
        <v>3</v>
      </c>
      <c r="L728" t="s">
        <v>20</v>
      </c>
      <c r="M728" s="1">
        <f t="shared" ca="1" si="22"/>
        <v>46204</v>
      </c>
      <c r="N728">
        <f t="shared" ca="1" si="23"/>
        <v>1</v>
      </c>
    </row>
    <row r="729" spans="1:14" x14ac:dyDescent="0.3">
      <c r="A729" t="s">
        <v>2205</v>
      </c>
      <c r="B729" t="s">
        <v>2206</v>
      </c>
      <c r="C729" t="s">
        <v>60</v>
      </c>
      <c r="D729" t="s">
        <v>56</v>
      </c>
      <c r="E729" t="s">
        <v>30</v>
      </c>
      <c r="F729">
        <v>3.32</v>
      </c>
      <c r="G729" s="1">
        <v>45898</v>
      </c>
      <c r="H729" s="1">
        <v>43753</v>
      </c>
      <c r="I729" t="s">
        <v>2207</v>
      </c>
      <c r="J729" t="s">
        <v>75</v>
      </c>
      <c r="K729">
        <v>5</v>
      </c>
      <c r="L729" t="s">
        <v>20</v>
      </c>
      <c r="M729" s="1">
        <f t="shared" ca="1" si="22"/>
        <v>46204</v>
      </c>
      <c r="N729">
        <f t="shared" ca="1" si="23"/>
        <v>1</v>
      </c>
    </row>
    <row r="730" spans="1:14" x14ac:dyDescent="0.3">
      <c r="A730" t="s">
        <v>2208</v>
      </c>
      <c r="B730" t="s">
        <v>2209</v>
      </c>
      <c r="C730" t="s">
        <v>23</v>
      </c>
      <c r="D730" t="s">
        <v>69</v>
      </c>
      <c r="E730" t="s">
        <v>24</v>
      </c>
      <c r="F730">
        <v>7.48</v>
      </c>
      <c r="G730" s="1">
        <v>45859</v>
      </c>
      <c r="H730" s="1">
        <v>44365</v>
      </c>
      <c r="I730" t="s">
        <v>2210</v>
      </c>
      <c r="J730" t="s">
        <v>66</v>
      </c>
      <c r="K730">
        <v>5</v>
      </c>
      <c r="L730" t="s">
        <v>27</v>
      </c>
      <c r="M730" s="1">
        <f t="shared" ca="1" si="22"/>
        <v>46204</v>
      </c>
      <c r="N730">
        <f t="shared" ca="1" si="23"/>
        <v>1</v>
      </c>
    </row>
    <row r="731" spans="1:14" x14ac:dyDescent="0.3">
      <c r="A731" t="s">
        <v>2211</v>
      </c>
      <c r="B731" t="s">
        <v>2212</v>
      </c>
      <c r="C731" t="s">
        <v>34</v>
      </c>
      <c r="D731" t="s">
        <v>56</v>
      </c>
      <c r="E731" t="s">
        <v>30</v>
      </c>
      <c r="F731">
        <v>20.25</v>
      </c>
      <c r="G731" s="1">
        <v>45889</v>
      </c>
      <c r="H731" s="1">
        <v>42827</v>
      </c>
      <c r="I731" t="s">
        <v>2213</v>
      </c>
      <c r="J731" t="s">
        <v>26</v>
      </c>
      <c r="K731">
        <v>1</v>
      </c>
      <c r="L731" t="s">
        <v>27</v>
      </c>
      <c r="M731" s="1">
        <f t="shared" ca="1" si="22"/>
        <v>46204</v>
      </c>
      <c r="N731">
        <f t="shared" ca="1" si="23"/>
        <v>1</v>
      </c>
    </row>
    <row r="732" spans="1:14" x14ac:dyDescent="0.3">
      <c r="A732" t="s">
        <v>2214</v>
      </c>
      <c r="B732" t="s">
        <v>2215</v>
      </c>
      <c r="C732" t="s">
        <v>124</v>
      </c>
      <c r="D732" t="s">
        <v>56</v>
      </c>
      <c r="E732" t="s">
        <v>17</v>
      </c>
      <c r="F732">
        <v>23.71</v>
      </c>
      <c r="G732" s="1">
        <v>45962</v>
      </c>
      <c r="H732" s="1">
        <v>44716</v>
      </c>
      <c r="I732" t="s">
        <v>2216</v>
      </c>
      <c r="J732" t="s">
        <v>26</v>
      </c>
      <c r="K732">
        <v>3</v>
      </c>
      <c r="L732" t="s">
        <v>27</v>
      </c>
      <c r="M732" s="1">
        <f t="shared" ca="1" si="22"/>
        <v>46204</v>
      </c>
      <c r="N732">
        <f t="shared" ca="1" si="23"/>
        <v>1</v>
      </c>
    </row>
    <row r="733" spans="1:14" x14ac:dyDescent="0.3">
      <c r="A733" t="s">
        <v>2217</v>
      </c>
      <c r="B733" t="s">
        <v>2218</v>
      </c>
      <c r="C733" t="s">
        <v>15</v>
      </c>
      <c r="D733" t="s">
        <v>73</v>
      </c>
      <c r="E733" t="s">
        <v>52</v>
      </c>
      <c r="F733">
        <v>26.11</v>
      </c>
      <c r="G733" s="1">
        <v>45853</v>
      </c>
      <c r="H733" s="1">
        <v>42706</v>
      </c>
      <c r="I733" t="s">
        <v>2219</v>
      </c>
      <c r="J733" t="s">
        <v>19</v>
      </c>
      <c r="K733">
        <v>4</v>
      </c>
      <c r="L733" t="s">
        <v>27</v>
      </c>
      <c r="M733" s="1">
        <f t="shared" ca="1" si="22"/>
        <v>46204</v>
      </c>
      <c r="N733">
        <f t="shared" ca="1" si="23"/>
        <v>1</v>
      </c>
    </row>
    <row r="734" spans="1:14" x14ac:dyDescent="0.3">
      <c r="A734" t="s">
        <v>2220</v>
      </c>
      <c r="B734" t="s">
        <v>2221</v>
      </c>
      <c r="C734" t="s">
        <v>15</v>
      </c>
      <c r="D734" t="s">
        <v>40</v>
      </c>
      <c r="E734" t="s">
        <v>17</v>
      </c>
      <c r="F734">
        <v>23.75</v>
      </c>
      <c r="G734" s="1">
        <v>45879</v>
      </c>
      <c r="H734" s="1">
        <v>42858</v>
      </c>
      <c r="I734" t="s">
        <v>2222</v>
      </c>
      <c r="J734" t="s">
        <v>75</v>
      </c>
      <c r="K734">
        <v>2</v>
      </c>
      <c r="L734" t="s">
        <v>27</v>
      </c>
      <c r="M734" s="1">
        <f t="shared" ca="1" si="22"/>
        <v>46204</v>
      </c>
      <c r="N734">
        <f t="shared" ca="1" si="23"/>
        <v>1</v>
      </c>
    </row>
    <row r="735" spans="1:14" x14ac:dyDescent="0.3">
      <c r="A735" t="s">
        <v>2223</v>
      </c>
      <c r="B735" t="s">
        <v>2224</v>
      </c>
      <c r="C735" t="s">
        <v>60</v>
      </c>
      <c r="D735" t="s">
        <v>69</v>
      </c>
      <c r="E735" t="s">
        <v>24</v>
      </c>
      <c r="F735">
        <v>8.89</v>
      </c>
      <c r="G735" s="1">
        <v>45764</v>
      </c>
      <c r="H735" s="1">
        <v>45451</v>
      </c>
      <c r="I735" t="s">
        <v>2225</v>
      </c>
      <c r="J735" t="s">
        <v>26</v>
      </c>
      <c r="K735">
        <v>2</v>
      </c>
      <c r="L735" t="s">
        <v>20</v>
      </c>
      <c r="M735" s="1">
        <f t="shared" ca="1" si="22"/>
        <v>46204</v>
      </c>
      <c r="N735">
        <f t="shared" ca="1" si="23"/>
        <v>1</v>
      </c>
    </row>
    <row r="736" spans="1:14" x14ac:dyDescent="0.3">
      <c r="A736" t="s">
        <v>2226</v>
      </c>
      <c r="B736" t="s">
        <v>2227</v>
      </c>
      <c r="C736" t="s">
        <v>60</v>
      </c>
      <c r="D736" t="s">
        <v>73</v>
      </c>
      <c r="E736" t="s">
        <v>24</v>
      </c>
      <c r="F736">
        <v>14.58</v>
      </c>
      <c r="G736" s="1">
        <v>45771</v>
      </c>
      <c r="H736" s="1">
        <v>42323</v>
      </c>
      <c r="I736" t="s">
        <v>2228</v>
      </c>
      <c r="J736" t="s">
        <v>94</v>
      </c>
      <c r="K736">
        <v>3</v>
      </c>
      <c r="L736" t="s">
        <v>27</v>
      </c>
      <c r="M736" s="1">
        <f t="shared" ca="1" si="22"/>
        <v>46204</v>
      </c>
      <c r="N736">
        <f t="shared" ca="1" si="23"/>
        <v>1</v>
      </c>
    </row>
    <row r="737" spans="1:14" x14ac:dyDescent="0.3">
      <c r="A737" t="s">
        <v>2229</v>
      </c>
      <c r="B737" t="s">
        <v>2230</v>
      </c>
      <c r="C737" t="s">
        <v>34</v>
      </c>
      <c r="D737" t="s">
        <v>69</v>
      </c>
      <c r="E737" t="s">
        <v>30</v>
      </c>
      <c r="F737">
        <v>15.98</v>
      </c>
      <c r="G737" s="1">
        <v>45989</v>
      </c>
      <c r="H737" s="1">
        <v>42596</v>
      </c>
      <c r="I737" t="s">
        <v>2231</v>
      </c>
      <c r="J737" t="s">
        <v>37</v>
      </c>
      <c r="K737">
        <v>5</v>
      </c>
      <c r="L737" t="s">
        <v>20</v>
      </c>
      <c r="M737" s="1">
        <f t="shared" ca="1" si="22"/>
        <v>46204</v>
      </c>
      <c r="N737">
        <f t="shared" ca="1" si="23"/>
        <v>1</v>
      </c>
    </row>
    <row r="738" spans="1:14" x14ac:dyDescent="0.3">
      <c r="A738" t="s">
        <v>2232</v>
      </c>
      <c r="B738" t="s">
        <v>2233</v>
      </c>
      <c r="C738" t="s">
        <v>47</v>
      </c>
      <c r="D738" t="s">
        <v>16</v>
      </c>
      <c r="E738" t="s">
        <v>52</v>
      </c>
      <c r="F738">
        <v>19.16</v>
      </c>
      <c r="G738" s="1">
        <v>45739</v>
      </c>
      <c r="H738" s="1">
        <v>44314</v>
      </c>
      <c r="I738" t="s">
        <v>2234</v>
      </c>
      <c r="J738" t="s">
        <v>66</v>
      </c>
      <c r="K738">
        <v>1</v>
      </c>
      <c r="L738" t="s">
        <v>20</v>
      </c>
      <c r="M738" s="1">
        <f t="shared" ca="1" si="22"/>
        <v>46204</v>
      </c>
      <c r="N738">
        <f t="shared" ca="1" si="23"/>
        <v>1</v>
      </c>
    </row>
    <row r="739" spans="1:14" x14ac:dyDescent="0.3">
      <c r="A739" t="s">
        <v>2235</v>
      </c>
      <c r="B739" t="s">
        <v>2236</v>
      </c>
      <c r="C739" t="s">
        <v>64</v>
      </c>
      <c r="D739" t="s">
        <v>35</v>
      </c>
      <c r="E739" t="s">
        <v>52</v>
      </c>
      <c r="F739">
        <v>14.55</v>
      </c>
      <c r="G739" s="1">
        <v>45987</v>
      </c>
      <c r="H739" s="1">
        <v>43087</v>
      </c>
      <c r="I739" t="s">
        <v>2237</v>
      </c>
      <c r="J739" t="s">
        <v>19</v>
      </c>
      <c r="K739">
        <v>2</v>
      </c>
      <c r="L739" t="s">
        <v>27</v>
      </c>
      <c r="M739" s="1">
        <f t="shared" ca="1" si="22"/>
        <v>46204</v>
      </c>
      <c r="N739">
        <f t="shared" ca="1" si="23"/>
        <v>1</v>
      </c>
    </row>
    <row r="740" spans="1:14" x14ac:dyDescent="0.3">
      <c r="A740" t="s">
        <v>2238</v>
      </c>
      <c r="B740" t="s">
        <v>2239</v>
      </c>
      <c r="C740" t="s">
        <v>23</v>
      </c>
      <c r="D740" t="s">
        <v>35</v>
      </c>
      <c r="E740" t="s">
        <v>52</v>
      </c>
      <c r="F740">
        <v>1.47</v>
      </c>
      <c r="G740" s="1">
        <v>45837</v>
      </c>
      <c r="H740" s="1">
        <v>42954</v>
      </c>
      <c r="I740" t="s">
        <v>2240</v>
      </c>
      <c r="J740" t="s">
        <v>75</v>
      </c>
      <c r="K740">
        <v>1</v>
      </c>
      <c r="L740" t="s">
        <v>20</v>
      </c>
      <c r="M740" s="1">
        <f t="shared" ca="1" si="22"/>
        <v>46204</v>
      </c>
      <c r="N740">
        <f t="shared" ca="1" si="23"/>
        <v>1</v>
      </c>
    </row>
    <row r="741" spans="1:14" x14ac:dyDescent="0.3">
      <c r="A741" t="s">
        <v>2241</v>
      </c>
      <c r="B741" t="s">
        <v>2242</v>
      </c>
      <c r="C741" t="s">
        <v>47</v>
      </c>
      <c r="D741" t="s">
        <v>73</v>
      </c>
      <c r="E741" t="s">
        <v>24</v>
      </c>
      <c r="F741">
        <v>39.46</v>
      </c>
      <c r="G741" s="1">
        <v>45974</v>
      </c>
      <c r="H741" s="1">
        <v>44889</v>
      </c>
      <c r="I741" t="s">
        <v>2243</v>
      </c>
      <c r="J741" t="s">
        <v>26</v>
      </c>
      <c r="K741">
        <v>2</v>
      </c>
      <c r="L741" t="s">
        <v>20</v>
      </c>
      <c r="M741" s="1">
        <f t="shared" ca="1" si="22"/>
        <v>46204</v>
      </c>
      <c r="N741">
        <f t="shared" ca="1" si="23"/>
        <v>1</v>
      </c>
    </row>
    <row r="742" spans="1:14" x14ac:dyDescent="0.3">
      <c r="A742" t="s">
        <v>2244</v>
      </c>
      <c r="B742" t="s">
        <v>2245</v>
      </c>
      <c r="C742" t="s">
        <v>124</v>
      </c>
      <c r="D742" t="s">
        <v>16</v>
      </c>
      <c r="E742" t="s">
        <v>30</v>
      </c>
      <c r="F742">
        <v>9.02</v>
      </c>
      <c r="G742" s="1">
        <v>45891</v>
      </c>
      <c r="H742" s="1">
        <v>43699</v>
      </c>
      <c r="I742" t="s">
        <v>2246</v>
      </c>
      <c r="J742" t="s">
        <v>75</v>
      </c>
      <c r="K742">
        <v>1</v>
      </c>
      <c r="L742" t="s">
        <v>27</v>
      </c>
      <c r="M742" s="1">
        <f t="shared" ca="1" si="22"/>
        <v>46204</v>
      </c>
      <c r="N742">
        <f t="shared" ca="1" si="23"/>
        <v>1</v>
      </c>
    </row>
    <row r="743" spans="1:14" x14ac:dyDescent="0.3">
      <c r="A743" t="s">
        <v>2247</v>
      </c>
      <c r="B743" t="s">
        <v>2248</v>
      </c>
      <c r="C743" t="s">
        <v>15</v>
      </c>
      <c r="D743" t="s">
        <v>35</v>
      </c>
      <c r="E743" t="s">
        <v>17</v>
      </c>
      <c r="F743">
        <v>22.74</v>
      </c>
      <c r="G743" s="1">
        <v>45899</v>
      </c>
      <c r="H743" s="1">
        <v>44861</v>
      </c>
      <c r="I743" t="s">
        <v>2249</v>
      </c>
      <c r="J743" t="s">
        <v>75</v>
      </c>
      <c r="K743">
        <v>1</v>
      </c>
      <c r="L743" t="s">
        <v>27</v>
      </c>
      <c r="M743" s="1">
        <f t="shared" ca="1" si="22"/>
        <v>46204</v>
      </c>
      <c r="N743">
        <f t="shared" ca="1" si="23"/>
        <v>1</v>
      </c>
    </row>
    <row r="744" spans="1:14" x14ac:dyDescent="0.3">
      <c r="A744" t="s">
        <v>2250</v>
      </c>
      <c r="B744" t="s">
        <v>2251</v>
      </c>
      <c r="C744" t="s">
        <v>124</v>
      </c>
      <c r="D744" t="s">
        <v>35</v>
      </c>
      <c r="E744" t="s">
        <v>52</v>
      </c>
      <c r="F744">
        <v>2.94</v>
      </c>
      <c r="G744" s="1">
        <v>45962</v>
      </c>
      <c r="H744" s="1">
        <v>42470</v>
      </c>
      <c r="I744" t="s">
        <v>2252</v>
      </c>
      <c r="J744" t="s">
        <v>66</v>
      </c>
      <c r="K744">
        <v>5</v>
      </c>
      <c r="L744" t="s">
        <v>27</v>
      </c>
      <c r="M744" s="1">
        <f t="shared" ca="1" si="22"/>
        <v>46204</v>
      </c>
      <c r="N744">
        <f t="shared" ca="1" si="23"/>
        <v>1</v>
      </c>
    </row>
    <row r="745" spans="1:14" x14ac:dyDescent="0.3">
      <c r="A745" t="s">
        <v>2253</v>
      </c>
      <c r="B745" t="s">
        <v>2254</v>
      </c>
      <c r="C745" t="s">
        <v>124</v>
      </c>
      <c r="D745" t="s">
        <v>73</v>
      </c>
      <c r="E745" t="s">
        <v>24</v>
      </c>
      <c r="F745">
        <v>20.77</v>
      </c>
      <c r="G745" s="1">
        <v>45853</v>
      </c>
      <c r="H745" s="1">
        <v>44244</v>
      </c>
      <c r="I745" t="s">
        <v>2255</v>
      </c>
      <c r="J745" t="s">
        <v>49</v>
      </c>
      <c r="K745">
        <v>2</v>
      </c>
      <c r="L745" t="s">
        <v>20</v>
      </c>
      <c r="M745" s="1">
        <f t="shared" ca="1" si="22"/>
        <v>46204</v>
      </c>
      <c r="N745">
        <f t="shared" ca="1" si="23"/>
        <v>1</v>
      </c>
    </row>
    <row r="746" spans="1:14" x14ac:dyDescent="0.3">
      <c r="A746" t="s">
        <v>2256</v>
      </c>
      <c r="B746" t="s">
        <v>2257</v>
      </c>
      <c r="C746" t="s">
        <v>23</v>
      </c>
      <c r="D746" t="s">
        <v>56</v>
      </c>
      <c r="E746" t="s">
        <v>17</v>
      </c>
      <c r="F746">
        <v>25.29</v>
      </c>
      <c r="G746" s="1">
        <v>45862</v>
      </c>
      <c r="H746" s="1">
        <v>44447</v>
      </c>
      <c r="I746" t="s">
        <v>2258</v>
      </c>
      <c r="J746" t="s">
        <v>26</v>
      </c>
      <c r="K746">
        <v>4</v>
      </c>
      <c r="L746" t="s">
        <v>27</v>
      </c>
      <c r="M746" s="1">
        <f t="shared" ca="1" si="22"/>
        <v>46204</v>
      </c>
      <c r="N746">
        <f t="shared" ca="1" si="23"/>
        <v>1</v>
      </c>
    </row>
    <row r="747" spans="1:14" x14ac:dyDescent="0.3">
      <c r="A747" t="s">
        <v>2259</v>
      </c>
      <c r="B747" t="s">
        <v>2260</v>
      </c>
      <c r="C747" t="s">
        <v>60</v>
      </c>
      <c r="D747" t="s">
        <v>69</v>
      </c>
      <c r="E747" t="s">
        <v>52</v>
      </c>
      <c r="F747">
        <v>13.95</v>
      </c>
      <c r="G747" s="1">
        <v>45967</v>
      </c>
      <c r="H747" s="1">
        <v>44628</v>
      </c>
      <c r="I747" t="s">
        <v>2261</v>
      </c>
      <c r="J747" t="s">
        <v>37</v>
      </c>
      <c r="K747">
        <v>1</v>
      </c>
      <c r="L747" t="s">
        <v>20</v>
      </c>
      <c r="M747" s="1">
        <f t="shared" ca="1" si="22"/>
        <v>46204</v>
      </c>
      <c r="N747">
        <f t="shared" ca="1" si="23"/>
        <v>1</v>
      </c>
    </row>
    <row r="748" spans="1:14" x14ac:dyDescent="0.3">
      <c r="A748" t="s">
        <v>2262</v>
      </c>
      <c r="B748" t="s">
        <v>2263</v>
      </c>
      <c r="C748" t="s">
        <v>34</v>
      </c>
      <c r="D748" t="s">
        <v>16</v>
      </c>
      <c r="E748" t="s">
        <v>30</v>
      </c>
      <c r="F748">
        <v>6.15</v>
      </c>
      <c r="G748" s="1">
        <v>45778</v>
      </c>
      <c r="H748" s="1">
        <v>44130</v>
      </c>
      <c r="I748" t="s">
        <v>2264</v>
      </c>
      <c r="J748" t="s">
        <v>75</v>
      </c>
      <c r="K748">
        <v>1</v>
      </c>
      <c r="L748" t="s">
        <v>27</v>
      </c>
      <c r="M748" s="1">
        <f t="shared" ca="1" si="22"/>
        <v>46204</v>
      </c>
      <c r="N748">
        <f t="shared" ca="1" si="23"/>
        <v>1</v>
      </c>
    </row>
    <row r="749" spans="1:14" x14ac:dyDescent="0.3">
      <c r="A749" t="s">
        <v>2265</v>
      </c>
      <c r="B749" t="s">
        <v>2266</v>
      </c>
      <c r="C749" t="s">
        <v>60</v>
      </c>
      <c r="D749" t="s">
        <v>56</v>
      </c>
      <c r="E749" t="s">
        <v>52</v>
      </c>
      <c r="F749">
        <v>34.6</v>
      </c>
      <c r="G749" s="1">
        <v>45905</v>
      </c>
      <c r="H749" s="1">
        <v>44943</v>
      </c>
      <c r="I749" t="s">
        <v>2267</v>
      </c>
      <c r="J749" t="s">
        <v>66</v>
      </c>
      <c r="K749">
        <v>5</v>
      </c>
      <c r="L749" t="s">
        <v>20</v>
      </c>
      <c r="M749" s="1">
        <f t="shared" ca="1" si="22"/>
        <v>46204</v>
      </c>
      <c r="N749">
        <f t="shared" ca="1" si="23"/>
        <v>1</v>
      </c>
    </row>
    <row r="750" spans="1:14" x14ac:dyDescent="0.3">
      <c r="A750" t="s">
        <v>2268</v>
      </c>
      <c r="B750" t="s">
        <v>2269</v>
      </c>
      <c r="C750" t="s">
        <v>23</v>
      </c>
      <c r="D750" t="s">
        <v>73</v>
      </c>
      <c r="E750" t="s">
        <v>52</v>
      </c>
      <c r="F750">
        <v>11.59</v>
      </c>
      <c r="G750" s="1">
        <v>46036</v>
      </c>
      <c r="H750" s="1">
        <v>44502</v>
      </c>
      <c r="I750" t="s">
        <v>2270</v>
      </c>
      <c r="J750" t="s">
        <v>66</v>
      </c>
      <c r="K750">
        <v>1</v>
      </c>
      <c r="L750" t="s">
        <v>27</v>
      </c>
      <c r="M750" s="1">
        <f t="shared" ca="1" si="22"/>
        <v>46204</v>
      </c>
      <c r="N750">
        <f t="shared" ca="1" si="23"/>
        <v>1</v>
      </c>
    </row>
    <row r="751" spans="1:14" x14ac:dyDescent="0.3">
      <c r="A751" t="s">
        <v>2271</v>
      </c>
      <c r="B751" t="s">
        <v>2272</v>
      </c>
      <c r="C751" t="s">
        <v>60</v>
      </c>
      <c r="D751" t="s">
        <v>69</v>
      </c>
      <c r="E751" t="s">
        <v>52</v>
      </c>
      <c r="F751">
        <v>1.29</v>
      </c>
      <c r="G751" s="1">
        <v>45932</v>
      </c>
      <c r="H751" s="1">
        <v>45477</v>
      </c>
      <c r="I751" t="s">
        <v>2273</v>
      </c>
      <c r="J751" t="s">
        <v>94</v>
      </c>
      <c r="K751">
        <v>2</v>
      </c>
      <c r="L751" t="s">
        <v>27</v>
      </c>
      <c r="M751" s="1">
        <f t="shared" ca="1" si="22"/>
        <v>46204</v>
      </c>
      <c r="N751">
        <f t="shared" ca="1" si="23"/>
        <v>1</v>
      </c>
    </row>
    <row r="752" spans="1:14" x14ac:dyDescent="0.3">
      <c r="A752" t="s">
        <v>2274</v>
      </c>
      <c r="B752" t="s">
        <v>2275</v>
      </c>
      <c r="C752" t="s">
        <v>34</v>
      </c>
      <c r="D752" t="s">
        <v>40</v>
      </c>
      <c r="E752" t="s">
        <v>24</v>
      </c>
      <c r="F752">
        <v>14.63</v>
      </c>
      <c r="G752" s="1">
        <v>45835</v>
      </c>
      <c r="H752" s="1">
        <v>44553</v>
      </c>
      <c r="I752" t="s">
        <v>2276</v>
      </c>
      <c r="J752" t="s">
        <v>75</v>
      </c>
      <c r="K752">
        <v>5</v>
      </c>
      <c r="L752" t="s">
        <v>27</v>
      </c>
      <c r="M752" s="1">
        <f t="shared" ca="1" si="22"/>
        <v>46204</v>
      </c>
      <c r="N752">
        <f t="shared" ca="1" si="23"/>
        <v>1</v>
      </c>
    </row>
    <row r="753" spans="1:14" x14ac:dyDescent="0.3">
      <c r="A753" t="s">
        <v>2277</v>
      </c>
      <c r="B753" t="s">
        <v>2278</v>
      </c>
      <c r="C753" t="s">
        <v>124</v>
      </c>
      <c r="D753" t="s">
        <v>73</v>
      </c>
      <c r="E753" t="s">
        <v>17</v>
      </c>
      <c r="F753">
        <v>26.16</v>
      </c>
      <c r="G753" s="1">
        <v>45717</v>
      </c>
      <c r="H753" s="1">
        <v>43247</v>
      </c>
      <c r="I753" t="s">
        <v>2279</v>
      </c>
      <c r="J753" t="s">
        <v>94</v>
      </c>
      <c r="K753">
        <v>2</v>
      </c>
      <c r="L753" t="s">
        <v>20</v>
      </c>
      <c r="M753" s="1">
        <f t="shared" ca="1" si="22"/>
        <v>46204</v>
      </c>
      <c r="N753">
        <f t="shared" ca="1" si="23"/>
        <v>1</v>
      </c>
    </row>
    <row r="754" spans="1:14" x14ac:dyDescent="0.3">
      <c r="A754" t="s">
        <v>2280</v>
      </c>
      <c r="B754" t="s">
        <v>2281</v>
      </c>
      <c r="C754" t="s">
        <v>64</v>
      </c>
      <c r="D754" t="s">
        <v>56</v>
      </c>
      <c r="E754" t="s">
        <v>24</v>
      </c>
      <c r="F754">
        <v>29.04</v>
      </c>
      <c r="G754" s="1">
        <v>45832</v>
      </c>
      <c r="H754" s="1">
        <v>44732</v>
      </c>
      <c r="I754" t="s">
        <v>2282</v>
      </c>
      <c r="J754" t="s">
        <v>75</v>
      </c>
      <c r="K754">
        <v>2</v>
      </c>
      <c r="L754" t="s">
        <v>20</v>
      </c>
      <c r="M754" s="1">
        <f t="shared" ca="1" si="22"/>
        <v>46204</v>
      </c>
      <c r="N754">
        <f t="shared" ca="1" si="23"/>
        <v>1</v>
      </c>
    </row>
    <row r="755" spans="1:14" x14ac:dyDescent="0.3">
      <c r="A755" t="s">
        <v>2283</v>
      </c>
      <c r="B755" t="s">
        <v>2284</v>
      </c>
      <c r="C755" t="s">
        <v>60</v>
      </c>
      <c r="D755" t="s">
        <v>69</v>
      </c>
      <c r="E755" t="s">
        <v>24</v>
      </c>
      <c r="F755">
        <v>34.78</v>
      </c>
      <c r="G755" s="1">
        <v>45711</v>
      </c>
      <c r="H755" s="1">
        <v>42766</v>
      </c>
      <c r="I755" t="s">
        <v>2285</v>
      </c>
      <c r="J755" t="s">
        <v>37</v>
      </c>
      <c r="K755">
        <v>3</v>
      </c>
      <c r="L755" t="s">
        <v>20</v>
      </c>
      <c r="M755" s="1">
        <f t="shared" ca="1" si="22"/>
        <v>46204</v>
      </c>
      <c r="N755">
        <f t="shared" ca="1" si="23"/>
        <v>1</v>
      </c>
    </row>
    <row r="756" spans="1:14" x14ac:dyDescent="0.3">
      <c r="A756" t="s">
        <v>2286</v>
      </c>
      <c r="B756" t="s">
        <v>2287</v>
      </c>
      <c r="C756" t="s">
        <v>64</v>
      </c>
      <c r="D756" t="s">
        <v>69</v>
      </c>
      <c r="E756" t="s">
        <v>17</v>
      </c>
      <c r="F756">
        <v>24.58</v>
      </c>
      <c r="G756" s="1">
        <v>46004</v>
      </c>
      <c r="H756" s="1">
        <v>42932</v>
      </c>
      <c r="I756" t="s">
        <v>2288</v>
      </c>
      <c r="J756" t="s">
        <v>26</v>
      </c>
      <c r="K756">
        <v>4</v>
      </c>
      <c r="L756" t="s">
        <v>27</v>
      </c>
      <c r="M756" s="1">
        <f t="shared" ca="1" si="22"/>
        <v>46204</v>
      </c>
      <c r="N756">
        <f t="shared" ca="1" si="23"/>
        <v>1</v>
      </c>
    </row>
    <row r="757" spans="1:14" x14ac:dyDescent="0.3">
      <c r="A757" t="s">
        <v>2289</v>
      </c>
      <c r="B757" t="s">
        <v>2290</v>
      </c>
      <c r="C757" t="s">
        <v>15</v>
      </c>
      <c r="D757" t="s">
        <v>35</v>
      </c>
      <c r="E757" t="s">
        <v>30</v>
      </c>
      <c r="F757">
        <v>10.57</v>
      </c>
      <c r="G757" s="1">
        <v>46020</v>
      </c>
      <c r="H757" s="1">
        <v>42420</v>
      </c>
      <c r="I757" t="s">
        <v>2291</v>
      </c>
      <c r="J757" t="s">
        <v>49</v>
      </c>
      <c r="K757">
        <v>2</v>
      </c>
      <c r="L757" t="s">
        <v>27</v>
      </c>
      <c r="M757" s="1">
        <f t="shared" ca="1" si="22"/>
        <v>46204</v>
      </c>
      <c r="N757">
        <f t="shared" ca="1" si="23"/>
        <v>1</v>
      </c>
    </row>
    <row r="758" spans="1:14" x14ac:dyDescent="0.3">
      <c r="A758" t="s">
        <v>2292</v>
      </c>
      <c r="B758" t="s">
        <v>2293</v>
      </c>
      <c r="C758" t="s">
        <v>124</v>
      </c>
      <c r="D758" t="s">
        <v>73</v>
      </c>
      <c r="E758" t="s">
        <v>30</v>
      </c>
      <c r="F758">
        <v>33.03</v>
      </c>
      <c r="G758" s="1">
        <v>45711</v>
      </c>
      <c r="H758" s="1">
        <v>43733</v>
      </c>
      <c r="I758" t="s">
        <v>2294</v>
      </c>
      <c r="J758" t="s">
        <v>49</v>
      </c>
      <c r="K758">
        <v>3</v>
      </c>
      <c r="L758" t="s">
        <v>20</v>
      </c>
      <c r="M758" s="1">
        <f t="shared" ca="1" si="22"/>
        <v>46204</v>
      </c>
      <c r="N758">
        <f t="shared" ca="1" si="23"/>
        <v>1</v>
      </c>
    </row>
    <row r="759" spans="1:14" x14ac:dyDescent="0.3">
      <c r="A759" t="s">
        <v>2295</v>
      </c>
      <c r="B759" t="s">
        <v>2296</v>
      </c>
      <c r="C759" t="s">
        <v>47</v>
      </c>
      <c r="D759" t="s">
        <v>16</v>
      </c>
      <c r="E759" t="s">
        <v>24</v>
      </c>
      <c r="F759">
        <v>29.69</v>
      </c>
      <c r="G759" s="1">
        <v>45793</v>
      </c>
      <c r="H759" s="1">
        <v>43772</v>
      </c>
      <c r="I759" t="s">
        <v>2297</v>
      </c>
      <c r="J759" t="s">
        <v>49</v>
      </c>
      <c r="K759">
        <v>5</v>
      </c>
      <c r="L759" t="s">
        <v>20</v>
      </c>
      <c r="M759" s="1">
        <f t="shared" ca="1" si="22"/>
        <v>46204</v>
      </c>
      <c r="N759">
        <f t="shared" ca="1" si="23"/>
        <v>1</v>
      </c>
    </row>
    <row r="760" spans="1:14" x14ac:dyDescent="0.3">
      <c r="A760" t="s">
        <v>2298</v>
      </c>
      <c r="B760" t="s">
        <v>2299</v>
      </c>
      <c r="C760" t="s">
        <v>60</v>
      </c>
      <c r="D760" t="s">
        <v>69</v>
      </c>
      <c r="E760" t="s">
        <v>30</v>
      </c>
      <c r="F760">
        <v>8.48</v>
      </c>
      <c r="G760" s="1">
        <v>45718</v>
      </c>
      <c r="H760" s="1">
        <v>44434</v>
      </c>
      <c r="I760" t="s">
        <v>2300</v>
      </c>
      <c r="J760" t="s">
        <v>37</v>
      </c>
      <c r="K760">
        <v>3</v>
      </c>
      <c r="L760" t="s">
        <v>20</v>
      </c>
      <c r="M760" s="1">
        <f t="shared" ca="1" si="22"/>
        <v>46204</v>
      </c>
      <c r="N760">
        <f t="shared" ca="1" si="23"/>
        <v>1</v>
      </c>
    </row>
    <row r="761" spans="1:14" x14ac:dyDescent="0.3">
      <c r="A761" t="s">
        <v>2301</v>
      </c>
      <c r="B761" t="s">
        <v>2302</v>
      </c>
      <c r="C761" t="s">
        <v>47</v>
      </c>
      <c r="D761" t="s">
        <v>56</v>
      </c>
      <c r="E761" t="s">
        <v>24</v>
      </c>
      <c r="F761">
        <v>36.61</v>
      </c>
      <c r="G761" s="1">
        <v>45771</v>
      </c>
      <c r="H761" s="1">
        <v>43208</v>
      </c>
      <c r="I761" t="s">
        <v>2303</v>
      </c>
      <c r="J761" t="s">
        <v>49</v>
      </c>
      <c r="K761">
        <v>1</v>
      </c>
      <c r="L761" t="s">
        <v>27</v>
      </c>
      <c r="M761" s="1">
        <f t="shared" ca="1" si="22"/>
        <v>46204</v>
      </c>
      <c r="N761">
        <f t="shared" ca="1" si="23"/>
        <v>1</v>
      </c>
    </row>
    <row r="762" spans="1:14" x14ac:dyDescent="0.3">
      <c r="A762" t="s">
        <v>2304</v>
      </c>
      <c r="B762" t="s">
        <v>2305</v>
      </c>
      <c r="C762" t="s">
        <v>23</v>
      </c>
      <c r="D762" t="s">
        <v>73</v>
      </c>
      <c r="E762" t="s">
        <v>24</v>
      </c>
      <c r="F762">
        <v>13.27</v>
      </c>
      <c r="G762" s="1">
        <v>45741</v>
      </c>
      <c r="H762" s="1">
        <v>43842</v>
      </c>
      <c r="I762" t="s">
        <v>2306</v>
      </c>
      <c r="J762" t="s">
        <v>19</v>
      </c>
      <c r="K762">
        <v>3</v>
      </c>
      <c r="L762" t="s">
        <v>20</v>
      </c>
      <c r="M762" s="1">
        <f t="shared" ca="1" si="22"/>
        <v>46204</v>
      </c>
      <c r="N762">
        <f t="shared" ca="1" si="23"/>
        <v>1</v>
      </c>
    </row>
    <row r="763" spans="1:14" x14ac:dyDescent="0.3">
      <c r="A763" t="s">
        <v>2307</v>
      </c>
      <c r="B763" t="s">
        <v>2308</v>
      </c>
      <c r="C763" t="s">
        <v>64</v>
      </c>
      <c r="D763" t="s">
        <v>40</v>
      </c>
      <c r="E763" t="s">
        <v>24</v>
      </c>
      <c r="F763">
        <v>31.49</v>
      </c>
      <c r="G763" s="1">
        <v>45810</v>
      </c>
      <c r="H763" s="1">
        <v>45157</v>
      </c>
      <c r="I763" t="s">
        <v>2309</v>
      </c>
      <c r="J763" t="s">
        <v>66</v>
      </c>
      <c r="K763">
        <v>5</v>
      </c>
      <c r="L763" t="s">
        <v>20</v>
      </c>
      <c r="M763" s="1">
        <f t="shared" ca="1" si="22"/>
        <v>46204</v>
      </c>
      <c r="N763">
        <f t="shared" ca="1" si="23"/>
        <v>1</v>
      </c>
    </row>
    <row r="764" spans="1:14" x14ac:dyDescent="0.3">
      <c r="A764" t="s">
        <v>2310</v>
      </c>
      <c r="B764" t="s">
        <v>2311</v>
      </c>
      <c r="C764" t="s">
        <v>47</v>
      </c>
      <c r="D764" t="s">
        <v>56</v>
      </c>
      <c r="E764" t="s">
        <v>30</v>
      </c>
      <c r="F764">
        <v>29.58</v>
      </c>
      <c r="G764" s="1">
        <v>45736</v>
      </c>
      <c r="H764" s="1">
        <v>42745</v>
      </c>
      <c r="I764" t="s">
        <v>2312</v>
      </c>
      <c r="J764" t="s">
        <v>94</v>
      </c>
      <c r="K764">
        <v>5</v>
      </c>
      <c r="L764" t="s">
        <v>27</v>
      </c>
      <c r="M764" s="1">
        <f t="shared" ca="1" si="22"/>
        <v>46204</v>
      </c>
      <c r="N764">
        <f t="shared" ca="1" si="23"/>
        <v>1</v>
      </c>
    </row>
    <row r="765" spans="1:14" x14ac:dyDescent="0.3">
      <c r="A765" t="s">
        <v>2313</v>
      </c>
      <c r="B765" t="s">
        <v>2314</v>
      </c>
      <c r="C765" t="s">
        <v>60</v>
      </c>
      <c r="D765" t="s">
        <v>16</v>
      </c>
      <c r="E765" t="s">
        <v>24</v>
      </c>
      <c r="F765">
        <v>11.18</v>
      </c>
      <c r="G765" s="1">
        <v>45946</v>
      </c>
      <c r="H765" s="1">
        <v>43085</v>
      </c>
      <c r="I765" t="s">
        <v>2315</v>
      </c>
      <c r="J765" t="s">
        <v>37</v>
      </c>
      <c r="K765">
        <v>4</v>
      </c>
      <c r="L765" t="s">
        <v>20</v>
      </c>
      <c r="M765" s="1">
        <f t="shared" ca="1" si="22"/>
        <v>46204</v>
      </c>
      <c r="N765">
        <f t="shared" ca="1" si="23"/>
        <v>1</v>
      </c>
    </row>
    <row r="766" spans="1:14" x14ac:dyDescent="0.3">
      <c r="A766" t="s">
        <v>2316</v>
      </c>
      <c r="B766" t="s">
        <v>1126</v>
      </c>
      <c r="C766" t="s">
        <v>15</v>
      </c>
      <c r="D766" t="s">
        <v>40</v>
      </c>
      <c r="E766" t="s">
        <v>30</v>
      </c>
      <c r="F766">
        <v>19.77</v>
      </c>
      <c r="G766" s="1">
        <v>45865</v>
      </c>
      <c r="H766" s="1">
        <v>45353</v>
      </c>
      <c r="I766" t="s">
        <v>2317</v>
      </c>
      <c r="J766" t="s">
        <v>37</v>
      </c>
      <c r="K766">
        <v>5</v>
      </c>
      <c r="L766" t="s">
        <v>20</v>
      </c>
      <c r="M766" s="1">
        <f t="shared" ca="1" si="22"/>
        <v>46204</v>
      </c>
      <c r="N766">
        <f t="shared" ca="1" si="23"/>
        <v>1</v>
      </c>
    </row>
    <row r="767" spans="1:14" x14ac:dyDescent="0.3">
      <c r="A767" t="s">
        <v>2318</v>
      </c>
      <c r="B767" t="s">
        <v>2319</v>
      </c>
      <c r="C767" t="s">
        <v>64</v>
      </c>
      <c r="D767" t="s">
        <v>35</v>
      </c>
      <c r="E767" t="s">
        <v>30</v>
      </c>
      <c r="F767">
        <v>9.43</v>
      </c>
      <c r="G767" s="1">
        <v>45845</v>
      </c>
      <c r="H767" s="1">
        <v>43974</v>
      </c>
      <c r="I767" t="s">
        <v>2320</v>
      </c>
      <c r="J767" t="s">
        <v>75</v>
      </c>
      <c r="K767">
        <v>1</v>
      </c>
      <c r="L767" t="s">
        <v>20</v>
      </c>
      <c r="M767" s="1">
        <f t="shared" ca="1" si="22"/>
        <v>46204</v>
      </c>
      <c r="N767">
        <f t="shared" ca="1" si="23"/>
        <v>1</v>
      </c>
    </row>
    <row r="768" spans="1:14" x14ac:dyDescent="0.3">
      <c r="A768" t="s">
        <v>2321</v>
      </c>
      <c r="B768" t="s">
        <v>2322</v>
      </c>
      <c r="C768" t="s">
        <v>124</v>
      </c>
      <c r="D768" t="s">
        <v>56</v>
      </c>
      <c r="E768" t="s">
        <v>17</v>
      </c>
      <c r="F768">
        <v>8.52</v>
      </c>
      <c r="G768" s="1">
        <v>46005</v>
      </c>
      <c r="H768" s="1">
        <v>44890</v>
      </c>
      <c r="I768" t="s">
        <v>2323</v>
      </c>
      <c r="J768" t="s">
        <v>94</v>
      </c>
      <c r="K768">
        <v>1</v>
      </c>
      <c r="L768" t="s">
        <v>20</v>
      </c>
      <c r="M768" s="1">
        <f t="shared" ca="1" si="22"/>
        <v>46204</v>
      </c>
      <c r="N768">
        <f t="shared" ca="1" si="23"/>
        <v>1</v>
      </c>
    </row>
    <row r="769" spans="1:14" x14ac:dyDescent="0.3">
      <c r="A769" t="s">
        <v>2324</v>
      </c>
      <c r="B769" t="s">
        <v>2325</v>
      </c>
      <c r="C769" t="s">
        <v>15</v>
      </c>
      <c r="D769" t="s">
        <v>16</v>
      </c>
      <c r="E769" t="s">
        <v>52</v>
      </c>
      <c r="F769">
        <v>17.77</v>
      </c>
      <c r="G769" s="1">
        <v>45987</v>
      </c>
      <c r="H769" s="1">
        <v>43235</v>
      </c>
      <c r="I769" t="s">
        <v>2326</v>
      </c>
      <c r="J769" t="s">
        <v>66</v>
      </c>
      <c r="K769">
        <v>1</v>
      </c>
      <c r="L769" t="s">
        <v>27</v>
      </c>
      <c r="M769" s="1">
        <f t="shared" ca="1" si="22"/>
        <v>46204</v>
      </c>
      <c r="N769">
        <f t="shared" ca="1" si="23"/>
        <v>1</v>
      </c>
    </row>
    <row r="770" spans="1:14" x14ac:dyDescent="0.3">
      <c r="A770" t="s">
        <v>2327</v>
      </c>
      <c r="B770" t="s">
        <v>2328</v>
      </c>
      <c r="C770" t="s">
        <v>15</v>
      </c>
      <c r="D770" t="s">
        <v>40</v>
      </c>
      <c r="E770" t="s">
        <v>30</v>
      </c>
      <c r="F770">
        <v>8.9700000000000006</v>
      </c>
      <c r="G770" s="1">
        <v>45892</v>
      </c>
      <c r="H770" s="1">
        <v>42430</v>
      </c>
      <c r="I770" t="s">
        <v>2329</v>
      </c>
      <c r="J770" t="s">
        <v>49</v>
      </c>
      <c r="K770">
        <v>1</v>
      </c>
      <c r="L770" t="s">
        <v>20</v>
      </c>
      <c r="M770" s="1">
        <f t="shared" ca="1" si="22"/>
        <v>46204</v>
      </c>
      <c r="N770">
        <f t="shared" ca="1" si="23"/>
        <v>1</v>
      </c>
    </row>
    <row r="771" spans="1:14" x14ac:dyDescent="0.3">
      <c r="A771" t="s">
        <v>2330</v>
      </c>
      <c r="B771" t="s">
        <v>2331</v>
      </c>
      <c r="C771" t="s">
        <v>34</v>
      </c>
      <c r="D771" t="s">
        <v>69</v>
      </c>
      <c r="E771" t="s">
        <v>24</v>
      </c>
      <c r="F771">
        <v>24.95</v>
      </c>
      <c r="G771" s="1">
        <v>45997</v>
      </c>
      <c r="H771" s="1">
        <v>42929</v>
      </c>
      <c r="I771" t="s">
        <v>2332</v>
      </c>
      <c r="J771" t="s">
        <v>37</v>
      </c>
      <c r="K771">
        <v>3</v>
      </c>
      <c r="L771" t="s">
        <v>27</v>
      </c>
      <c r="M771" s="1">
        <f t="shared" ref="M771:M834" ca="1" si="24">TODAY()</f>
        <v>46204</v>
      </c>
      <c r="N771">
        <f t="shared" ref="N771:N834" ca="1" si="25">IF(G771&lt;M771,1,0)</f>
        <v>1</v>
      </c>
    </row>
    <row r="772" spans="1:14" x14ac:dyDescent="0.3">
      <c r="A772" t="s">
        <v>2333</v>
      </c>
      <c r="B772" t="s">
        <v>2334</v>
      </c>
      <c r="C772" t="s">
        <v>47</v>
      </c>
      <c r="D772" t="s">
        <v>56</v>
      </c>
      <c r="E772" t="s">
        <v>17</v>
      </c>
      <c r="F772">
        <v>35.479999999999997</v>
      </c>
      <c r="G772" s="1">
        <v>45946</v>
      </c>
      <c r="H772" s="1">
        <v>43807</v>
      </c>
      <c r="I772" t="s">
        <v>2335</v>
      </c>
      <c r="J772" t="s">
        <v>75</v>
      </c>
      <c r="K772">
        <v>1</v>
      </c>
      <c r="L772" t="s">
        <v>20</v>
      </c>
      <c r="M772" s="1">
        <f t="shared" ca="1" si="24"/>
        <v>46204</v>
      </c>
      <c r="N772">
        <f t="shared" ca="1" si="25"/>
        <v>1</v>
      </c>
    </row>
    <row r="773" spans="1:14" x14ac:dyDescent="0.3">
      <c r="A773" t="s">
        <v>2336</v>
      </c>
      <c r="B773" t="s">
        <v>2337</v>
      </c>
      <c r="C773" t="s">
        <v>23</v>
      </c>
      <c r="D773" t="s">
        <v>40</v>
      </c>
      <c r="E773" t="s">
        <v>52</v>
      </c>
      <c r="F773">
        <v>20.92</v>
      </c>
      <c r="G773" s="1">
        <v>46067</v>
      </c>
      <c r="H773" s="1">
        <v>45232</v>
      </c>
      <c r="I773" t="s">
        <v>2338</v>
      </c>
      <c r="J773" t="s">
        <v>94</v>
      </c>
      <c r="K773">
        <v>2</v>
      </c>
      <c r="L773" t="s">
        <v>27</v>
      </c>
      <c r="M773" s="1">
        <f t="shared" ca="1" si="24"/>
        <v>46204</v>
      </c>
      <c r="N773">
        <f t="shared" ca="1" si="25"/>
        <v>1</v>
      </c>
    </row>
    <row r="774" spans="1:14" x14ac:dyDescent="0.3">
      <c r="A774" t="s">
        <v>2339</v>
      </c>
      <c r="B774" t="s">
        <v>2340</v>
      </c>
      <c r="C774" t="s">
        <v>23</v>
      </c>
      <c r="D774" t="s">
        <v>73</v>
      </c>
      <c r="E774" t="s">
        <v>24</v>
      </c>
      <c r="F774">
        <v>32.36</v>
      </c>
      <c r="G774" s="1">
        <v>46017</v>
      </c>
      <c r="H774" s="1">
        <v>42451</v>
      </c>
      <c r="I774" t="s">
        <v>2341</v>
      </c>
      <c r="J774" t="s">
        <v>49</v>
      </c>
      <c r="K774">
        <v>4</v>
      </c>
      <c r="L774" t="s">
        <v>20</v>
      </c>
      <c r="M774" s="1">
        <f t="shared" ca="1" si="24"/>
        <v>46204</v>
      </c>
      <c r="N774">
        <f t="shared" ca="1" si="25"/>
        <v>1</v>
      </c>
    </row>
    <row r="775" spans="1:14" x14ac:dyDescent="0.3">
      <c r="A775" t="s">
        <v>2342</v>
      </c>
      <c r="B775" t="s">
        <v>2343</v>
      </c>
      <c r="C775" t="s">
        <v>124</v>
      </c>
      <c r="D775" t="s">
        <v>56</v>
      </c>
      <c r="E775" t="s">
        <v>30</v>
      </c>
      <c r="F775">
        <v>22.1</v>
      </c>
      <c r="G775" s="1">
        <v>46025</v>
      </c>
      <c r="H775" s="1">
        <v>44284</v>
      </c>
      <c r="I775" t="s">
        <v>2344</v>
      </c>
      <c r="J775" t="s">
        <v>94</v>
      </c>
      <c r="K775">
        <v>1</v>
      </c>
      <c r="L775" t="s">
        <v>27</v>
      </c>
      <c r="M775" s="1">
        <f t="shared" ca="1" si="24"/>
        <v>46204</v>
      </c>
      <c r="N775">
        <f t="shared" ca="1" si="25"/>
        <v>1</v>
      </c>
    </row>
    <row r="776" spans="1:14" x14ac:dyDescent="0.3">
      <c r="A776" t="s">
        <v>2345</v>
      </c>
      <c r="B776" t="s">
        <v>2346</v>
      </c>
      <c r="C776" t="s">
        <v>23</v>
      </c>
      <c r="D776" t="s">
        <v>35</v>
      </c>
      <c r="E776" t="s">
        <v>24</v>
      </c>
      <c r="F776">
        <v>18.03</v>
      </c>
      <c r="G776" s="1">
        <v>45787</v>
      </c>
      <c r="H776" s="1">
        <v>42989</v>
      </c>
      <c r="I776" t="s">
        <v>2347</v>
      </c>
      <c r="J776" t="s">
        <v>37</v>
      </c>
      <c r="K776">
        <v>4</v>
      </c>
      <c r="L776" t="s">
        <v>27</v>
      </c>
      <c r="M776" s="1">
        <f t="shared" ca="1" si="24"/>
        <v>46204</v>
      </c>
      <c r="N776">
        <f t="shared" ca="1" si="25"/>
        <v>1</v>
      </c>
    </row>
    <row r="777" spans="1:14" x14ac:dyDescent="0.3">
      <c r="A777" t="s">
        <v>2348</v>
      </c>
      <c r="B777" t="s">
        <v>2349</v>
      </c>
      <c r="C777" t="s">
        <v>23</v>
      </c>
      <c r="D777" t="s">
        <v>16</v>
      </c>
      <c r="E777" t="s">
        <v>24</v>
      </c>
      <c r="F777">
        <v>31.81</v>
      </c>
      <c r="G777" s="1">
        <v>45778</v>
      </c>
      <c r="H777" s="1">
        <v>44895</v>
      </c>
      <c r="I777" t="s">
        <v>2350</v>
      </c>
      <c r="J777" t="s">
        <v>37</v>
      </c>
      <c r="K777">
        <v>5</v>
      </c>
      <c r="L777" t="s">
        <v>27</v>
      </c>
      <c r="M777" s="1">
        <f t="shared" ca="1" si="24"/>
        <v>46204</v>
      </c>
      <c r="N777">
        <f t="shared" ca="1" si="25"/>
        <v>1</v>
      </c>
    </row>
    <row r="778" spans="1:14" x14ac:dyDescent="0.3">
      <c r="A778" t="s">
        <v>2351</v>
      </c>
      <c r="B778" t="s">
        <v>2224</v>
      </c>
      <c r="C778" t="s">
        <v>124</v>
      </c>
      <c r="D778" t="s">
        <v>16</v>
      </c>
      <c r="E778" t="s">
        <v>30</v>
      </c>
      <c r="F778">
        <v>12.84</v>
      </c>
      <c r="G778" s="1">
        <v>45751</v>
      </c>
      <c r="H778" s="1">
        <v>43374</v>
      </c>
      <c r="I778" t="s">
        <v>2352</v>
      </c>
      <c r="J778" t="s">
        <v>49</v>
      </c>
      <c r="K778">
        <v>2</v>
      </c>
      <c r="L778" t="s">
        <v>20</v>
      </c>
      <c r="M778" s="1">
        <f t="shared" ca="1" si="24"/>
        <v>46204</v>
      </c>
      <c r="N778">
        <f t="shared" ca="1" si="25"/>
        <v>1</v>
      </c>
    </row>
    <row r="779" spans="1:14" x14ac:dyDescent="0.3">
      <c r="A779" t="s">
        <v>2353</v>
      </c>
      <c r="B779" t="s">
        <v>2354</v>
      </c>
      <c r="C779" t="s">
        <v>64</v>
      </c>
      <c r="D779" t="s">
        <v>16</v>
      </c>
      <c r="E779" t="s">
        <v>24</v>
      </c>
      <c r="F779">
        <v>11.42</v>
      </c>
      <c r="G779" s="1">
        <v>45937</v>
      </c>
      <c r="H779" s="1">
        <v>42917</v>
      </c>
      <c r="I779" t="s">
        <v>2355</v>
      </c>
      <c r="J779" t="s">
        <v>75</v>
      </c>
      <c r="K779">
        <v>2</v>
      </c>
      <c r="L779" t="s">
        <v>27</v>
      </c>
      <c r="M779" s="1">
        <f t="shared" ca="1" si="24"/>
        <v>46204</v>
      </c>
      <c r="N779">
        <f t="shared" ca="1" si="25"/>
        <v>1</v>
      </c>
    </row>
    <row r="780" spans="1:14" x14ac:dyDescent="0.3">
      <c r="A780" t="s">
        <v>2356</v>
      </c>
      <c r="B780" t="s">
        <v>776</v>
      </c>
      <c r="C780" t="s">
        <v>47</v>
      </c>
      <c r="D780" t="s">
        <v>35</v>
      </c>
      <c r="E780" t="s">
        <v>52</v>
      </c>
      <c r="F780">
        <v>9.86</v>
      </c>
      <c r="G780" s="1">
        <v>45876</v>
      </c>
      <c r="H780" s="1">
        <v>42663</v>
      </c>
      <c r="I780" t="s">
        <v>2357</v>
      </c>
      <c r="J780" t="s">
        <v>75</v>
      </c>
      <c r="K780">
        <v>2</v>
      </c>
      <c r="L780" t="s">
        <v>27</v>
      </c>
      <c r="M780" s="1">
        <f t="shared" ca="1" si="24"/>
        <v>46204</v>
      </c>
      <c r="N780">
        <f t="shared" ca="1" si="25"/>
        <v>1</v>
      </c>
    </row>
    <row r="781" spans="1:14" x14ac:dyDescent="0.3">
      <c r="A781" t="s">
        <v>2358</v>
      </c>
      <c r="B781" t="s">
        <v>2359</v>
      </c>
      <c r="C781" t="s">
        <v>15</v>
      </c>
      <c r="D781" t="s">
        <v>73</v>
      </c>
      <c r="E781" t="s">
        <v>52</v>
      </c>
      <c r="F781">
        <v>17.07</v>
      </c>
      <c r="G781" s="1">
        <v>45812</v>
      </c>
      <c r="H781" s="1">
        <v>43192</v>
      </c>
      <c r="I781" t="s">
        <v>2360</v>
      </c>
      <c r="J781" t="s">
        <v>49</v>
      </c>
      <c r="K781">
        <v>4</v>
      </c>
      <c r="L781" t="s">
        <v>27</v>
      </c>
      <c r="M781" s="1">
        <f t="shared" ca="1" si="24"/>
        <v>46204</v>
      </c>
      <c r="N781">
        <f t="shared" ca="1" si="25"/>
        <v>1</v>
      </c>
    </row>
    <row r="782" spans="1:14" x14ac:dyDescent="0.3">
      <c r="A782" t="s">
        <v>2361</v>
      </c>
      <c r="B782" t="s">
        <v>2362</v>
      </c>
      <c r="C782" t="s">
        <v>23</v>
      </c>
      <c r="D782" t="s">
        <v>69</v>
      </c>
      <c r="E782" t="s">
        <v>17</v>
      </c>
      <c r="F782">
        <v>18.399999999999999</v>
      </c>
      <c r="G782" s="1">
        <v>45897</v>
      </c>
      <c r="H782" s="1">
        <v>43951</v>
      </c>
      <c r="I782" t="s">
        <v>2363</v>
      </c>
      <c r="J782" t="s">
        <v>19</v>
      </c>
      <c r="K782">
        <v>3</v>
      </c>
      <c r="L782" t="s">
        <v>27</v>
      </c>
      <c r="M782" s="1">
        <f t="shared" ca="1" si="24"/>
        <v>46204</v>
      </c>
      <c r="N782">
        <f t="shared" ca="1" si="25"/>
        <v>1</v>
      </c>
    </row>
    <row r="783" spans="1:14" x14ac:dyDescent="0.3">
      <c r="A783" t="s">
        <v>2364</v>
      </c>
      <c r="B783" t="s">
        <v>2365</v>
      </c>
      <c r="C783" t="s">
        <v>15</v>
      </c>
      <c r="D783" t="s">
        <v>16</v>
      </c>
      <c r="E783" t="s">
        <v>52</v>
      </c>
      <c r="F783">
        <v>23.74</v>
      </c>
      <c r="G783" s="1">
        <v>45813</v>
      </c>
      <c r="H783" s="1">
        <v>43058</v>
      </c>
      <c r="I783" t="s">
        <v>2366</v>
      </c>
      <c r="J783" t="s">
        <v>26</v>
      </c>
      <c r="K783">
        <v>5</v>
      </c>
      <c r="L783" t="s">
        <v>20</v>
      </c>
      <c r="M783" s="1">
        <f t="shared" ca="1" si="24"/>
        <v>46204</v>
      </c>
      <c r="N783">
        <f t="shared" ca="1" si="25"/>
        <v>1</v>
      </c>
    </row>
    <row r="784" spans="1:14" x14ac:dyDescent="0.3">
      <c r="A784" t="s">
        <v>2367</v>
      </c>
      <c r="B784" t="s">
        <v>2368</v>
      </c>
      <c r="C784" t="s">
        <v>34</v>
      </c>
      <c r="D784" t="s">
        <v>73</v>
      </c>
      <c r="E784" t="s">
        <v>24</v>
      </c>
      <c r="F784">
        <v>14.79</v>
      </c>
      <c r="G784" s="1">
        <v>45719</v>
      </c>
      <c r="H784" s="1">
        <v>43355</v>
      </c>
      <c r="I784" t="s">
        <v>2369</v>
      </c>
      <c r="J784" t="s">
        <v>66</v>
      </c>
      <c r="K784">
        <v>3</v>
      </c>
      <c r="L784" t="s">
        <v>20</v>
      </c>
      <c r="M784" s="1">
        <f t="shared" ca="1" si="24"/>
        <v>46204</v>
      </c>
      <c r="N784">
        <f t="shared" ca="1" si="25"/>
        <v>1</v>
      </c>
    </row>
    <row r="785" spans="1:14" x14ac:dyDescent="0.3">
      <c r="A785" t="s">
        <v>2370</v>
      </c>
      <c r="B785" t="s">
        <v>2371</v>
      </c>
      <c r="C785" t="s">
        <v>34</v>
      </c>
      <c r="D785" t="s">
        <v>73</v>
      </c>
      <c r="E785" t="s">
        <v>30</v>
      </c>
      <c r="F785">
        <v>23.3</v>
      </c>
      <c r="G785" s="1">
        <v>46013</v>
      </c>
      <c r="H785" s="1">
        <v>44177</v>
      </c>
      <c r="I785" t="s">
        <v>1977</v>
      </c>
      <c r="J785" t="s">
        <v>94</v>
      </c>
      <c r="K785">
        <v>4</v>
      </c>
      <c r="L785" t="s">
        <v>20</v>
      </c>
      <c r="M785" s="1">
        <f t="shared" ca="1" si="24"/>
        <v>46204</v>
      </c>
      <c r="N785">
        <f t="shared" ca="1" si="25"/>
        <v>1</v>
      </c>
    </row>
    <row r="786" spans="1:14" x14ac:dyDescent="0.3">
      <c r="A786" t="s">
        <v>2372</v>
      </c>
      <c r="B786" t="s">
        <v>2373</v>
      </c>
      <c r="C786" t="s">
        <v>15</v>
      </c>
      <c r="D786" t="s">
        <v>73</v>
      </c>
      <c r="E786" t="s">
        <v>17</v>
      </c>
      <c r="F786">
        <v>30.19</v>
      </c>
      <c r="G786" s="1">
        <v>45950</v>
      </c>
      <c r="H786" s="1">
        <v>43304</v>
      </c>
      <c r="I786" t="s">
        <v>2374</v>
      </c>
      <c r="J786" t="s">
        <v>66</v>
      </c>
      <c r="K786">
        <v>4</v>
      </c>
      <c r="L786" t="s">
        <v>27</v>
      </c>
      <c r="M786" s="1">
        <f t="shared" ca="1" si="24"/>
        <v>46204</v>
      </c>
      <c r="N786">
        <f t="shared" ca="1" si="25"/>
        <v>1</v>
      </c>
    </row>
    <row r="787" spans="1:14" x14ac:dyDescent="0.3">
      <c r="A787" t="s">
        <v>2375</v>
      </c>
      <c r="B787" t="s">
        <v>2376</v>
      </c>
      <c r="C787" t="s">
        <v>60</v>
      </c>
      <c r="D787" t="s">
        <v>40</v>
      </c>
      <c r="E787" t="s">
        <v>24</v>
      </c>
      <c r="F787">
        <v>23.84</v>
      </c>
      <c r="G787" s="1">
        <v>46013</v>
      </c>
      <c r="H787" s="1">
        <v>43053</v>
      </c>
      <c r="I787" t="s">
        <v>2377</v>
      </c>
      <c r="J787" t="s">
        <v>66</v>
      </c>
      <c r="K787">
        <v>4</v>
      </c>
      <c r="L787" t="s">
        <v>27</v>
      </c>
      <c r="M787" s="1">
        <f t="shared" ca="1" si="24"/>
        <v>46204</v>
      </c>
      <c r="N787">
        <f t="shared" ca="1" si="25"/>
        <v>1</v>
      </c>
    </row>
    <row r="788" spans="1:14" x14ac:dyDescent="0.3">
      <c r="A788" t="s">
        <v>2378</v>
      </c>
      <c r="B788" t="s">
        <v>2379</v>
      </c>
      <c r="C788" t="s">
        <v>47</v>
      </c>
      <c r="D788" t="s">
        <v>16</v>
      </c>
      <c r="E788" t="s">
        <v>17</v>
      </c>
      <c r="F788">
        <v>11.78</v>
      </c>
      <c r="G788" s="1">
        <v>45945</v>
      </c>
      <c r="H788" s="1">
        <v>43725</v>
      </c>
      <c r="I788" t="s">
        <v>2380</v>
      </c>
      <c r="J788" t="s">
        <v>26</v>
      </c>
      <c r="K788">
        <v>3</v>
      </c>
      <c r="L788" t="s">
        <v>20</v>
      </c>
      <c r="M788" s="1">
        <f t="shared" ca="1" si="24"/>
        <v>46204</v>
      </c>
      <c r="N788">
        <f t="shared" ca="1" si="25"/>
        <v>1</v>
      </c>
    </row>
    <row r="789" spans="1:14" x14ac:dyDescent="0.3">
      <c r="A789" t="s">
        <v>2381</v>
      </c>
      <c r="B789" t="s">
        <v>2382</v>
      </c>
      <c r="C789" t="s">
        <v>47</v>
      </c>
      <c r="D789" t="s">
        <v>73</v>
      </c>
      <c r="E789" t="s">
        <v>30</v>
      </c>
      <c r="F789">
        <v>30.24</v>
      </c>
      <c r="G789" s="1">
        <v>45911</v>
      </c>
      <c r="H789" s="1">
        <v>45170</v>
      </c>
      <c r="I789" t="s">
        <v>2383</v>
      </c>
      <c r="J789" t="s">
        <v>75</v>
      </c>
      <c r="K789">
        <v>2</v>
      </c>
      <c r="L789" t="s">
        <v>20</v>
      </c>
      <c r="M789" s="1">
        <f t="shared" ca="1" si="24"/>
        <v>46204</v>
      </c>
      <c r="N789">
        <f t="shared" ca="1" si="25"/>
        <v>1</v>
      </c>
    </row>
    <row r="790" spans="1:14" x14ac:dyDescent="0.3">
      <c r="A790" t="s">
        <v>2384</v>
      </c>
      <c r="B790" t="s">
        <v>2385</v>
      </c>
      <c r="C790" t="s">
        <v>34</v>
      </c>
      <c r="D790" t="s">
        <v>73</v>
      </c>
      <c r="E790" t="s">
        <v>17</v>
      </c>
      <c r="F790">
        <v>15.89</v>
      </c>
      <c r="G790" s="1">
        <v>45879</v>
      </c>
      <c r="H790" s="1">
        <v>45174</v>
      </c>
      <c r="I790" t="s">
        <v>2386</v>
      </c>
      <c r="J790" t="s">
        <v>49</v>
      </c>
      <c r="K790">
        <v>5</v>
      </c>
      <c r="L790" t="s">
        <v>27</v>
      </c>
      <c r="M790" s="1">
        <f t="shared" ca="1" si="24"/>
        <v>46204</v>
      </c>
      <c r="N790">
        <f t="shared" ca="1" si="25"/>
        <v>1</v>
      </c>
    </row>
    <row r="791" spans="1:14" x14ac:dyDescent="0.3">
      <c r="A791" t="s">
        <v>2387</v>
      </c>
      <c r="B791" t="s">
        <v>2388</v>
      </c>
      <c r="C791" t="s">
        <v>60</v>
      </c>
      <c r="D791" t="s">
        <v>35</v>
      </c>
      <c r="E791" t="s">
        <v>30</v>
      </c>
      <c r="F791">
        <v>13.5</v>
      </c>
      <c r="G791" s="1">
        <v>45856</v>
      </c>
      <c r="H791" s="1">
        <v>44374</v>
      </c>
      <c r="I791" t="s">
        <v>2389</v>
      </c>
      <c r="J791" t="s">
        <v>75</v>
      </c>
      <c r="K791">
        <v>3</v>
      </c>
      <c r="L791" t="s">
        <v>27</v>
      </c>
      <c r="M791" s="1">
        <f t="shared" ca="1" si="24"/>
        <v>46204</v>
      </c>
      <c r="N791">
        <f t="shared" ca="1" si="25"/>
        <v>1</v>
      </c>
    </row>
    <row r="792" spans="1:14" x14ac:dyDescent="0.3">
      <c r="A792" t="s">
        <v>2390</v>
      </c>
      <c r="B792" t="s">
        <v>2391</v>
      </c>
      <c r="C792" t="s">
        <v>23</v>
      </c>
      <c r="D792" t="s">
        <v>40</v>
      </c>
      <c r="E792" t="s">
        <v>30</v>
      </c>
      <c r="F792">
        <v>38.5</v>
      </c>
      <c r="G792" s="1">
        <v>45969</v>
      </c>
      <c r="H792" s="1">
        <v>42660</v>
      </c>
      <c r="I792" t="s">
        <v>2392</v>
      </c>
      <c r="J792" t="s">
        <v>49</v>
      </c>
      <c r="K792">
        <v>2</v>
      </c>
      <c r="L792" t="s">
        <v>27</v>
      </c>
      <c r="M792" s="1">
        <f t="shared" ca="1" si="24"/>
        <v>46204</v>
      </c>
      <c r="N792">
        <f t="shared" ca="1" si="25"/>
        <v>1</v>
      </c>
    </row>
    <row r="793" spans="1:14" x14ac:dyDescent="0.3">
      <c r="A793" t="s">
        <v>2393</v>
      </c>
      <c r="B793" t="s">
        <v>2394</v>
      </c>
      <c r="C793" t="s">
        <v>124</v>
      </c>
      <c r="D793" t="s">
        <v>16</v>
      </c>
      <c r="E793" t="s">
        <v>30</v>
      </c>
      <c r="F793">
        <v>27.77</v>
      </c>
      <c r="G793" s="1">
        <v>45855</v>
      </c>
      <c r="H793" s="1">
        <v>45137</v>
      </c>
      <c r="I793" t="s">
        <v>2395</v>
      </c>
      <c r="J793" t="s">
        <v>37</v>
      </c>
      <c r="K793">
        <v>3</v>
      </c>
      <c r="L793" t="s">
        <v>20</v>
      </c>
      <c r="M793" s="1">
        <f t="shared" ca="1" si="24"/>
        <v>46204</v>
      </c>
      <c r="N793">
        <f t="shared" ca="1" si="25"/>
        <v>1</v>
      </c>
    </row>
    <row r="794" spans="1:14" x14ac:dyDescent="0.3">
      <c r="A794" t="s">
        <v>2396</v>
      </c>
      <c r="B794" t="s">
        <v>2397</v>
      </c>
      <c r="C794" t="s">
        <v>124</v>
      </c>
      <c r="D794" t="s">
        <v>56</v>
      </c>
      <c r="E794" t="s">
        <v>17</v>
      </c>
      <c r="F794">
        <v>19.7</v>
      </c>
      <c r="G794" s="1">
        <v>45799</v>
      </c>
      <c r="H794" s="1">
        <v>44614</v>
      </c>
      <c r="I794" t="s">
        <v>2398</v>
      </c>
      <c r="J794" t="s">
        <v>75</v>
      </c>
      <c r="K794">
        <v>5</v>
      </c>
      <c r="L794" t="s">
        <v>27</v>
      </c>
      <c r="M794" s="1">
        <f t="shared" ca="1" si="24"/>
        <v>46204</v>
      </c>
      <c r="N794">
        <f t="shared" ca="1" si="25"/>
        <v>1</v>
      </c>
    </row>
    <row r="795" spans="1:14" x14ac:dyDescent="0.3">
      <c r="A795" t="s">
        <v>2399</v>
      </c>
      <c r="B795" t="s">
        <v>2400</v>
      </c>
      <c r="C795" t="s">
        <v>15</v>
      </c>
      <c r="D795" t="s">
        <v>56</v>
      </c>
      <c r="E795" t="s">
        <v>17</v>
      </c>
      <c r="F795">
        <v>23.07</v>
      </c>
      <c r="G795" s="1">
        <v>46026</v>
      </c>
      <c r="H795" s="1">
        <v>44326</v>
      </c>
      <c r="I795" t="s">
        <v>2401</v>
      </c>
      <c r="J795" t="s">
        <v>66</v>
      </c>
      <c r="K795">
        <v>3</v>
      </c>
      <c r="L795" t="s">
        <v>27</v>
      </c>
      <c r="M795" s="1">
        <f t="shared" ca="1" si="24"/>
        <v>46204</v>
      </c>
      <c r="N795">
        <f t="shared" ca="1" si="25"/>
        <v>1</v>
      </c>
    </row>
    <row r="796" spans="1:14" x14ac:dyDescent="0.3">
      <c r="A796" t="s">
        <v>2402</v>
      </c>
      <c r="B796" t="s">
        <v>2403</v>
      </c>
      <c r="C796" t="s">
        <v>34</v>
      </c>
      <c r="D796" t="s">
        <v>16</v>
      </c>
      <c r="E796" t="s">
        <v>24</v>
      </c>
      <c r="F796">
        <v>36.25</v>
      </c>
      <c r="G796" s="1">
        <v>45752</v>
      </c>
      <c r="H796" s="1">
        <v>44636</v>
      </c>
      <c r="I796" t="s">
        <v>2404</v>
      </c>
      <c r="J796" t="s">
        <v>19</v>
      </c>
      <c r="K796">
        <v>4</v>
      </c>
      <c r="L796" t="s">
        <v>20</v>
      </c>
      <c r="M796" s="1">
        <f t="shared" ca="1" si="24"/>
        <v>46204</v>
      </c>
      <c r="N796">
        <f t="shared" ca="1" si="25"/>
        <v>1</v>
      </c>
    </row>
    <row r="797" spans="1:14" x14ac:dyDescent="0.3">
      <c r="A797" t="s">
        <v>2405</v>
      </c>
      <c r="B797" t="s">
        <v>2406</v>
      </c>
      <c r="C797" t="s">
        <v>34</v>
      </c>
      <c r="D797" t="s">
        <v>16</v>
      </c>
      <c r="E797" t="s">
        <v>30</v>
      </c>
      <c r="F797">
        <v>24.15</v>
      </c>
      <c r="G797" s="1">
        <v>46051</v>
      </c>
      <c r="H797" s="1">
        <v>43511</v>
      </c>
      <c r="I797" t="s">
        <v>1920</v>
      </c>
      <c r="J797" t="s">
        <v>19</v>
      </c>
      <c r="K797">
        <v>5</v>
      </c>
      <c r="L797" t="s">
        <v>20</v>
      </c>
      <c r="M797" s="1">
        <f t="shared" ca="1" si="24"/>
        <v>46204</v>
      </c>
      <c r="N797">
        <f t="shared" ca="1" si="25"/>
        <v>1</v>
      </c>
    </row>
    <row r="798" spans="1:14" x14ac:dyDescent="0.3">
      <c r="A798" t="s">
        <v>2407</v>
      </c>
      <c r="B798" t="s">
        <v>2408</v>
      </c>
      <c r="C798" t="s">
        <v>64</v>
      </c>
      <c r="D798" t="s">
        <v>69</v>
      </c>
      <c r="E798" t="s">
        <v>17</v>
      </c>
      <c r="F798">
        <v>39.25</v>
      </c>
      <c r="G798" s="1">
        <v>45867</v>
      </c>
      <c r="H798" s="1">
        <v>45138</v>
      </c>
      <c r="I798" t="s">
        <v>2409</v>
      </c>
      <c r="J798" t="s">
        <v>49</v>
      </c>
      <c r="K798">
        <v>1</v>
      </c>
      <c r="L798" t="s">
        <v>27</v>
      </c>
      <c r="M798" s="1">
        <f t="shared" ca="1" si="24"/>
        <v>46204</v>
      </c>
      <c r="N798">
        <f t="shared" ca="1" si="25"/>
        <v>1</v>
      </c>
    </row>
    <row r="799" spans="1:14" x14ac:dyDescent="0.3">
      <c r="A799" t="s">
        <v>2410</v>
      </c>
      <c r="B799" t="s">
        <v>2411</v>
      </c>
      <c r="C799" t="s">
        <v>60</v>
      </c>
      <c r="D799" t="s">
        <v>35</v>
      </c>
      <c r="E799" t="s">
        <v>52</v>
      </c>
      <c r="F799">
        <v>11.13</v>
      </c>
      <c r="G799" s="1">
        <v>45915</v>
      </c>
      <c r="H799" s="1">
        <v>43053</v>
      </c>
      <c r="I799" t="s">
        <v>2412</v>
      </c>
      <c r="J799" t="s">
        <v>66</v>
      </c>
      <c r="K799">
        <v>1</v>
      </c>
      <c r="L799" t="s">
        <v>20</v>
      </c>
      <c r="M799" s="1">
        <f t="shared" ca="1" si="24"/>
        <v>46204</v>
      </c>
      <c r="N799">
        <f t="shared" ca="1" si="25"/>
        <v>1</v>
      </c>
    </row>
    <row r="800" spans="1:14" x14ac:dyDescent="0.3">
      <c r="A800" t="s">
        <v>2413</v>
      </c>
      <c r="B800" t="s">
        <v>2414</v>
      </c>
      <c r="C800" t="s">
        <v>60</v>
      </c>
      <c r="D800" t="s">
        <v>69</v>
      </c>
      <c r="E800" t="s">
        <v>17</v>
      </c>
      <c r="F800">
        <v>35.71</v>
      </c>
      <c r="G800" s="1">
        <v>46019</v>
      </c>
      <c r="H800" s="1">
        <v>44345</v>
      </c>
      <c r="I800" t="s">
        <v>2415</v>
      </c>
      <c r="J800" t="s">
        <v>94</v>
      </c>
      <c r="K800">
        <v>1</v>
      </c>
      <c r="L800" t="s">
        <v>20</v>
      </c>
      <c r="M800" s="1">
        <f t="shared" ca="1" si="24"/>
        <v>46204</v>
      </c>
      <c r="N800">
        <f t="shared" ca="1" si="25"/>
        <v>1</v>
      </c>
    </row>
    <row r="801" spans="1:14" x14ac:dyDescent="0.3">
      <c r="A801" t="s">
        <v>2416</v>
      </c>
      <c r="B801" t="s">
        <v>2417</v>
      </c>
      <c r="C801" t="s">
        <v>15</v>
      </c>
      <c r="D801" t="s">
        <v>16</v>
      </c>
      <c r="E801" t="s">
        <v>24</v>
      </c>
      <c r="F801">
        <v>23.23</v>
      </c>
      <c r="G801" s="1">
        <v>45932</v>
      </c>
      <c r="H801" s="1">
        <v>44343</v>
      </c>
      <c r="I801" t="s">
        <v>2418</v>
      </c>
      <c r="J801" t="s">
        <v>94</v>
      </c>
      <c r="K801">
        <v>5</v>
      </c>
      <c r="L801" t="s">
        <v>20</v>
      </c>
      <c r="M801" s="1">
        <f t="shared" ca="1" si="24"/>
        <v>46204</v>
      </c>
      <c r="N801">
        <f t="shared" ca="1" si="25"/>
        <v>1</v>
      </c>
    </row>
    <row r="802" spans="1:14" x14ac:dyDescent="0.3">
      <c r="A802" t="s">
        <v>2419</v>
      </c>
      <c r="B802" t="s">
        <v>2420</v>
      </c>
      <c r="C802" t="s">
        <v>64</v>
      </c>
      <c r="D802" t="s">
        <v>40</v>
      </c>
      <c r="E802" t="s">
        <v>30</v>
      </c>
      <c r="F802">
        <v>33.04</v>
      </c>
      <c r="G802" s="1">
        <v>45816</v>
      </c>
      <c r="H802" s="1">
        <v>43776</v>
      </c>
      <c r="I802" t="s">
        <v>2421</v>
      </c>
      <c r="J802" t="s">
        <v>19</v>
      </c>
      <c r="K802">
        <v>2</v>
      </c>
      <c r="L802" t="s">
        <v>20</v>
      </c>
      <c r="M802" s="1">
        <f t="shared" ca="1" si="24"/>
        <v>46204</v>
      </c>
      <c r="N802">
        <f t="shared" ca="1" si="25"/>
        <v>1</v>
      </c>
    </row>
    <row r="803" spans="1:14" x14ac:dyDescent="0.3">
      <c r="A803" t="s">
        <v>2422</v>
      </c>
      <c r="B803" t="s">
        <v>2423</v>
      </c>
      <c r="C803" t="s">
        <v>124</v>
      </c>
      <c r="D803" t="s">
        <v>73</v>
      </c>
      <c r="E803" t="s">
        <v>24</v>
      </c>
      <c r="F803">
        <v>23.57</v>
      </c>
      <c r="G803" s="1">
        <v>45780</v>
      </c>
      <c r="H803" s="1">
        <v>44138</v>
      </c>
      <c r="I803" t="s">
        <v>2424</v>
      </c>
      <c r="J803" t="s">
        <v>66</v>
      </c>
      <c r="K803">
        <v>1</v>
      </c>
      <c r="L803" t="s">
        <v>20</v>
      </c>
      <c r="M803" s="1">
        <f t="shared" ca="1" si="24"/>
        <v>46204</v>
      </c>
      <c r="N803">
        <f t="shared" ca="1" si="25"/>
        <v>1</v>
      </c>
    </row>
    <row r="804" spans="1:14" x14ac:dyDescent="0.3">
      <c r="A804" t="s">
        <v>2425</v>
      </c>
      <c r="B804" t="s">
        <v>2426</v>
      </c>
      <c r="C804" t="s">
        <v>23</v>
      </c>
      <c r="D804" t="s">
        <v>16</v>
      </c>
      <c r="E804" t="s">
        <v>30</v>
      </c>
      <c r="F804">
        <v>34.229999999999997</v>
      </c>
      <c r="G804" s="1">
        <v>45793</v>
      </c>
      <c r="H804" s="1">
        <v>44341</v>
      </c>
      <c r="I804" t="s">
        <v>2427</v>
      </c>
      <c r="J804" t="s">
        <v>66</v>
      </c>
      <c r="K804">
        <v>3</v>
      </c>
      <c r="L804" t="s">
        <v>20</v>
      </c>
      <c r="M804" s="1">
        <f t="shared" ca="1" si="24"/>
        <v>46204</v>
      </c>
      <c r="N804">
        <f t="shared" ca="1" si="25"/>
        <v>1</v>
      </c>
    </row>
    <row r="805" spans="1:14" x14ac:dyDescent="0.3">
      <c r="A805" t="s">
        <v>2428</v>
      </c>
      <c r="B805" t="s">
        <v>2429</v>
      </c>
      <c r="C805" t="s">
        <v>64</v>
      </c>
      <c r="D805" t="s">
        <v>35</v>
      </c>
      <c r="E805" t="s">
        <v>17</v>
      </c>
      <c r="F805">
        <v>16.899999999999999</v>
      </c>
      <c r="G805" s="1">
        <v>46035</v>
      </c>
      <c r="H805" s="1">
        <v>43569</v>
      </c>
      <c r="I805" t="s">
        <v>2430</v>
      </c>
      <c r="J805" t="s">
        <v>66</v>
      </c>
      <c r="K805">
        <v>1</v>
      </c>
      <c r="L805" t="s">
        <v>20</v>
      </c>
      <c r="M805" s="1">
        <f t="shared" ca="1" si="24"/>
        <v>46204</v>
      </c>
      <c r="N805">
        <f t="shared" ca="1" si="25"/>
        <v>1</v>
      </c>
    </row>
    <row r="806" spans="1:14" x14ac:dyDescent="0.3">
      <c r="A806" t="s">
        <v>2431</v>
      </c>
      <c r="B806" t="s">
        <v>2432</v>
      </c>
      <c r="C806" t="s">
        <v>64</v>
      </c>
      <c r="D806" t="s">
        <v>73</v>
      </c>
      <c r="E806" t="s">
        <v>24</v>
      </c>
      <c r="F806">
        <v>38.54</v>
      </c>
      <c r="G806" s="1">
        <v>45724</v>
      </c>
      <c r="H806" s="1">
        <v>43172</v>
      </c>
      <c r="I806" t="s">
        <v>2433</v>
      </c>
      <c r="J806" t="s">
        <v>19</v>
      </c>
      <c r="K806">
        <v>4</v>
      </c>
      <c r="L806" t="s">
        <v>20</v>
      </c>
      <c r="M806" s="1">
        <f t="shared" ca="1" si="24"/>
        <v>46204</v>
      </c>
      <c r="N806">
        <f t="shared" ca="1" si="25"/>
        <v>1</v>
      </c>
    </row>
    <row r="807" spans="1:14" x14ac:dyDescent="0.3">
      <c r="A807" t="s">
        <v>2434</v>
      </c>
      <c r="B807" t="s">
        <v>2435</v>
      </c>
      <c r="C807" t="s">
        <v>34</v>
      </c>
      <c r="D807" t="s">
        <v>56</v>
      </c>
      <c r="E807" t="s">
        <v>30</v>
      </c>
      <c r="F807">
        <v>36.1</v>
      </c>
      <c r="G807" s="1">
        <v>45707</v>
      </c>
      <c r="H807" s="1">
        <v>43454</v>
      </c>
      <c r="I807" t="s">
        <v>2436</v>
      </c>
      <c r="J807" t="s">
        <v>37</v>
      </c>
      <c r="K807">
        <v>2</v>
      </c>
      <c r="L807" t="s">
        <v>27</v>
      </c>
      <c r="M807" s="1">
        <f t="shared" ca="1" si="24"/>
        <v>46204</v>
      </c>
      <c r="N807">
        <f t="shared" ca="1" si="25"/>
        <v>1</v>
      </c>
    </row>
    <row r="808" spans="1:14" x14ac:dyDescent="0.3">
      <c r="A808" t="s">
        <v>2437</v>
      </c>
      <c r="B808" t="s">
        <v>2438</v>
      </c>
      <c r="C808" t="s">
        <v>47</v>
      </c>
      <c r="D808" t="s">
        <v>56</v>
      </c>
      <c r="E808" t="s">
        <v>17</v>
      </c>
      <c r="F808">
        <v>35.04</v>
      </c>
      <c r="G808" s="1">
        <v>45985</v>
      </c>
      <c r="H808" s="1">
        <v>44469</v>
      </c>
      <c r="I808" t="s">
        <v>2439</v>
      </c>
      <c r="J808" t="s">
        <v>94</v>
      </c>
      <c r="K808">
        <v>2</v>
      </c>
      <c r="L808" t="s">
        <v>20</v>
      </c>
      <c r="M808" s="1">
        <f t="shared" ca="1" si="24"/>
        <v>46204</v>
      </c>
      <c r="N808">
        <f t="shared" ca="1" si="25"/>
        <v>1</v>
      </c>
    </row>
    <row r="809" spans="1:14" x14ac:dyDescent="0.3">
      <c r="A809" t="s">
        <v>2440</v>
      </c>
      <c r="B809" t="s">
        <v>2441</v>
      </c>
      <c r="C809" t="s">
        <v>15</v>
      </c>
      <c r="D809" t="s">
        <v>69</v>
      </c>
      <c r="E809" t="s">
        <v>30</v>
      </c>
      <c r="F809">
        <v>2.89</v>
      </c>
      <c r="G809" s="1">
        <v>45935</v>
      </c>
      <c r="H809" s="1">
        <v>42394</v>
      </c>
      <c r="I809" t="s">
        <v>2442</v>
      </c>
      <c r="J809" t="s">
        <v>66</v>
      </c>
      <c r="K809">
        <v>3</v>
      </c>
      <c r="L809" t="s">
        <v>20</v>
      </c>
      <c r="M809" s="1">
        <f t="shared" ca="1" si="24"/>
        <v>46204</v>
      </c>
      <c r="N809">
        <f t="shared" ca="1" si="25"/>
        <v>1</v>
      </c>
    </row>
    <row r="810" spans="1:14" x14ac:dyDescent="0.3">
      <c r="A810" t="s">
        <v>2443</v>
      </c>
      <c r="B810" t="s">
        <v>2444</v>
      </c>
      <c r="C810" t="s">
        <v>34</v>
      </c>
      <c r="D810" t="s">
        <v>35</v>
      </c>
      <c r="E810" t="s">
        <v>52</v>
      </c>
      <c r="F810">
        <v>23.7</v>
      </c>
      <c r="G810" s="1">
        <v>45719</v>
      </c>
      <c r="H810" s="1">
        <v>44227</v>
      </c>
      <c r="I810" t="s">
        <v>2445</v>
      </c>
      <c r="J810" t="s">
        <v>49</v>
      </c>
      <c r="K810">
        <v>5</v>
      </c>
      <c r="L810" t="s">
        <v>20</v>
      </c>
      <c r="M810" s="1">
        <f t="shared" ca="1" si="24"/>
        <v>46204</v>
      </c>
      <c r="N810">
        <f t="shared" ca="1" si="25"/>
        <v>1</v>
      </c>
    </row>
    <row r="811" spans="1:14" x14ac:dyDescent="0.3">
      <c r="A811" t="s">
        <v>2446</v>
      </c>
      <c r="B811" t="s">
        <v>2447</v>
      </c>
      <c r="C811" t="s">
        <v>124</v>
      </c>
      <c r="D811" t="s">
        <v>73</v>
      </c>
      <c r="E811" t="s">
        <v>17</v>
      </c>
      <c r="F811">
        <v>24.21</v>
      </c>
      <c r="G811" s="1">
        <v>45972</v>
      </c>
      <c r="H811" s="1">
        <v>44072</v>
      </c>
      <c r="I811" t="s">
        <v>2448</v>
      </c>
      <c r="J811" t="s">
        <v>75</v>
      </c>
      <c r="K811">
        <v>1</v>
      </c>
      <c r="L811" t="s">
        <v>20</v>
      </c>
      <c r="M811" s="1">
        <f t="shared" ca="1" si="24"/>
        <v>46204</v>
      </c>
      <c r="N811">
        <f t="shared" ca="1" si="25"/>
        <v>1</v>
      </c>
    </row>
    <row r="812" spans="1:14" x14ac:dyDescent="0.3">
      <c r="A812" t="s">
        <v>2449</v>
      </c>
      <c r="B812" t="s">
        <v>2450</v>
      </c>
      <c r="C812" t="s">
        <v>64</v>
      </c>
      <c r="D812" t="s">
        <v>56</v>
      </c>
      <c r="E812" t="s">
        <v>52</v>
      </c>
      <c r="F812">
        <v>11.26</v>
      </c>
      <c r="G812" s="1">
        <v>45959</v>
      </c>
      <c r="H812" s="1">
        <v>44291</v>
      </c>
      <c r="I812" t="s">
        <v>2451</v>
      </c>
      <c r="J812" t="s">
        <v>75</v>
      </c>
      <c r="K812">
        <v>3</v>
      </c>
      <c r="L812" t="s">
        <v>20</v>
      </c>
      <c r="M812" s="1">
        <f t="shared" ca="1" si="24"/>
        <v>46204</v>
      </c>
      <c r="N812">
        <f t="shared" ca="1" si="25"/>
        <v>1</v>
      </c>
    </row>
    <row r="813" spans="1:14" x14ac:dyDescent="0.3">
      <c r="A813" t="s">
        <v>2452</v>
      </c>
      <c r="B813" t="s">
        <v>2453</v>
      </c>
      <c r="C813" t="s">
        <v>60</v>
      </c>
      <c r="D813" t="s">
        <v>56</v>
      </c>
      <c r="E813" t="s">
        <v>17</v>
      </c>
      <c r="F813">
        <v>30.71</v>
      </c>
      <c r="G813" s="1">
        <v>45962</v>
      </c>
      <c r="H813" s="1">
        <v>45393</v>
      </c>
      <c r="I813" t="s">
        <v>2454</v>
      </c>
      <c r="J813" t="s">
        <v>94</v>
      </c>
      <c r="K813">
        <v>3</v>
      </c>
      <c r="L813" t="s">
        <v>20</v>
      </c>
      <c r="M813" s="1">
        <f t="shared" ca="1" si="24"/>
        <v>46204</v>
      </c>
      <c r="N813">
        <f t="shared" ca="1" si="25"/>
        <v>1</v>
      </c>
    </row>
    <row r="814" spans="1:14" x14ac:dyDescent="0.3">
      <c r="A814" t="s">
        <v>2455</v>
      </c>
      <c r="B814" t="s">
        <v>2456</v>
      </c>
      <c r="C814" t="s">
        <v>124</v>
      </c>
      <c r="D814" t="s">
        <v>35</v>
      </c>
      <c r="E814" t="s">
        <v>17</v>
      </c>
      <c r="F814">
        <v>28.96</v>
      </c>
      <c r="G814" s="1">
        <v>45782</v>
      </c>
      <c r="H814" s="1">
        <v>44867</v>
      </c>
      <c r="I814" t="s">
        <v>2457</v>
      </c>
      <c r="J814" t="s">
        <v>26</v>
      </c>
      <c r="K814">
        <v>3</v>
      </c>
      <c r="L814" t="s">
        <v>20</v>
      </c>
      <c r="M814" s="1">
        <f t="shared" ca="1" si="24"/>
        <v>46204</v>
      </c>
      <c r="N814">
        <f t="shared" ca="1" si="25"/>
        <v>1</v>
      </c>
    </row>
    <row r="815" spans="1:14" x14ac:dyDescent="0.3">
      <c r="A815" t="s">
        <v>2458</v>
      </c>
      <c r="B815" t="s">
        <v>2459</v>
      </c>
      <c r="C815" t="s">
        <v>47</v>
      </c>
      <c r="D815" t="s">
        <v>69</v>
      </c>
      <c r="E815" t="s">
        <v>17</v>
      </c>
      <c r="F815">
        <v>16.47</v>
      </c>
      <c r="G815" s="1">
        <v>46053</v>
      </c>
      <c r="H815" s="1">
        <v>42951</v>
      </c>
      <c r="I815" t="s">
        <v>2460</v>
      </c>
      <c r="J815" t="s">
        <v>19</v>
      </c>
      <c r="K815">
        <v>4</v>
      </c>
      <c r="L815" t="s">
        <v>20</v>
      </c>
      <c r="M815" s="1">
        <f t="shared" ca="1" si="24"/>
        <v>46204</v>
      </c>
      <c r="N815">
        <f t="shared" ca="1" si="25"/>
        <v>1</v>
      </c>
    </row>
    <row r="816" spans="1:14" x14ac:dyDescent="0.3">
      <c r="A816" t="s">
        <v>2461</v>
      </c>
      <c r="B816" t="s">
        <v>2462</v>
      </c>
      <c r="C816" t="s">
        <v>64</v>
      </c>
      <c r="D816" t="s">
        <v>35</v>
      </c>
      <c r="E816" t="s">
        <v>17</v>
      </c>
      <c r="F816">
        <v>34.18</v>
      </c>
      <c r="G816" s="1">
        <v>45739</v>
      </c>
      <c r="H816" s="1">
        <v>43029</v>
      </c>
      <c r="I816" t="s">
        <v>2463</v>
      </c>
      <c r="J816" t="s">
        <v>19</v>
      </c>
      <c r="K816">
        <v>4</v>
      </c>
      <c r="L816" t="s">
        <v>20</v>
      </c>
      <c r="M816" s="1">
        <f t="shared" ca="1" si="24"/>
        <v>46204</v>
      </c>
      <c r="N816">
        <f t="shared" ca="1" si="25"/>
        <v>1</v>
      </c>
    </row>
    <row r="817" spans="1:14" x14ac:dyDescent="0.3">
      <c r="A817" t="s">
        <v>2464</v>
      </c>
      <c r="B817" t="s">
        <v>2465</v>
      </c>
      <c r="C817" t="s">
        <v>34</v>
      </c>
      <c r="D817" t="s">
        <v>56</v>
      </c>
      <c r="E817" t="s">
        <v>17</v>
      </c>
      <c r="F817">
        <v>29.31</v>
      </c>
      <c r="G817" s="1">
        <v>46039</v>
      </c>
      <c r="H817" s="1">
        <v>45372</v>
      </c>
      <c r="I817" t="s">
        <v>2466</v>
      </c>
      <c r="J817" t="s">
        <v>94</v>
      </c>
      <c r="K817">
        <v>3</v>
      </c>
      <c r="L817" t="s">
        <v>20</v>
      </c>
      <c r="M817" s="1">
        <f t="shared" ca="1" si="24"/>
        <v>46204</v>
      </c>
      <c r="N817">
        <f t="shared" ca="1" si="25"/>
        <v>1</v>
      </c>
    </row>
    <row r="818" spans="1:14" x14ac:dyDescent="0.3">
      <c r="A818" t="s">
        <v>2467</v>
      </c>
      <c r="B818" t="s">
        <v>2468</v>
      </c>
      <c r="C818" t="s">
        <v>23</v>
      </c>
      <c r="D818" t="s">
        <v>56</v>
      </c>
      <c r="E818" t="s">
        <v>30</v>
      </c>
      <c r="F818">
        <v>11.36</v>
      </c>
      <c r="G818" s="1">
        <v>45858</v>
      </c>
      <c r="H818" s="1">
        <v>44564</v>
      </c>
      <c r="I818" t="s">
        <v>2469</v>
      </c>
      <c r="J818" t="s">
        <v>19</v>
      </c>
      <c r="K818">
        <v>4</v>
      </c>
      <c r="L818" t="s">
        <v>20</v>
      </c>
      <c r="M818" s="1">
        <f t="shared" ca="1" si="24"/>
        <v>46204</v>
      </c>
      <c r="N818">
        <f t="shared" ca="1" si="25"/>
        <v>1</v>
      </c>
    </row>
    <row r="819" spans="1:14" x14ac:dyDescent="0.3">
      <c r="A819" t="s">
        <v>2470</v>
      </c>
      <c r="B819" t="s">
        <v>2471</v>
      </c>
      <c r="C819" t="s">
        <v>47</v>
      </c>
      <c r="D819" t="s">
        <v>56</v>
      </c>
      <c r="E819" t="s">
        <v>17</v>
      </c>
      <c r="F819">
        <v>18.75</v>
      </c>
      <c r="G819" s="1">
        <v>45915</v>
      </c>
      <c r="H819" s="1">
        <v>43775</v>
      </c>
      <c r="I819" t="s">
        <v>2472</v>
      </c>
      <c r="J819" t="s">
        <v>37</v>
      </c>
      <c r="K819">
        <v>5</v>
      </c>
      <c r="L819" t="s">
        <v>20</v>
      </c>
      <c r="M819" s="1">
        <f t="shared" ca="1" si="24"/>
        <v>46204</v>
      </c>
      <c r="N819">
        <f t="shared" ca="1" si="25"/>
        <v>1</v>
      </c>
    </row>
    <row r="820" spans="1:14" x14ac:dyDescent="0.3">
      <c r="A820" t="s">
        <v>2473</v>
      </c>
      <c r="B820" t="s">
        <v>2474</v>
      </c>
      <c r="C820" t="s">
        <v>47</v>
      </c>
      <c r="D820" t="s">
        <v>73</v>
      </c>
      <c r="E820" t="s">
        <v>24</v>
      </c>
      <c r="F820">
        <v>6.23</v>
      </c>
      <c r="G820" s="1">
        <v>45822</v>
      </c>
      <c r="H820" s="1">
        <v>45108</v>
      </c>
      <c r="I820" t="s">
        <v>2475</v>
      </c>
      <c r="J820" t="s">
        <v>19</v>
      </c>
      <c r="K820">
        <v>3</v>
      </c>
      <c r="L820" t="s">
        <v>20</v>
      </c>
      <c r="M820" s="1">
        <f t="shared" ca="1" si="24"/>
        <v>46204</v>
      </c>
      <c r="N820">
        <f t="shared" ca="1" si="25"/>
        <v>1</v>
      </c>
    </row>
    <row r="821" spans="1:14" x14ac:dyDescent="0.3">
      <c r="A821" t="s">
        <v>2476</v>
      </c>
      <c r="B821" t="s">
        <v>2477</v>
      </c>
      <c r="C821" t="s">
        <v>47</v>
      </c>
      <c r="D821" t="s">
        <v>16</v>
      </c>
      <c r="E821" t="s">
        <v>17</v>
      </c>
      <c r="F821">
        <v>24.15</v>
      </c>
      <c r="G821" s="1">
        <v>45800</v>
      </c>
      <c r="H821" s="1">
        <v>44079</v>
      </c>
      <c r="I821" t="s">
        <v>2478</v>
      </c>
      <c r="J821" t="s">
        <v>94</v>
      </c>
      <c r="K821">
        <v>4</v>
      </c>
      <c r="L821" t="s">
        <v>27</v>
      </c>
      <c r="M821" s="1">
        <f t="shared" ca="1" si="24"/>
        <v>46204</v>
      </c>
      <c r="N821">
        <f t="shared" ca="1" si="25"/>
        <v>1</v>
      </c>
    </row>
    <row r="822" spans="1:14" x14ac:dyDescent="0.3">
      <c r="A822" t="s">
        <v>2479</v>
      </c>
      <c r="B822" t="s">
        <v>2480</v>
      </c>
      <c r="C822" t="s">
        <v>60</v>
      </c>
      <c r="D822" t="s">
        <v>35</v>
      </c>
      <c r="E822" t="s">
        <v>24</v>
      </c>
      <c r="F822">
        <v>21.84</v>
      </c>
      <c r="G822" s="1">
        <v>45858</v>
      </c>
      <c r="H822" s="1">
        <v>45128</v>
      </c>
      <c r="I822" t="s">
        <v>2481</v>
      </c>
      <c r="J822" t="s">
        <v>75</v>
      </c>
      <c r="K822">
        <v>1</v>
      </c>
      <c r="L822" t="s">
        <v>27</v>
      </c>
      <c r="M822" s="1">
        <f t="shared" ca="1" si="24"/>
        <v>46204</v>
      </c>
      <c r="N822">
        <f t="shared" ca="1" si="25"/>
        <v>1</v>
      </c>
    </row>
    <row r="823" spans="1:14" x14ac:dyDescent="0.3">
      <c r="A823" t="s">
        <v>2482</v>
      </c>
      <c r="B823" t="s">
        <v>2483</v>
      </c>
      <c r="C823" t="s">
        <v>60</v>
      </c>
      <c r="D823" t="s">
        <v>73</v>
      </c>
      <c r="E823" t="s">
        <v>24</v>
      </c>
      <c r="F823">
        <v>4.63</v>
      </c>
      <c r="G823" s="1">
        <v>46068</v>
      </c>
      <c r="H823" s="1">
        <v>44502</v>
      </c>
      <c r="I823" t="s">
        <v>2484</v>
      </c>
      <c r="J823" t="s">
        <v>49</v>
      </c>
      <c r="K823">
        <v>1</v>
      </c>
      <c r="L823" t="s">
        <v>27</v>
      </c>
      <c r="M823" s="1">
        <f t="shared" ca="1" si="24"/>
        <v>46204</v>
      </c>
      <c r="N823">
        <f t="shared" ca="1" si="25"/>
        <v>1</v>
      </c>
    </row>
    <row r="824" spans="1:14" x14ac:dyDescent="0.3">
      <c r="A824" t="s">
        <v>2485</v>
      </c>
      <c r="B824" t="s">
        <v>2486</v>
      </c>
      <c r="C824" t="s">
        <v>15</v>
      </c>
      <c r="D824" t="s">
        <v>56</v>
      </c>
      <c r="E824" t="s">
        <v>24</v>
      </c>
      <c r="F824">
        <v>11.31</v>
      </c>
      <c r="G824" s="1">
        <v>45958</v>
      </c>
      <c r="H824" s="1">
        <v>42701</v>
      </c>
      <c r="I824" t="s">
        <v>2487</v>
      </c>
      <c r="J824" t="s">
        <v>19</v>
      </c>
      <c r="K824">
        <v>4</v>
      </c>
      <c r="L824" t="s">
        <v>20</v>
      </c>
      <c r="M824" s="1">
        <f t="shared" ca="1" si="24"/>
        <v>46204</v>
      </c>
      <c r="N824">
        <f t="shared" ca="1" si="25"/>
        <v>1</v>
      </c>
    </row>
    <row r="825" spans="1:14" x14ac:dyDescent="0.3">
      <c r="A825" t="s">
        <v>2488</v>
      </c>
      <c r="B825" t="s">
        <v>2489</v>
      </c>
      <c r="C825" t="s">
        <v>15</v>
      </c>
      <c r="D825" t="s">
        <v>73</v>
      </c>
      <c r="E825" t="s">
        <v>52</v>
      </c>
      <c r="F825">
        <v>31.31</v>
      </c>
      <c r="G825" s="1">
        <v>45865</v>
      </c>
      <c r="H825" s="1">
        <v>43939</v>
      </c>
      <c r="I825" t="s">
        <v>2490</v>
      </c>
      <c r="J825" t="s">
        <v>26</v>
      </c>
      <c r="K825">
        <v>5</v>
      </c>
      <c r="L825" t="s">
        <v>27</v>
      </c>
      <c r="M825" s="1">
        <f t="shared" ca="1" si="24"/>
        <v>46204</v>
      </c>
      <c r="N825">
        <f t="shared" ca="1" si="25"/>
        <v>1</v>
      </c>
    </row>
    <row r="826" spans="1:14" x14ac:dyDescent="0.3">
      <c r="A826" t="s">
        <v>2491</v>
      </c>
      <c r="B826" t="s">
        <v>2492</v>
      </c>
      <c r="C826" t="s">
        <v>64</v>
      </c>
      <c r="D826" t="s">
        <v>16</v>
      </c>
      <c r="E826" t="s">
        <v>17</v>
      </c>
      <c r="F826">
        <v>32.229999999999997</v>
      </c>
      <c r="G826" s="1">
        <v>45754</v>
      </c>
      <c r="H826" s="1">
        <v>44198</v>
      </c>
      <c r="I826" t="s">
        <v>2493</v>
      </c>
      <c r="J826" t="s">
        <v>66</v>
      </c>
      <c r="K826">
        <v>1</v>
      </c>
      <c r="L826" t="s">
        <v>27</v>
      </c>
      <c r="M826" s="1">
        <f t="shared" ca="1" si="24"/>
        <v>46204</v>
      </c>
      <c r="N826">
        <f t="shared" ca="1" si="25"/>
        <v>1</v>
      </c>
    </row>
    <row r="827" spans="1:14" x14ac:dyDescent="0.3">
      <c r="A827" t="s">
        <v>2494</v>
      </c>
      <c r="B827" t="s">
        <v>2495</v>
      </c>
      <c r="C827" t="s">
        <v>23</v>
      </c>
      <c r="D827" t="s">
        <v>16</v>
      </c>
      <c r="E827" t="s">
        <v>17</v>
      </c>
      <c r="F827">
        <v>21.81</v>
      </c>
      <c r="G827" s="1">
        <v>46022</v>
      </c>
      <c r="H827" s="1">
        <v>43561</v>
      </c>
      <c r="I827" t="s">
        <v>2496</v>
      </c>
      <c r="J827" t="s">
        <v>37</v>
      </c>
      <c r="K827">
        <v>3</v>
      </c>
      <c r="L827" t="s">
        <v>20</v>
      </c>
      <c r="M827" s="1">
        <f t="shared" ca="1" si="24"/>
        <v>46204</v>
      </c>
      <c r="N827">
        <f t="shared" ca="1" si="25"/>
        <v>1</v>
      </c>
    </row>
    <row r="828" spans="1:14" x14ac:dyDescent="0.3">
      <c r="A828" t="s">
        <v>2497</v>
      </c>
      <c r="B828" t="s">
        <v>2498</v>
      </c>
      <c r="C828" t="s">
        <v>64</v>
      </c>
      <c r="D828" t="s">
        <v>69</v>
      </c>
      <c r="E828" t="s">
        <v>17</v>
      </c>
      <c r="F828">
        <v>22.48</v>
      </c>
      <c r="G828" s="1">
        <v>45815</v>
      </c>
      <c r="H828" s="1">
        <v>43842</v>
      </c>
      <c r="I828" t="s">
        <v>2499</v>
      </c>
      <c r="J828" t="s">
        <v>37</v>
      </c>
      <c r="K828">
        <v>3</v>
      </c>
      <c r="L828" t="s">
        <v>20</v>
      </c>
      <c r="M828" s="1">
        <f t="shared" ca="1" si="24"/>
        <v>46204</v>
      </c>
      <c r="N828">
        <f t="shared" ca="1" si="25"/>
        <v>1</v>
      </c>
    </row>
    <row r="829" spans="1:14" x14ac:dyDescent="0.3">
      <c r="A829" t="s">
        <v>2500</v>
      </c>
      <c r="B829" t="s">
        <v>2501</v>
      </c>
      <c r="C829" t="s">
        <v>64</v>
      </c>
      <c r="D829" t="s">
        <v>69</v>
      </c>
      <c r="E829" t="s">
        <v>24</v>
      </c>
      <c r="F829">
        <v>11.12</v>
      </c>
      <c r="G829" s="1">
        <v>46055</v>
      </c>
      <c r="H829" s="1">
        <v>44854</v>
      </c>
      <c r="I829" t="s">
        <v>2502</v>
      </c>
      <c r="J829" t="s">
        <v>49</v>
      </c>
      <c r="K829">
        <v>5</v>
      </c>
      <c r="L829" t="s">
        <v>20</v>
      </c>
      <c r="M829" s="1">
        <f t="shared" ca="1" si="24"/>
        <v>46204</v>
      </c>
      <c r="N829">
        <f t="shared" ca="1" si="25"/>
        <v>1</v>
      </c>
    </row>
    <row r="830" spans="1:14" x14ac:dyDescent="0.3">
      <c r="A830" t="s">
        <v>2503</v>
      </c>
      <c r="B830" t="s">
        <v>2504</v>
      </c>
      <c r="C830" t="s">
        <v>64</v>
      </c>
      <c r="D830" t="s">
        <v>73</v>
      </c>
      <c r="E830" t="s">
        <v>24</v>
      </c>
      <c r="F830">
        <v>26.27</v>
      </c>
      <c r="G830" s="1">
        <v>45902</v>
      </c>
      <c r="H830" s="1">
        <v>45492</v>
      </c>
      <c r="I830" t="s">
        <v>2505</v>
      </c>
      <c r="J830" t="s">
        <v>26</v>
      </c>
      <c r="K830">
        <v>3</v>
      </c>
      <c r="L830" t="s">
        <v>27</v>
      </c>
      <c r="M830" s="1">
        <f t="shared" ca="1" si="24"/>
        <v>46204</v>
      </c>
      <c r="N830">
        <f t="shared" ca="1" si="25"/>
        <v>1</v>
      </c>
    </row>
    <row r="831" spans="1:14" x14ac:dyDescent="0.3">
      <c r="A831" t="s">
        <v>2506</v>
      </c>
      <c r="B831" t="s">
        <v>2507</v>
      </c>
      <c r="C831" t="s">
        <v>124</v>
      </c>
      <c r="D831" t="s">
        <v>35</v>
      </c>
      <c r="E831" t="s">
        <v>24</v>
      </c>
      <c r="F831">
        <v>16.7</v>
      </c>
      <c r="G831" s="1">
        <v>46012</v>
      </c>
      <c r="H831" s="1">
        <v>44444</v>
      </c>
      <c r="I831" t="s">
        <v>2508</v>
      </c>
      <c r="J831" t="s">
        <v>26</v>
      </c>
      <c r="K831">
        <v>2</v>
      </c>
      <c r="L831" t="s">
        <v>27</v>
      </c>
      <c r="M831" s="1">
        <f t="shared" ca="1" si="24"/>
        <v>46204</v>
      </c>
      <c r="N831">
        <f t="shared" ca="1" si="25"/>
        <v>1</v>
      </c>
    </row>
    <row r="832" spans="1:14" x14ac:dyDescent="0.3">
      <c r="A832" t="s">
        <v>2509</v>
      </c>
      <c r="B832" t="s">
        <v>2510</v>
      </c>
      <c r="C832" t="s">
        <v>64</v>
      </c>
      <c r="D832" t="s">
        <v>35</v>
      </c>
      <c r="E832" t="s">
        <v>52</v>
      </c>
      <c r="F832">
        <v>17.579999999999998</v>
      </c>
      <c r="G832" s="1">
        <v>45728</v>
      </c>
      <c r="H832" s="1">
        <v>43313</v>
      </c>
      <c r="I832" t="s">
        <v>2511</v>
      </c>
      <c r="J832" t="s">
        <v>94</v>
      </c>
      <c r="K832">
        <v>5</v>
      </c>
      <c r="L832" t="s">
        <v>27</v>
      </c>
      <c r="M832" s="1">
        <f t="shared" ca="1" si="24"/>
        <v>46204</v>
      </c>
      <c r="N832">
        <f t="shared" ca="1" si="25"/>
        <v>1</v>
      </c>
    </row>
    <row r="833" spans="1:14" x14ac:dyDescent="0.3">
      <c r="A833" t="s">
        <v>2512</v>
      </c>
      <c r="B833" t="s">
        <v>2513</v>
      </c>
      <c r="C833" t="s">
        <v>34</v>
      </c>
      <c r="D833" t="s">
        <v>35</v>
      </c>
      <c r="E833" t="s">
        <v>24</v>
      </c>
      <c r="F833">
        <v>15.14</v>
      </c>
      <c r="G833" s="1">
        <v>45948</v>
      </c>
      <c r="H833" s="1">
        <v>42552</v>
      </c>
      <c r="I833" t="s">
        <v>2514</v>
      </c>
      <c r="J833" t="s">
        <v>94</v>
      </c>
      <c r="K833">
        <v>4</v>
      </c>
      <c r="L833" t="s">
        <v>20</v>
      </c>
      <c r="M833" s="1">
        <f t="shared" ca="1" si="24"/>
        <v>46204</v>
      </c>
      <c r="N833">
        <f t="shared" ca="1" si="25"/>
        <v>1</v>
      </c>
    </row>
    <row r="834" spans="1:14" x14ac:dyDescent="0.3">
      <c r="A834" t="s">
        <v>2515</v>
      </c>
      <c r="B834" t="s">
        <v>2516</v>
      </c>
      <c r="C834" t="s">
        <v>23</v>
      </c>
      <c r="D834" t="s">
        <v>73</v>
      </c>
      <c r="E834" t="s">
        <v>17</v>
      </c>
      <c r="F834">
        <v>18.87</v>
      </c>
      <c r="G834" s="1">
        <v>46013</v>
      </c>
      <c r="H834" s="1">
        <v>43747</v>
      </c>
      <c r="I834" t="s">
        <v>2517</v>
      </c>
      <c r="J834" t="s">
        <v>66</v>
      </c>
      <c r="K834">
        <v>3</v>
      </c>
      <c r="L834" t="s">
        <v>20</v>
      </c>
      <c r="M834" s="1">
        <f t="shared" ca="1" si="24"/>
        <v>46204</v>
      </c>
      <c r="N834">
        <f t="shared" ca="1" si="25"/>
        <v>1</v>
      </c>
    </row>
    <row r="835" spans="1:14" x14ac:dyDescent="0.3">
      <c r="A835" t="s">
        <v>2518</v>
      </c>
      <c r="B835" t="s">
        <v>2519</v>
      </c>
      <c r="C835" t="s">
        <v>124</v>
      </c>
      <c r="D835" t="s">
        <v>73</v>
      </c>
      <c r="E835" t="s">
        <v>17</v>
      </c>
      <c r="F835">
        <v>6.09</v>
      </c>
      <c r="G835" s="1">
        <v>45793</v>
      </c>
      <c r="H835" s="1">
        <v>45214</v>
      </c>
      <c r="I835" t="s">
        <v>2520</v>
      </c>
      <c r="J835" t="s">
        <v>66</v>
      </c>
      <c r="K835">
        <v>4</v>
      </c>
      <c r="L835" t="s">
        <v>27</v>
      </c>
      <c r="M835" s="1">
        <f t="shared" ref="M835:M898" ca="1" si="26">TODAY()</f>
        <v>46204</v>
      </c>
      <c r="N835">
        <f t="shared" ref="N835:N898" ca="1" si="27">IF(G835&lt;M835,1,0)</f>
        <v>1</v>
      </c>
    </row>
    <row r="836" spans="1:14" x14ac:dyDescent="0.3">
      <c r="A836" t="s">
        <v>2521</v>
      </c>
      <c r="B836" t="s">
        <v>2522</v>
      </c>
      <c r="C836" t="s">
        <v>60</v>
      </c>
      <c r="D836" t="s">
        <v>56</v>
      </c>
      <c r="E836" t="s">
        <v>17</v>
      </c>
      <c r="F836">
        <v>6.03</v>
      </c>
      <c r="G836" s="1">
        <v>46044</v>
      </c>
      <c r="H836" s="1">
        <v>44569</v>
      </c>
      <c r="I836" t="s">
        <v>2523</v>
      </c>
      <c r="J836" t="s">
        <v>37</v>
      </c>
      <c r="K836">
        <v>3</v>
      </c>
      <c r="L836" t="s">
        <v>20</v>
      </c>
      <c r="M836" s="1">
        <f t="shared" ca="1" si="26"/>
        <v>46204</v>
      </c>
      <c r="N836">
        <f t="shared" ca="1" si="27"/>
        <v>1</v>
      </c>
    </row>
    <row r="837" spans="1:14" x14ac:dyDescent="0.3">
      <c r="A837" t="s">
        <v>2524</v>
      </c>
      <c r="B837" t="s">
        <v>2525</v>
      </c>
      <c r="C837" t="s">
        <v>124</v>
      </c>
      <c r="D837" t="s">
        <v>40</v>
      </c>
      <c r="E837" t="s">
        <v>24</v>
      </c>
      <c r="F837">
        <v>5.47</v>
      </c>
      <c r="G837" s="1">
        <v>46028</v>
      </c>
      <c r="H837" s="1">
        <v>43145</v>
      </c>
      <c r="I837" t="s">
        <v>2526</v>
      </c>
      <c r="J837" t="s">
        <v>49</v>
      </c>
      <c r="K837">
        <v>5</v>
      </c>
      <c r="L837" t="s">
        <v>27</v>
      </c>
      <c r="M837" s="1">
        <f t="shared" ca="1" si="26"/>
        <v>46204</v>
      </c>
      <c r="N837">
        <f t="shared" ca="1" si="27"/>
        <v>1</v>
      </c>
    </row>
    <row r="838" spans="1:14" x14ac:dyDescent="0.3">
      <c r="A838" t="s">
        <v>2527</v>
      </c>
      <c r="B838" t="s">
        <v>2528</v>
      </c>
      <c r="C838" t="s">
        <v>64</v>
      </c>
      <c r="D838" t="s">
        <v>69</v>
      </c>
      <c r="E838" t="s">
        <v>52</v>
      </c>
      <c r="F838">
        <v>28.3</v>
      </c>
      <c r="G838" s="1">
        <v>45913</v>
      </c>
      <c r="H838" s="1">
        <v>44782</v>
      </c>
      <c r="I838" t="s">
        <v>2529</v>
      </c>
      <c r="J838" t="s">
        <v>49</v>
      </c>
      <c r="K838">
        <v>2</v>
      </c>
      <c r="L838" t="s">
        <v>27</v>
      </c>
      <c r="M838" s="1">
        <f t="shared" ca="1" si="26"/>
        <v>46204</v>
      </c>
      <c r="N838">
        <f t="shared" ca="1" si="27"/>
        <v>1</v>
      </c>
    </row>
    <row r="839" spans="1:14" x14ac:dyDescent="0.3">
      <c r="A839" t="s">
        <v>2530</v>
      </c>
      <c r="B839" t="s">
        <v>2531</v>
      </c>
      <c r="C839" t="s">
        <v>64</v>
      </c>
      <c r="D839" t="s">
        <v>35</v>
      </c>
      <c r="E839" t="s">
        <v>17</v>
      </c>
      <c r="F839">
        <v>22.91</v>
      </c>
      <c r="G839" s="1">
        <v>46001</v>
      </c>
      <c r="H839" s="1">
        <v>42569</v>
      </c>
      <c r="I839" t="s">
        <v>2532</v>
      </c>
      <c r="J839" t="s">
        <v>37</v>
      </c>
      <c r="K839">
        <v>1</v>
      </c>
      <c r="L839" t="s">
        <v>27</v>
      </c>
      <c r="M839" s="1">
        <f t="shared" ca="1" si="26"/>
        <v>46204</v>
      </c>
      <c r="N839">
        <f t="shared" ca="1" si="27"/>
        <v>1</v>
      </c>
    </row>
    <row r="840" spans="1:14" x14ac:dyDescent="0.3">
      <c r="A840" t="s">
        <v>2533</v>
      </c>
      <c r="B840" t="s">
        <v>2534</v>
      </c>
      <c r="C840" t="s">
        <v>15</v>
      </c>
      <c r="D840" t="s">
        <v>40</v>
      </c>
      <c r="E840" t="s">
        <v>17</v>
      </c>
      <c r="F840">
        <v>6.65</v>
      </c>
      <c r="G840" s="1">
        <v>45922</v>
      </c>
      <c r="H840" s="1">
        <v>45259</v>
      </c>
      <c r="I840" t="s">
        <v>2535</v>
      </c>
      <c r="J840" t="s">
        <v>94</v>
      </c>
      <c r="K840">
        <v>3</v>
      </c>
      <c r="L840" t="s">
        <v>27</v>
      </c>
      <c r="M840" s="1">
        <f t="shared" ca="1" si="26"/>
        <v>46204</v>
      </c>
      <c r="N840">
        <f t="shared" ca="1" si="27"/>
        <v>1</v>
      </c>
    </row>
    <row r="841" spans="1:14" x14ac:dyDescent="0.3">
      <c r="A841" t="s">
        <v>2536</v>
      </c>
      <c r="B841" t="s">
        <v>2537</v>
      </c>
      <c r="C841" t="s">
        <v>47</v>
      </c>
      <c r="D841" t="s">
        <v>16</v>
      </c>
      <c r="E841" t="s">
        <v>52</v>
      </c>
      <c r="F841">
        <v>11.24</v>
      </c>
      <c r="G841" s="1">
        <v>45943</v>
      </c>
      <c r="H841" s="1">
        <v>45400</v>
      </c>
      <c r="I841" t="s">
        <v>2538</v>
      </c>
      <c r="J841" t="s">
        <v>19</v>
      </c>
      <c r="K841">
        <v>3</v>
      </c>
      <c r="L841" t="s">
        <v>20</v>
      </c>
      <c r="M841" s="1">
        <f t="shared" ca="1" si="26"/>
        <v>46204</v>
      </c>
      <c r="N841">
        <f t="shared" ca="1" si="27"/>
        <v>1</v>
      </c>
    </row>
    <row r="842" spans="1:14" x14ac:dyDescent="0.3">
      <c r="A842" t="s">
        <v>2539</v>
      </c>
      <c r="B842" t="s">
        <v>2540</v>
      </c>
      <c r="C842" t="s">
        <v>34</v>
      </c>
      <c r="D842" t="s">
        <v>16</v>
      </c>
      <c r="E842" t="s">
        <v>24</v>
      </c>
      <c r="F842">
        <v>24.12</v>
      </c>
      <c r="G842" s="1">
        <v>46001</v>
      </c>
      <c r="H842" s="1">
        <v>44760</v>
      </c>
      <c r="I842" t="s">
        <v>2541</v>
      </c>
      <c r="J842" t="s">
        <v>49</v>
      </c>
      <c r="K842">
        <v>4</v>
      </c>
      <c r="L842" t="s">
        <v>27</v>
      </c>
      <c r="M842" s="1">
        <f t="shared" ca="1" si="26"/>
        <v>46204</v>
      </c>
      <c r="N842">
        <f t="shared" ca="1" si="27"/>
        <v>1</v>
      </c>
    </row>
    <row r="843" spans="1:14" x14ac:dyDescent="0.3">
      <c r="A843" t="s">
        <v>2542</v>
      </c>
      <c r="B843" t="s">
        <v>2543</v>
      </c>
      <c r="C843" t="s">
        <v>15</v>
      </c>
      <c r="D843" t="s">
        <v>69</v>
      </c>
      <c r="E843" t="s">
        <v>30</v>
      </c>
      <c r="F843">
        <v>34.74</v>
      </c>
      <c r="G843" s="1">
        <v>45803</v>
      </c>
      <c r="H843" s="1">
        <v>45454</v>
      </c>
      <c r="I843" t="s">
        <v>2544</v>
      </c>
      <c r="J843" t="s">
        <v>19</v>
      </c>
      <c r="K843">
        <v>3</v>
      </c>
      <c r="L843" t="s">
        <v>20</v>
      </c>
      <c r="M843" s="1">
        <f t="shared" ca="1" si="26"/>
        <v>46204</v>
      </c>
      <c r="N843">
        <f t="shared" ca="1" si="27"/>
        <v>1</v>
      </c>
    </row>
    <row r="844" spans="1:14" x14ac:dyDescent="0.3">
      <c r="A844" t="s">
        <v>2545</v>
      </c>
      <c r="B844" t="s">
        <v>2546</v>
      </c>
      <c r="C844" t="s">
        <v>60</v>
      </c>
      <c r="D844" t="s">
        <v>16</v>
      </c>
      <c r="E844" t="s">
        <v>17</v>
      </c>
      <c r="F844">
        <v>20.52</v>
      </c>
      <c r="G844" s="1">
        <v>45958</v>
      </c>
      <c r="H844" s="1">
        <v>44226</v>
      </c>
      <c r="I844" t="s">
        <v>2547</v>
      </c>
      <c r="J844" t="s">
        <v>37</v>
      </c>
      <c r="K844">
        <v>5</v>
      </c>
      <c r="L844" t="s">
        <v>27</v>
      </c>
      <c r="M844" s="1">
        <f t="shared" ca="1" si="26"/>
        <v>46204</v>
      </c>
      <c r="N844">
        <f t="shared" ca="1" si="27"/>
        <v>1</v>
      </c>
    </row>
    <row r="845" spans="1:14" x14ac:dyDescent="0.3">
      <c r="A845" t="s">
        <v>2548</v>
      </c>
      <c r="B845" t="s">
        <v>2549</v>
      </c>
      <c r="C845" t="s">
        <v>64</v>
      </c>
      <c r="D845" t="s">
        <v>56</v>
      </c>
      <c r="E845" t="s">
        <v>52</v>
      </c>
      <c r="F845">
        <v>17.600000000000001</v>
      </c>
      <c r="G845" s="1">
        <v>45922</v>
      </c>
      <c r="H845" s="1">
        <v>44859</v>
      </c>
      <c r="I845" t="s">
        <v>2550</v>
      </c>
      <c r="J845" t="s">
        <v>75</v>
      </c>
      <c r="K845">
        <v>4</v>
      </c>
      <c r="L845" t="s">
        <v>27</v>
      </c>
      <c r="M845" s="1">
        <f t="shared" ca="1" si="26"/>
        <v>46204</v>
      </c>
      <c r="N845">
        <f t="shared" ca="1" si="27"/>
        <v>1</v>
      </c>
    </row>
    <row r="846" spans="1:14" x14ac:dyDescent="0.3">
      <c r="A846" t="s">
        <v>2551</v>
      </c>
      <c r="B846" t="s">
        <v>2552</v>
      </c>
      <c r="C846" t="s">
        <v>124</v>
      </c>
      <c r="D846" t="s">
        <v>40</v>
      </c>
      <c r="E846" t="s">
        <v>17</v>
      </c>
      <c r="F846">
        <v>17.77</v>
      </c>
      <c r="G846" s="1">
        <v>45877</v>
      </c>
      <c r="H846" s="1">
        <v>43728</v>
      </c>
      <c r="I846" t="s">
        <v>2553</v>
      </c>
      <c r="J846" t="s">
        <v>37</v>
      </c>
      <c r="K846">
        <v>2</v>
      </c>
      <c r="L846" t="s">
        <v>20</v>
      </c>
      <c r="M846" s="1">
        <f t="shared" ca="1" si="26"/>
        <v>46204</v>
      </c>
      <c r="N846">
        <f t="shared" ca="1" si="27"/>
        <v>1</v>
      </c>
    </row>
    <row r="847" spans="1:14" x14ac:dyDescent="0.3">
      <c r="A847" t="s">
        <v>2554</v>
      </c>
      <c r="B847" t="s">
        <v>2555</v>
      </c>
      <c r="C847" t="s">
        <v>124</v>
      </c>
      <c r="D847" t="s">
        <v>56</v>
      </c>
      <c r="E847" t="s">
        <v>17</v>
      </c>
      <c r="F847">
        <v>8.6300000000000008</v>
      </c>
      <c r="G847" s="1">
        <v>45902</v>
      </c>
      <c r="H847" s="1">
        <v>44764</v>
      </c>
      <c r="I847" t="s">
        <v>2556</v>
      </c>
      <c r="J847" t="s">
        <v>37</v>
      </c>
      <c r="K847">
        <v>5</v>
      </c>
      <c r="L847" t="s">
        <v>20</v>
      </c>
      <c r="M847" s="1">
        <f t="shared" ca="1" si="26"/>
        <v>46204</v>
      </c>
      <c r="N847">
        <f t="shared" ca="1" si="27"/>
        <v>1</v>
      </c>
    </row>
    <row r="848" spans="1:14" x14ac:dyDescent="0.3">
      <c r="A848" t="s">
        <v>2557</v>
      </c>
      <c r="B848" t="s">
        <v>2558</v>
      </c>
      <c r="C848" t="s">
        <v>124</v>
      </c>
      <c r="D848" t="s">
        <v>69</v>
      </c>
      <c r="E848" t="s">
        <v>24</v>
      </c>
      <c r="F848">
        <v>26.73</v>
      </c>
      <c r="G848" s="1">
        <v>45768</v>
      </c>
      <c r="H848" s="1">
        <v>42704</v>
      </c>
      <c r="I848" t="s">
        <v>2559</v>
      </c>
      <c r="J848" t="s">
        <v>49</v>
      </c>
      <c r="K848">
        <v>1</v>
      </c>
      <c r="L848" t="s">
        <v>27</v>
      </c>
      <c r="M848" s="1">
        <f t="shared" ca="1" si="26"/>
        <v>46204</v>
      </c>
      <c r="N848">
        <f t="shared" ca="1" si="27"/>
        <v>1</v>
      </c>
    </row>
    <row r="849" spans="1:14" x14ac:dyDescent="0.3">
      <c r="A849" t="s">
        <v>2560</v>
      </c>
      <c r="B849" t="s">
        <v>2561</v>
      </c>
      <c r="C849" t="s">
        <v>60</v>
      </c>
      <c r="D849" t="s">
        <v>40</v>
      </c>
      <c r="E849" t="s">
        <v>30</v>
      </c>
      <c r="F849">
        <v>34.78</v>
      </c>
      <c r="G849" s="1">
        <v>45845</v>
      </c>
      <c r="H849" s="1">
        <v>43361</v>
      </c>
      <c r="I849" t="s">
        <v>2562</v>
      </c>
      <c r="J849" t="s">
        <v>37</v>
      </c>
      <c r="K849">
        <v>1</v>
      </c>
      <c r="L849" t="s">
        <v>20</v>
      </c>
      <c r="M849" s="1">
        <f t="shared" ca="1" si="26"/>
        <v>46204</v>
      </c>
      <c r="N849">
        <f t="shared" ca="1" si="27"/>
        <v>1</v>
      </c>
    </row>
    <row r="850" spans="1:14" x14ac:dyDescent="0.3">
      <c r="A850" t="s">
        <v>2563</v>
      </c>
      <c r="B850" t="s">
        <v>2564</v>
      </c>
      <c r="C850" t="s">
        <v>23</v>
      </c>
      <c r="D850" t="s">
        <v>69</v>
      </c>
      <c r="E850" t="s">
        <v>24</v>
      </c>
      <c r="F850">
        <v>10.19</v>
      </c>
      <c r="G850" s="1">
        <v>45787</v>
      </c>
      <c r="H850" s="1">
        <v>45054</v>
      </c>
      <c r="I850" t="s">
        <v>2565</v>
      </c>
      <c r="J850" t="s">
        <v>49</v>
      </c>
      <c r="K850">
        <v>1</v>
      </c>
      <c r="L850" t="s">
        <v>20</v>
      </c>
      <c r="M850" s="1">
        <f t="shared" ca="1" si="26"/>
        <v>46204</v>
      </c>
      <c r="N850">
        <f t="shared" ca="1" si="27"/>
        <v>1</v>
      </c>
    </row>
    <row r="851" spans="1:14" x14ac:dyDescent="0.3">
      <c r="A851" t="s">
        <v>2566</v>
      </c>
      <c r="B851" t="s">
        <v>2567</v>
      </c>
      <c r="C851" t="s">
        <v>23</v>
      </c>
      <c r="D851" t="s">
        <v>16</v>
      </c>
      <c r="E851" t="s">
        <v>52</v>
      </c>
      <c r="F851">
        <v>37.32</v>
      </c>
      <c r="G851" s="1">
        <v>45912</v>
      </c>
      <c r="H851" s="1">
        <v>43920</v>
      </c>
      <c r="I851" t="s">
        <v>2568</v>
      </c>
      <c r="J851" t="s">
        <v>94</v>
      </c>
      <c r="K851">
        <v>5</v>
      </c>
      <c r="L851" t="s">
        <v>27</v>
      </c>
      <c r="M851" s="1">
        <f t="shared" ca="1" si="26"/>
        <v>46204</v>
      </c>
      <c r="N851">
        <f t="shared" ca="1" si="27"/>
        <v>1</v>
      </c>
    </row>
    <row r="852" spans="1:14" x14ac:dyDescent="0.3">
      <c r="A852" t="s">
        <v>2569</v>
      </c>
      <c r="B852" t="s">
        <v>2570</v>
      </c>
      <c r="C852" t="s">
        <v>124</v>
      </c>
      <c r="D852" t="s">
        <v>40</v>
      </c>
      <c r="E852" t="s">
        <v>24</v>
      </c>
      <c r="F852">
        <v>33.57</v>
      </c>
      <c r="G852" s="1">
        <v>45710</v>
      </c>
      <c r="H852" s="1">
        <v>43838</v>
      </c>
      <c r="I852" t="s">
        <v>2571</v>
      </c>
      <c r="J852" t="s">
        <v>19</v>
      </c>
      <c r="K852">
        <v>2</v>
      </c>
      <c r="L852" t="s">
        <v>20</v>
      </c>
      <c r="M852" s="1">
        <f t="shared" ca="1" si="26"/>
        <v>46204</v>
      </c>
      <c r="N852">
        <f t="shared" ca="1" si="27"/>
        <v>1</v>
      </c>
    </row>
    <row r="853" spans="1:14" x14ac:dyDescent="0.3">
      <c r="A853" t="s">
        <v>2572</v>
      </c>
      <c r="B853" t="s">
        <v>2573</v>
      </c>
      <c r="C853" t="s">
        <v>23</v>
      </c>
      <c r="D853" t="s">
        <v>16</v>
      </c>
      <c r="E853" t="s">
        <v>24</v>
      </c>
      <c r="F853">
        <v>9.3800000000000008</v>
      </c>
      <c r="G853" s="1">
        <v>45880</v>
      </c>
      <c r="H853" s="1">
        <v>43694</v>
      </c>
      <c r="I853" t="s">
        <v>2574</v>
      </c>
      <c r="J853" t="s">
        <v>75</v>
      </c>
      <c r="K853">
        <v>5</v>
      </c>
      <c r="L853" t="s">
        <v>20</v>
      </c>
      <c r="M853" s="1">
        <f t="shared" ca="1" si="26"/>
        <v>46204</v>
      </c>
      <c r="N853">
        <f t="shared" ca="1" si="27"/>
        <v>1</v>
      </c>
    </row>
    <row r="854" spans="1:14" x14ac:dyDescent="0.3">
      <c r="A854" t="s">
        <v>2575</v>
      </c>
      <c r="B854" t="s">
        <v>2576</v>
      </c>
      <c r="C854" t="s">
        <v>15</v>
      </c>
      <c r="D854" t="s">
        <v>16</v>
      </c>
      <c r="E854" t="s">
        <v>17</v>
      </c>
      <c r="F854">
        <v>2.5099999999999998</v>
      </c>
      <c r="G854" s="1">
        <v>46034</v>
      </c>
      <c r="H854" s="1">
        <v>43863</v>
      </c>
      <c r="I854" t="s">
        <v>2577</v>
      </c>
      <c r="J854" t="s">
        <v>66</v>
      </c>
      <c r="K854">
        <v>4</v>
      </c>
      <c r="L854" t="s">
        <v>20</v>
      </c>
      <c r="M854" s="1">
        <f t="shared" ca="1" si="26"/>
        <v>46204</v>
      </c>
      <c r="N854">
        <f t="shared" ca="1" si="27"/>
        <v>1</v>
      </c>
    </row>
    <row r="855" spans="1:14" x14ac:dyDescent="0.3">
      <c r="A855" t="s">
        <v>2578</v>
      </c>
      <c r="B855" t="s">
        <v>2579</v>
      </c>
      <c r="C855" t="s">
        <v>64</v>
      </c>
      <c r="D855" t="s">
        <v>16</v>
      </c>
      <c r="E855" t="s">
        <v>30</v>
      </c>
      <c r="F855">
        <v>32.04</v>
      </c>
      <c r="G855" s="1">
        <v>45880</v>
      </c>
      <c r="H855" s="1">
        <v>44862</v>
      </c>
      <c r="I855" t="s">
        <v>2580</v>
      </c>
      <c r="J855" t="s">
        <v>26</v>
      </c>
      <c r="K855">
        <v>4</v>
      </c>
      <c r="L855" t="s">
        <v>20</v>
      </c>
      <c r="M855" s="1">
        <f t="shared" ca="1" si="26"/>
        <v>46204</v>
      </c>
      <c r="N855">
        <f t="shared" ca="1" si="27"/>
        <v>1</v>
      </c>
    </row>
    <row r="856" spans="1:14" x14ac:dyDescent="0.3">
      <c r="A856" t="s">
        <v>2581</v>
      </c>
      <c r="B856" t="s">
        <v>2582</v>
      </c>
      <c r="C856" t="s">
        <v>60</v>
      </c>
      <c r="D856" t="s">
        <v>40</v>
      </c>
      <c r="E856" t="s">
        <v>52</v>
      </c>
      <c r="F856">
        <v>23.84</v>
      </c>
      <c r="G856" s="1">
        <v>45965</v>
      </c>
      <c r="H856" s="1">
        <v>44086</v>
      </c>
      <c r="I856" t="s">
        <v>2583</v>
      </c>
      <c r="J856" t="s">
        <v>75</v>
      </c>
      <c r="K856">
        <v>5</v>
      </c>
      <c r="L856" t="s">
        <v>20</v>
      </c>
      <c r="M856" s="1">
        <f t="shared" ca="1" si="26"/>
        <v>46204</v>
      </c>
      <c r="N856">
        <f t="shared" ca="1" si="27"/>
        <v>1</v>
      </c>
    </row>
    <row r="857" spans="1:14" x14ac:dyDescent="0.3">
      <c r="A857" t="s">
        <v>2584</v>
      </c>
      <c r="B857" t="s">
        <v>2585</v>
      </c>
      <c r="C857" t="s">
        <v>15</v>
      </c>
      <c r="D857" t="s">
        <v>69</v>
      </c>
      <c r="E857" t="s">
        <v>24</v>
      </c>
      <c r="F857">
        <v>17.100000000000001</v>
      </c>
      <c r="G857" s="1">
        <v>45737</v>
      </c>
      <c r="H857" s="1">
        <v>43383</v>
      </c>
      <c r="I857" t="s">
        <v>2586</v>
      </c>
      <c r="J857" t="s">
        <v>49</v>
      </c>
      <c r="K857">
        <v>1</v>
      </c>
      <c r="L857" t="s">
        <v>27</v>
      </c>
      <c r="M857" s="1">
        <f t="shared" ca="1" si="26"/>
        <v>46204</v>
      </c>
      <c r="N857">
        <f t="shared" ca="1" si="27"/>
        <v>1</v>
      </c>
    </row>
    <row r="858" spans="1:14" x14ac:dyDescent="0.3">
      <c r="A858" t="s">
        <v>2587</v>
      </c>
      <c r="B858" t="s">
        <v>2588</v>
      </c>
      <c r="C858" t="s">
        <v>64</v>
      </c>
      <c r="D858" t="s">
        <v>16</v>
      </c>
      <c r="E858" t="s">
        <v>30</v>
      </c>
      <c r="F858">
        <v>11.89</v>
      </c>
      <c r="G858" s="1">
        <v>45801</v>
      </c>
      <c r="H858" s="1">
        <v>43813</v>
      </c>
      <c r="I858" t="s">
        <v>2589</v>
      </c>
      <c r="J858" t="s">
        <v>26</v>
      </c>
      <c r="K858">
        <v>5</v>
      </c>
      <c r="L858" t="s">
        <v>27</v>
      </c>
      <c r="M858" s="1">
        <f t="shared" ca="1" si="26"/>
        <v>46204</v>
      </c>
      <c r="N858">
        <f t="shared" ca="1" si="27"/>
        <v>1</v>
      </c>
    </row>
    <row r="859" spans="1:14" x14ac:dyDescent="0.3">
      <c r="A859" t="s">
        <v>2590</v>
      </c>
      <c r="B859" t="s">
        <v>2591</v>
      </c>
      <c r="C859" t="s">
        <v>34</v>
      </c>
      <c r="D859" t="s">
        <v>16</v>
      </c>
      <c r="E859" t="s">
        <v>52</v>
      </c>
      <c r="F859">
        <v>38.4</v>
      </c>
      <c r="G859" s="1">
        <v>45844</v>
      </c>
      <c r="H859" s="1">
        <v>43976</v>
      </c>
      <c r="I859" t="s">
        <v>2592</v>
      </c>
      <c r="J859" t="s">
        <v>49</v>
      </c>
      <c r="K859">
        <v>4</v>
      </c>
      <c r="L859" t="s">
        <v>27</v>
      </c>
      <c r="M859" s="1">
        <f t="shared" ca="1" si="26"/>
        <v>46204</v>
      </c>
      <c r="N859">
        <f t="shared" ca="1" si="27"/>
        <v>1</v>
      </c>
    </row>
    <row r="860" spans="1:14" x14ac:dyDescent="0.3">
      <c r="A860" t="s">
        <v>2593</v>
      </c>
      <c r="B860" t="s">
        <v>2594</v>
      </c>
      <c r="C860" t="s">
        <v>124</v>
      </c>
      <c r="D860" t="s">
        <v>35</v>
      </c>
      <c r="E860" t="s">
        <v>52</v>
      </c>
      <c r="F860">
        <v>15.87</v>
      </c>
      <c r="G860" s="1">
        <v>45957</v>
      </c>
      <c r="H860" s="1">
        <v>44629</v>
      </c>
      <c r="I860" t="s">
        <v>2595</v>
      </c>
      <c r="J860" t="s">
        <v>26</v>
      </c>
      <c r="K860">
        <v>2</v>
      </c>
      <c r="L860" t="s">
        <v>20</v>
      </c>
      <c r="M860" s="1">
        <f t="shared" ca="1" si="26"/>
        <v>46204</v>
      </c>
      <c r="N860">
        <f t="shared" ca="1" si="27"/>
        <v>1</v>
      </c>
    </row>
    <row r="861" spans="1:14" x14ac:dyDescent="0.3">
      <c r="A861" t="s">
        <v>2596</v>
      </c>
      <c r="B861" t="s">
        <v>2597</v>
      </c>
      <c r="C861" t="s">
        <v>64</v>
      </c>
      <c r="D861" t="s">
        <v>69</v>
      </c>
      <c r="E861" t="s">
        <v>30</v>
      </c>
      <c r="F861">
        <v>20.350000000000001</v>
      </c>
      <c r="G861" s="1">
        <v>46044</v>
      </c>
      <c r="H861" s="1">
        <v>42400</v>
      </c>
      <c r="I861" t="s">
        <v>2598</v>
      </c>
      <c r="J861" t="s">
        <v>19</v>
      </c>
      <c r="K861">
        <v>5</v>
      </c>
      <c r="L861" t="s">
        <v>27</v>
      </c>
      <c r="M861" s="1">
        <f t="shared" ca="1" si="26"/>
        <v>46204</v>
      </c>
      <c r="N861">
        <f t="shared" ca="1" si="27"/>
        <v>1</v>
      </c>
    </row>
    <row r="862" spans="1:14" x14ac:dyDescent="0.3">
      <c r="A862" t="s">
        <v>2599</v>
      </c>
      <c r="B862" t="s">
        <v>2600</v>
      </c>
      <c r="C862" t="s">
        <v>60</v>
      </c>
      <c r="D862" t="s">
        <v>40</v>
      </c>
      <c r="E862" t="s">
        <v>52</v>
      </c>
      <c r="F862">
        <v>6.24</v>
      </c>
      <c r="G862" s="1">
        <v>45831</v>
      </c>
      <c r="H862" s="1">
        <v>43826</v>
      </c>
      <c r="I862" t="s">
        <v>2601</v>
      </c>
      <c r="J862" t="s">
        <v>19</v>
      </c>
      <c r="K862">
        <v>2</v>
      </c>
      <c r="L862" t="s">
        <v>27</v>
      </c>
      <c r="M862" s="1">
        <f t="shared" ca="1" si="26"/>
        <v>46204</v>
      </c>
      <c r="N862">
        <f t="shared" ca="1" si="27"/>
        <v>1</v>
      </c>
    </row>
    <row r="863" spans="1:14" x14ac:dyDescent="0.3">
      <c r="A863" t="s">
        <v>2602</v>
      </c>
      <c r="B863" t="s">
        <v>2603</v>
      </c>
      <c r="C863" t="s">
        <v>23</v>
      </c>
      <c r="D863" t="s">
        <v>69</v>
      </c>
      <c r="E863" t="s">
        <v>24</v>
      </c>
      <c r="F863">
        <v>4.79</v>
      </c>
      <c r="G863" s="1">
        <v>46051</v>
      </c>
      <c r="H863" s="1">
        <v>42542</v>
      </c>
      <c r="I863" t="s">
        <v>2604</v>
      </c>
      <c r="J863" t="s">
        <v>37</v>
      </c>
      <c r="K863">
        <v>3</v>
      </c>
      <c r="L863" t="s">
        <v>20</v>
      </c>
      <c r="M863" s="1">
        <f t="shared" ca="1" si="26"/>
        <v>46204</v>
      </c>
      <c r="N863">
        <f t="shared" ca="1" si="27"/>
        <v>1</v>
      </c>
    </row>
    <row r="864" spans="1:14" x14ac:dyDescent="0.3">
      <c r="A864" t="s">
        <v>2605</v>
      </c>
      <c r="B864" t="s">
        <v>2606</v>
      </c>
      <c r="C864" t="s">
        <v>64</v>
      </c>
      <c r="D864" t="s">
        <v>16</v>
      </c>
      <c r="E864" t="s">
        <v>24</v>
      </c>
      <c r="F864">
        <v>11.29</v>
      </c>
      <c r="G864" s="1">
        <v>45770</v>
      </c>
      <c r="H864" s="1">
        <v>45245</v>
      </c>
      <c r="I864" t="s">
        <v>2607</v>
      </c>
      <c r="J864" t="s">
        <v>19</v>
      </c>
      <c r="K864">
        <v>4</v>
      </c>
      <c r="L864" t="s">
        <v>20</v>
      </c>
      <c r="M864" s="1">
        <f t="shared" ca="1" si="26"/>
        <v>46204</v>
      </c>
      <c r="N864">
        <f t="shared" ca="1" si="27"/>
        <v>1</v>
      </c>
    </row>
    <row r="865" spans="1:14" x14ac:dyDescent="0.3">
      <c r="A865" t="s">
        <v>2608</v>
      </c>
      <c r="B865" t="s">
        <v>2609</v>
      </c>
      <c r="C865" t="s">
        <v>60</v>
      </c>
      <c r="D865" t="s">
        <v>69</v>
      </c>
      <c r="E865" t="s">
        <v>52</v>
      </c>
      <c r="F865">
        <v>27.72</v>
      </c>
      <c r="G865" s="1">
        <v>46035</v>
      </c>
      <c r="H865" s="1">
        <v>45184</v>
      </c>
      <c r="I865" t="s">
        <v>2610</v>
      </c>
      <c r="J865" t="s">
        <v>94</v>
      </c>
      <c r="K865">
        <v>1</v>
      </c>
      <c r="L865" t="s">
        <v>27</v>
      </c>
      <c r="M865" s="1">
        <f t="shared" ca="1" si="26"/>
        <v>46204</v>
      </c>
      <c r="N865">
        <f t="shared" ca="1" si="27"/>
        <v>1</v>
      </c>
    </row>
    <row r="866" spans="1:14" x14ac:dyDescent="0.3">
      <c r="A866" t="s">
        <v>2611</v>
      </c>
      <c r="B866" t="s">
        <v>2612</v>
      </c>
      <c r="C866" t="s">
        <v>47</v>
      </c>
      <c r="D866" t="s">
        <v>40</v>
      </c>
      <c r="E866" t="s">
        <v>24</v>
      </c>
      <c r="F866">
        <v>25.67</v>
      </c>
      <c r="G866" s="1">
        <v>45892</v>
      </c>
      <c r="H866" s="1">
        <v>43277</v>
      </c>
      <c r="I866" t="s">
        <v>2613</v>
      </c>
      <c r="J866" t="s">
        <v>26</v>
      </c>
      <c r="K866">
        <v>3</v>
      </c>
      <c r="L866" t="s">
        <v>20</v>
      </c>
      <c r="M866" s="1">
        <f t="shared" ca="1" si="26"/>
        <v>46204</v>
      </c>
      <c r="N866">
        <f t="shared" ca="1" si="27"/>
        <v>1</v>
      </c>
    </row>
    <row r="867" spans="1:14" x14ac:dyDescent="0.3">
      <c r="A867" t="s">
        <v>2614</v>
      </c>
      <c r="B867" t="s">
        <v>2615</v>
      </c>
      <c r="C867" t="s">
        <v>64</v>
      </c>
      <c r="D867" t="s">
        <v>35</v>
      </c>
      <c r="E867" t="s">
        <v>30</v>
      </c>
      <c r="F867">
        <v>37.450000000000003</v>
      </c>
      <c r="G867" s="1">
        <v>45706</v>
      </c>
      <c r="H867" s="1">
        <v>45275</v>
      </c>
      <c r="I867" t="s">
        <v>2616</v>
      </c>
      <c r="J867" t="s">
        <v>66</v>
      </c>
      <c r="K867">
        <v>4</v>
      </c>
      <c r="L867" t="s">
        <v>27</v>
      </c>
      <c r="M867" s="1">
        <f t="shared" ca="1" si="26"/>
        <v>46204</v>
      </c>
      <c r="N867">
        <f t="shared" ca="1" si="27"/>
        <v>1</v>
      </c>
    </row>
    <row r="868" spans="1:14" x14ac:dyDescent="0.3">
      <c r="A868" t="s">
        <v>2617</v>
      </c>
      <c r="B868" t="s">
        <v>2618</v>
      </c>
      <c r="C868" t="s">
        <v>23</v>
      </c>
      <c r="D868" t="s">
        <v>73</v>
      </c>
      <c r="E868" t="s">
        <v>52</v>
      </c>
      <c r="F868">
        <v>32.89</v>
      </c>
      <c r="G868" s="1">
        <v>46041</v>
      </c>
      <c r="H868" s="1">
        <v>45443</v>
      </c>
      <c r="I868" t="s">
        <v>2619</v>
      </c>
      <c r="J868" t="s">
        <v>94</v>
      </c>
      <c r="K868">
        <v>5</v>
      </c>
      <c r="L868" t="s">
        <v>27</v>
      </c>
      <c r="M868" s="1">
        <f t="shared" ca="1" si="26"/>
        <v>46204</v>
      </c>
      <c r="N868">
        <f t="shared" ca="1" si="27"/>
        <v>1</v>
      </c>
    </row>
    <row r="869" spans="1:14" x14ac:dyDescent="0.3">
      <c r="A869" t="s">
        <v>2620</v>
      </c>
      <c r="B869" t="s">
        <v>2621</v>
      </c>
      <c r="C869" t="s">
        <v>64</v>
      </c>
      <c r="D869" t="s">
        <v>56</v>
      </c>
      <c r="E869" t="s">
        <v>30</v>
      </c>
      <c r="F869">
        <v>36.82</v>
      </c>
      <c r="G869" s="1">
        <v>45744</v>
      </c>
      <c r="H869" s="1">
        <v>43808</v>
      </c>
      <c r="I869" t="s">
        <v>2622</v>
      </c>
      <c r="J869" t="s">
        <v>19</v>
      </c>
      <c r="K869">
        <v>4</v>
      </c>
      <c r="L869" t="s">
        <v>20</v>
      </c>
      <c r="M869" s="1">
        <f t="shared" ca="1" si="26"/>
        <v>46204</v>
      </c>
      <c r="N869">
        <f t="shared" ca="1" si="27"/>
        <v>1</v>
      </c>
    </row>
    <row r="870" spans="1:14" x14ac:dyDescent="0.3">
      <c r="A870" t="s">
        <v>2623</v>
      </c>
      <c r="B870" t="s">
        <v>2624</v>
      </c>
      <c r="C870" t="s">
        <v>47</v>
      </c>
      <c r="D870" t="s">
        <v>69</v>
      </c>
      <c r="E870" t="s">
        <v>30</v>
      </c>
      <c r="F870">
        <v>34.869999999999997</v>
      </c>
      <c r="G870" s="1">
        <v>45783</v>
      </c>
      <c r="H870" s="1">
        <v>45222</v>
      </c>
      <c r="I870" t="s">
        <v>2625</v>
      </c>
      <c r="J870" t="s">
        <v>26</v>
      </c>
      <c r="K870">
        <v>4</v>
      </c>
      <c r="L870" t="s">
        <v>27</v>
      </c>
      <c r="M870" s="1">
        <f t="shared" ca="1" si="26"/>
        <v>46204</v>
      </c>
      <c r="N870">
        <f t="shared" ca="1" si="27"/>
        <v>1</v>
      </c>
    </row>
    <row r="871" spans="1:14" x14ac:dyDescent="0.3">
      <c r="A871" t="s">
        <v>2626</v>
      </c>
      <c r="B871" t="s">
        <v>2627</v>
      </c>
      <c r="C871" t="s">
        <v>23</v>
      </c>
      <c r="D871" t="s">
        <v>16</v>
      </c>
      <c r="E871" t="s">
        <v>24</v>
      </c>
      <c r="F871">
        <v>22.44</v>
      </c>
      <c r="G871" s="1">
        <v>45885</v>
      </c>
      <c r="H871" s="1">
        <v>42521</v>
      </c>
      <c r="I871" t="s">
        <v>2628</v>
      </c>
      <c r="J871" t="s">
        <v>37</v>
      </c>
      <c r="K871">
        <v>5</v>
      </c>
      <c r="L871" t="s">
        <v>27</v>
      </c>
      <c r="M871" s="1">
        <f t="shared" ca="1" si="26"/>
        <v>46204</v>
      </c>
      <c r="N871">
        <f t="shared" ca="1" si="27"/>
        <v>1</v>
      </c>
    </row>
    <row r="872" spans="1:14" x14ac:dyDescent="0.3">
      <c r="A872" t="s">
        <v>2629</v>
      </c>
      <c r="B872" t="s">
        <v>2630</v>
      </c>
      <c r="C872" t="s">
        <v>64</v>
      </c>
      <c r="D872" t="s">
        <v>56</v>
      </c>
      <c r="E872" t="s">
        <v>17</v>
      </c>
      <c r="F872">
        <v>25.01</v>
      </c>
      <c r="G872" s="1">
        <v>45798</v>
      </c>
      <c r="H872" s="1">
        <v>45139</v>
      </c>
      <c r="I872" t="s">
        <v>2631</v>
      </c>
      <c r="J872" t="s">
        <v>94</v>
      </c>
      <c r="K872">
        <v>3</v>
      </c>
      <c r="L872" t="s">
        <v>27</v>
      </c>
      <c r="M872" s="1">
        <f t="shared" ca="1" si="26"/>
        <v>46204</v>
      </c>
      <c r="N872">
        <f t="shared" ca="1" si="27"/>
        <v>1</v>
      </c>
    </row>
    <row r="873" spans="1:14" x14ac:dyDescent="0.3">
      <c r="A873" t="s">
        <v>2632</v>
      </c>
      <c r="B873" t="s">
        <v>2633</v>
      </c>
      <c r="C873" t="s">
        <v>64</v>
      </c>
      <c r="D873" t="s">
        <v>69</v>
      </c>
      <c r="E873" t="s">
        <v>24</v>
      </c>
      <c r="F873">
        <v>23.33</v>
      </c>
      <c r="G873" s="1">
        <v>45751</v>
      </c>
      <c r="H873" s="1">
        <v>44567</v>
      </c>
      <c r="I873" t="s">
        <v>2634</v>
      </c>
      <c r="J873" t="s">
        <v>19</v>
      </c>
      <c r="K873">
        <v>2</v>
      </c>
      <c r="L873" t="s">
        <v>27</v>
      </c>
      <c r="M873" s="1">
        <f t="shared" ca="1" si="26"/>
        <v>46204</v>
      </c>
      <c r="N873">
        <f t="shared" ca="1" si="27"/>
        <v>1</v>
      </c>
    </row>
    <row r="874" spans="1:14" x14ac:dyDescent="0.3">
      <c r="A874" t="s">
        <v>2635</v>
      </c>
      <c r="B874" t="s">
        <v>2636</v>
      </c>
      <c r="C874" t="s">
        <v>124</v>
      </c>
      <c r="D874" t="s">
        <v>16</v>
      </c>
      <c r="E874" t="s">
        <v>52</v>
      </c>
      <c r="F874">
        <v>13.53</v>
      </c>
      <c r="G874" s="1">
        <v>45883</v>
      </c>
      <c r="H874" s="1">
        <v>43932</v>
      </c>
      <c r="I874" t="s">
        <v>2637</v>
      </c>
      <c r="J874" t="s">
        <v>94</v>
      </c>
      <c r="K874">
        <v>4</v>
      </c>
      <c r="L874" t="s">
        <v>27</v>
      </c>
      <c r="M874" s="1">
        <f t="shared" ca="1" si="26"/>
        <v>46204</v>
      </c>
      <c r="N874">
        <f t="shared" ca="1" si="27"/>
        <v>1</v>
      </c>
    </row>
    <row r="875" spans="1:14" x14ac:dyDescent="0.3">
      <c r="A875" t="s">
        <v>2638</v>
      </c>
      <c r="B875" t="s">
        <v>349</v>
      </c>
      <c r="C875" t="s">
        <v>34</v>
      </c>
      <c r="D875" t="s">
        <v>16</v>
      </c>
      <c r="E875" t="s">
        <v>24</v>
      </c>
      <c r="F875">
        <v>39.18</v>
      </c>
      <c r="G875" s="1">
        <v>46028</v>
      </c>
      <c r="H875" s="1">
        <v>44564</v>
      </c>
      <c r="I875" t="s">
        <v>2639</v>
      </c>
      <c r="J875" t="s">
        <v>19</v>
      </c>
      <c r="K875">
        <v>4</v>
      </c>
      <c r="L875" t="s">
        <v>20</v>
      </c>
      <c r="M875" s="1">
        <f t="shared" ca="1" si="26"/>
        <v>46204</v>
      </c>
      <c r="N875">
        <f t="shared" ca="1" si="27"/>
        <v>1</v>
      </c>
    </row>
    <row r="876" spans="1:14" x14ac:dyDescent="0.3">
      <c r="A876" t="s">
        <v>2640</v>
      </c>
      <c r="B876" t="s">
        <v>2641</v>
      </c>
      <c r="C876" t="s">
        <v>23</v>
      </c>
      <c r="D876" t="s">
        <v>35</v>
      </c>
      <c r="E876" t="s">
        <v>24</v>
      </c>
      <c r="F876">
        <v>28.34</v>
      </c>
      <c r="G876" s="1">
        <v>46050</v>
      </c>
      <c r="H876" s="1">
        <v>44175</v>
      </c>
      <c r="I876" t="s">
        <v>2642</v>
      </c>
      <c r="J876" t="s">
        <v>49</v>
      </c>
      <c r="K876">
        <v>4</v>
      </c>
      <c r="L876" t="s">
        <v>27</v>
      </c>
      <c r="M876" s="1">
        <f t="shared" ca="1" si="26"/>
        <v>46204</v>
      </c>
      <c r="N876">
        <f t="shared" ca="1" si="27"/>
        <v>1</v>
      </c>
    </row>
    <row r="877" spans="1:14" x14ac:dyDescent="0.3">
      <c r="A877" t="s">
        <v>2643</v>
      </c>
      <c r="B877" t="s">
        <v>2644</v>
      </c>
      <c r="C877" t="s">
        <v>23</v>
      </c>
      <c r="D877" t="s">
        <v>35</v>
      </c>
      <c r="E877" t="s">
        <v>30</v>
      </c>
      <c r="F877">
        <v>38.18</v>
      </c>
      <c r="G877" s="1">
        <v>45874</v>
      </c>
      <c r="H877" s="1">
        <v>43288</v>
      </c>
      <c r="I877" t="s">
        <v>2645</v>
      </c>
      <c r="J877" t="s">
        <v>26</v>
      </c>
      <c r="K877">
        <v>5</v>
      </c>
      <c r="L877" t="s">
        <v>20</v>
      </c>
      <c r="M877" s="1">
        <f t="shared" ca="1" si="26"/>
        <v>46204</v>
      </c>
      <c r="N877">
        <f t="shared" ca="1" si="27"/>
        <v>1</v>
      </c>
    </row>
    <row r="878" spans="1:14" x14ac:dyDescent="0.3">
      <c r="A878" t="s">
        <v>2646</v>
      </c>
      <c r="B878" t="s">
        <v>2647</v>
      </c>
      <c r="C878" t="s">
        <v>15</v>
      </c>
      <c r="D878" t="s">
        <v>69</v>
      </c>
      <c r="E878" t="s">
        <v>52</v>
      </c>
      <c r="F878">
        <v>29.69</v>
      </c>
      <c r="G878" s="1">
        <v>45986</v>
      </c>
      <c r="H878" s="1">
        <v>44023</v>
      </c>
      <c r="I878" t="s">
        <v>2648</v>
      </c>
      <c r="J878" t="s">
        <v>94</v>
      </c>
      <c r="K878">
        <v>5</v>
      </c>
      <c r="L878" t="s">
        <v>20</v>
      </c>
      <c r="M878" s="1">
        <f t="shared" ca="1" si="26"/>
        <v>46204</v>
      </c>
      <c r="N878">
        <f t="shared" ca="1" si="27"/>
        <v>1</v>
      </c>
    </row>
    <row r="879" spans="1:14" x14ac:dyDescent="0.3">
      <c r="A879" t="s">
        <v>2649</v>
      </c>
      <c r="B879" t="s">
        <v>2650</v>
      </c>
      <c r="C879" t="s">
        <v>23</v>
      </c>
      <c r="D879" t="s">
        <v>16</v>
      </c>
      <c r="E879" t="s">
        <v>30</v>
      </c>
      <c r="F879">
        <v>13.96</v>
      </c>
      <c r="G879" s="1">
        <v>45811</v>
      </c>
      <c r="H879" s="1">
        <v>45406</v>
      </c>
      <c r="I879" t="s">
        <v>2651</v>
      </c>
      <c r="J879" t="s">
        <v>26</v>
      </c>
      <c r="K879">
        <v>5</v>
      </c>
      <c r="L879" t="s">
        <v>27</v>
      </c>
      <c r="M879" s="1">
        <f t="shared" ca="1" si="26"/>
        <v>46204</v>
      </c>
      <c r="N879">
        <f t="shared" ca="1" si="27"/>
        <v>1</v>
      </c>
    </row>
    <row r="880" spans="1:14" x14ac:dyDescent="0.3">
      <c r="A880" t="s">
        <v>2652</v>
      </c>
      <c r="B880" t="s">
        <v>2653</v>
      </c>
      <c r="C880" t="s">
        <v>34</v>
      </c>
      <c r="D880" t="s">
        <v>73</v>
      </c>
      <c r="E880" t="s">
        <v>52</v>
      </c>
      <c r="F880">
        <v>11.62</v>
      </c>
      <c r="G880" s="1">
        <v>45733</v>
      </c>
      <c r="H880" s="1">
        <v>45507</v>
      </c>
      <c r="I880" t="s">
        <v>2654</v>
      </c>
      <c r="J880" t="s">
        <v>37</v>
      </c>
      <c r="K880">
        <v>4</v>
      </c>
      <c r="L880" t="s">
        <v>20</v>
      </c>
      <c r="M880" s="1">
        <f t="shared" ca="1" si="26"/>
        <v>46204</v>
      </c>
      <c r="N880">
        <f t="shared" ca="1" si="27"/>
        <v>1</v>
      </c>
    </row>
    <row r="881" spans="1:14" x14ac:dyDescent="0.3">
      <c r="A881" t="s">
        <v>2655</v>
      </c>
      <c r="B881" t="s">
        <v>2656</v>
      </c>
      <c r="C881" t="s">
        <v>47</v>
      </c>
      <c r="D881" t="s">
        <v>69</v>
      </c>
      <c r="E881" t="s">
        <v>52</v>
      </c>
      <c r="F881">
        <v>31.8</v>
      </c>
      <c r="G881" s="1">
        <v>45817</v>
      </c>
      <c r="H881" s="1">
        <v>43659</v>
      </c>
      <c r="I881" t="s">
        <v>2657</v>
      </c>
      <c r="J881" t="s">
        <v>66</v>
      </c>
      <c r="K881">
        <v>4</v>
      </c>
      <c r="L881" t="s">
        <v>20</v>
      </c>
      <c r="M881" s="1">
        <f t="shared" ca="1" si="26"/>
        <v>46204</v>
      </c>
      <c r="N881">
        <f t="shared" ca="1" si="27"/>
        <v>1</v>
      </c>
    </row>
    <row r="882" spans="1:14" x14ac:dyDescent="0.3">
      <c r="A882" t="s">
        <v>2658</v>
      </c>
      <c r="B882" t="s">
        <v>2659</v>
      </c>
      <c r="C882" t="s">
        <v>124</v>
      </c>
      <c r="D882" t="s">
        <v>16</v>
      </c>
      <c r="E882" t="s">
        <v>17</v>
      </c>
      <c r="F882">
        <v>17.690000000000001</v>
      </c>
      <c r="G882" s="1">
        <v>45977</v>
      </c>
      <c r="H882" s="1">
        <v>44659</v>
      </c>
      <c r="I882" t="s">
        <v>2660</v>
      </c>
      <c r="J882" t="s">
        <v>75</v>
      </c>
      <c r="K882">
        <v>5</v>
      </c>
      <c r="L882" t="s">
        <v>20</v>
      </c>
      <c r="M882" s="1">
        <f t="shared" ca="1" si="26"/>
        <v>46204</v>
      </c>
      <c r="N882">
        <f t="shared" ca="1" si="27"/>
        <v>1</v>
      </c>
    </row>
    <row r="883" spans="1:14" x14ac:dyDescent="0.3">
      <c r="A883" t="s">
        <v>2661</v>
      </c>
      <c r="B883" t="s">
        <v>2662</v>
      </c>
      <c r="C883" t="s">
        <v>60</v>
      </c>
      <c r="D883" t="s">
        <v>16</v>
      </c>
      <c r="E883" t="s">
        <v>24</v>
      </c>
      <c r="F883">
        <v>8.83</v>
      </c>
      <c r="G883" s="1">
        <v>45977</v>
      </c>
      <c r="H883" s="1">
        <v>43598</v>
      </c>
      <c r="I883" t="s">
        <v>2663</v>
      </c>
      <c r="J883" t="s">
        <v>49</v>
      </c>
      <c r="K883">
        <v>2</v>
      </c>
      <c r="L883" t="s">
        <v>20</v>
      </c>
      <c r="M883" s="1">
        <f t="shared" ca="1" si="26"/>
        <v>46204</v>
      </c>
      <c r="N883">
        <f t="shared" ca="1" si="27"/>
        <v>1</v>
      </c>
    </row>
    <row r="884" spans="1:14" x14ac:dyDescent="0.3">
      <c r="A884" t="s">
        <v>2664</v>
      </c>
      <c r="B884" t="s">
        <v>2665</v>
      </c>
      <c r="C884" t="s">
        <v>34</v>
      </c>
      <c r="D884" t="s">
        <v>56</v>
      </c>
      <c r="E884" t="s">
        <v>52</v>
      </c>
      <c r="F884">
        <v>21.34</v>
      </c>
      <c r="G884" s="1">
        <v>45766</v>
      </c>
      <c r="H884" s="1">
        <v>44962</v>
      </c>
      <c r="I884" t="s">
        <v>2666</v>
      </c>
      <c r="J884" t="s">
        <v>66</v>
      </c>
      <c r="K884">
        <v>4</v>
      </c>
      <c r="L884" t="s">
        <v>27</v>
      </c>
      <c r="M884" s="1">
        <f t="shared" ca="1" si="26"/>
        <v>46204</v>
      </c>
      <c r="N884">
        <f t="shared" ca="1" si="27"/>
        <v>1</v>
      </c>
    </row>
    <row r="885" spans="1:14" x14ac:dyDescent="0.3">
      <c r="A885" t="s">
        <v>2667</v>
      </c>
      <c r="B885" t="s">
        <v>2668</v>
      </c>
      <c r="C885" t="s">
        <v>64</v>
      </c>
      <c r="D885" t="s">
        <v>56</v>
      </c>
      <c r="E885" t="s">
        <v>30</v>
      </c>
      <c r="F885">
        <v>31.95</v>
      </c>
      <c r="G885" s="1">
        <v>45755</v>
      </c>
      <c r="H885" s="1">
        <v>44726</v>
      </c>
      <c r="I885" t="s">
        <v>2669</v>
      </c>
      <c r="J885" t="s">
        <v>94</v>
      </c>
      <c r="K885">
        <v>3</v>
      </c>
      <c r="L885" t="s">
        <v>20</v>
      </c>
      <c r="M885" s="1">
        <f t="shared" ca="1" si="26"/>
        <v>46204</v>
      </c>
      <c r="N885">
        <f t="shared" ca="1" si="27"/>
        <v>1</v>
      </c>
    </row>
    <row r="886" spans="1:14" x14ac:dyDescent="0.3">
      <c r="A886" t="s">
        <v>2670</v>
      </c>
      <c r="B886" t="s">
        <v>2671</v>
      </c>
      <c r="C886" t="s">
        <v>47</v>
      </c>
      <c r="D886" t="s">
        <v>69</v>
      </c>
      <c r="E886" t="s">
        <v>17</v>
      </c>
      <c r="F886">
        <v>9.5500000000000007</v>
      </c>
      <c r="G886" s="1">
        <v>45873</v>
      </c>
      <c r="H886" s="1">
        <v>42929</v>
      </c>
      <c r="I886" t="s">
        <v>2672</v>
      </c>
      <c r="J886" t="s">
        <v>19</v>
      </c>
      <c r="K886">
        <v>2</v>
      </c>
      <c r="L886" t="s">
        <v>27</v>
      </c>
      <c r="M886" s="1">
        <f t="shared" ca="1" si="26"/>
        <v>46204</v>
      </c>
      <c r="N886">
        <f t="shared" ca="1" si="27"/>
        <v>1</v>
      </c>
    </row>
    <row r="887" spans="1:14" x14ac:dyDescent="0.3">
      <c r="A887" t="s">
        <v>2673</v>
      </c>
      <c r="B887" t="s">
        <v>2674</v>
      </c>
      <c r="C887" t="s">
        <v>47</v>
      </c>
      <c r="D887" t="s">
        <v>16</v>
      </c>
      <c r="E887" t="s">
        <v>30</v>
      </c>
      <c r="F887">
        <v>19.739999999999998</v>
      </c>
      <c r="G887" s="1">
        <v>46056</v>
      </c>
      <c r="H887" s="1">
        <v>44235</v>
      </c>
      <c r="I887" t="s">
        <v>2675</v>
      </c>
      <c r="J887" t="s">
        <v>75</v>
      </c>
      <c r="K887">
        <v>4</v>
      </c>
      <c r="L887" t="s">
        <v>20</v>
      </c>
      <c r="M887" s="1">
        <f t="shared" ca="1" si="26"/>
        <v>46204</v>
      </c>
      <c r="N887">
        <f t="shared" ca="1" si="27"/>
        <v>1</v>
      </c>
    </row>
    <row r="888" spans="1:14" x14ac:dyDescent="0.3">
      <c r="A888" t="s">
        <v>2676</v>
      </c>
      <c r="B888" t="s">
        <v>2677</v>
      </c>
      <c r="C888" t="s">
        <v>23</v>
      </c>
      <c r="D888" t="s">
        <v>73</v>
      </c>
      <c r="E888" t="s">
        <v>17</v>
      </c>
      <c r="F888">
        <v>8.98</v>
      </c>
      <c r="G888" s="1">
        <v>45998</v>
      </c>
      <c r="H888" s="1">
        <v>42683</v>
      </c>
      <c r="I888" t="s">
        <v>2678</v>
      </c>
      <c r="J888" t="s">
        <v>75</v>
      </c>
      <c r="K888">
        <v>5</v>
      </c>
      <c r="L888" t="s">
        <v>20</v>
      </c>
      <c r="M888" s="1">
        <f t="shared" ca="1" si="26"/>
        <v>46204</v>
      </c>
      <c r="N888">
        <f t="shared" ca="1" si="27"/>
        <v>1</v>
      </c>
    </row>
    <row r="889" spans="1:14" x14ac:dyDescent="0.3">
      <c r="A889" t="s">
        <v>2679</v>
      </c>
      <c r="B889" t="s">
        <v>2680</v>
      </c>
      <c r="C889" t="s">
        <v>60</v>
      </c>
      <c r="D889" t="s">
        <v>73</v>
      </c>
      <c r="E889" t="s">
        <v>52</v>
      </c>
      <c r="F889">
        <v>13.16</v>
      </c>
      <c r="G889" s="1">
        <v>45963</v>
      </c>
      <c r="H889" s="1">
        <v>43680</v>
      </c>
      <c r="I889" t="s">
        <v>2681</v>
      </c>
      <c r="J889" t="s">
        <v>19</v>
      </c>
      <c r="K889">
        <v>2</v>
      </c>
      <c r="L889" t="s">
        <v>27</v>
      </c>
      <c r="M889" s="1">
        <f t="shared" ca="1" si="26"/>
        <v>46204</v>
      </c>
      <c r="N889">
        <f t="shared" ca="1" si="27"/>
        <v>1</v>
      </c>
    </row>
    <row r="890" spans="1:14" x14ac:dyDescent="0.3">
      <c r="A890" t="s">
        <v>2682</v>
      </c>
      <c r="B890" t="s">
        <v>2683</v>
      </c>
      <c r="C890" t="s">
        <v>34</v>
      </c>
      <c r="D890" t="s">
        <v>73</v>
      </c>
      <c r="E890" t="s">
        <v>30</v>
      </c>
      <c r="F890">
        <v>23.98</v>
      </c>
      <c r="G890" s="1">
        <v>46011</v>
      </c>
      <c r="H890" s="1">
        <v>44859</v>
      </c>
      <c r="I890" t="s">
        <v>2684</v>
      </c>
      <c r="J890" t="s">
        <v>26</v>
      </c>
      <c r="K890">
        <v>2</v>
      </c>
      <c r="L890" t="s">
        <v>27</v>
      </c>
      <c r="M890" s="1">
        <f t="shared" ca="1" si="26"/>
        <v>46204</v>
      </c>
      <c r="N890">
        <f t="shared" ca="1" si="27"/>
        <v>1</v>
      </c>
    </row>
    <row r="891" spans="1:14" x14ac:dyDescent="0.3">
      <c r="A891" t="s">
        <v>2685</v>
      </c>
      <c r="B891" t="s">
        <v>2686</v>
      </c>
      <c r="C891" t="s">
        <v>60</v>
      </c>
      <c r="D891" t="s">
        <v>40</v>
      </c>
      <c r="E891" t="s">
        <v>17</v>
      </c>
      <c r="F891">
        <v>16.02</v>
      </c>
      <c r="G891" s="1">
        <v>45831</v>
      </c>
      <c r="H891" s="1">
        <v>44035</v>
      </c>
      <c r="I891" t="s">
        <v>2687</v>
      </c>
      <c r="J891" t="s">
        <v>19</v>
      </c>
      <c r="K891">
        <v>3</v>
      </c>
      <c r="L891" t="s">
        <v>20</v>
      </c>
      <c r="M891" s="1">
        <f t="shared" ca="1" si="26"/>
        <v>46204</v>
      </c>
      <c r="N891">
        <f t="shared" ca="1" si="27"/>
        <v>1</v>
      </c>
    </row>
    <row r="892" spans="1:14" x14ac:dyDescent="0.3">
      <c r="A892" t="s">
        <v>2688</v>
      </c>
      <c r="B892" t="s">
        <v>2689</v>
      </c>
      <c r="C892" t="s">
        <v>124</v>
      </c>
      <c r="D892" t="s">
        <v>69</v>
      </c>
      <c r="E892" t="s">
        <v>30</v>
      </c>
      <c r="F892">
        <v>19.47</v>
      </c>
      <c r="G892" s="1">
        <v>45952</v>
      </c>
      <c r="H892" s="1">
        <v>42939</v>
      </c>
      <c r="I892" t="s">
        <v>2690</v>
      </c>
      <c r="J892" t="s">
        <v>26</v>
      </c>
      <c r="K892">
        <v>5</v>
      </c>
      <c r="L892" t="s">
        <v>20</v>
      </c>
      <c r="M892" s="1">
        <f t="shared" ca="1" si="26"/>
        <v>46204</v>
      </c>
      <c r="N892">
        <f t="shared" ca="1" si="27"/>
        <v>1</v>
      </c>
    </row>
    <row r="893" spans="1:14" x14ac:dyDescent="0.3">
      <c r="A893" t="s">
        <v>2691</v>
      </c>
      <c r="B893" t="s">
        <v>2692</v>
      </c>
      <c r="C893" t="s">
        <v>124</v>
      </c>
      <c r="D893" t="s">
        <v>56</v>
      </c>
      <c r="E893" t="s">
        <v>52</v>
      </c>
      <c r="F893">
        <v>29.22</v>
      </c>
      <c r="G893" s="1">
        <v>45838</v>
      </c>
      <c r="H893" s="1">
        <v>44090</v>
      </c>
      <c r="I893" t="s">
        <v>2693</v>
      </c>
      <c r="J893" t="s">
        <v>49</v>
      </c>
      <c r="K893">
        <v>2</v>
      </c>
      <c r="L893" t="s">
        <v>27</v>
      </c>
      <c r="M893" s="1">
        <f t="shared" ca="1" si="26"/>
        <v>46204</v>
      </c>
      <c r="N893">
        <f t="shared" ca="1" si="27"/>
        <v>1</v>
      </c>
    </row>
    <row r="894" spans="1:14" x14ac:dyDescent="0.3">
      <c r="A894" t="s">
        <v>2694</v>
      </c>
      <c r="B894" t="s">
        <v>2695</v>
      </c>
      <c r="C894" t="s">
        <v>64</v>
      </c>
      <c r="D894" t="s">
        <v>40</v>
      </c>
      <c r="E894" t="s">
        <v>24</v>
      </c>
      <c r="F894">
        <v>37.39</v>
      </c>
      <c r="G894" s="1">
        <v>46044</v>
      </c>
      <c r="H894" s="1">
        <v>42768</v>
      </c>
      <c r="I894" t="s">
        <v>2696</v>
      </c>
      <c r="J894" t="s">
        <v>94</v>
      </c>
      <c r="K894">
        <v>2</v>
      </c>
      <c r="L894" t="s">
        <v>20</v>
      </c>
      <c r="M894" s="1">
        <f t="shared" ca="1" si="26"/>
        <v>46204</v>
      </c>
      <c r="N894">
        <f t="shared" ca="1" si="27"/>
        <v>1</v>
      </c>
    </row>
    <row r="895" spans="1:14" x14ac:dyDescent="0.3">
      <c r="A895" t="s">
        <v>2697</v>
      </c>
      <c r="B895" t="s">
        <v>410</v>
      </c>
      <c r="C895" t="s">
        <v>60</v>
      </c>
      <c r="D895" t="s">
        <v>73</v>
      </c>
      <c r="E895" t="s">
        <v>17</v>
      </c>
      <c r="F895">
        <v>33.43</v>
      </c>
      <c r="G895" s="1">
        <v>45750</v>
      </c>
      <c r="H895" s="1">
        <v>44672</v>
      </c>
      <c r="I895" t="s">
        <v>2698</v>
      </c>
      <c r="J895" t="s">
        <v>66</v>
      </c>
      <c r="K895">
        <v>1</v>
      </c>
      <c r="L895" t="s">
        <v>20</v>
      </c>
      <c r="M895" s="1">
        <f t="shared" ca="1" si="26"/>
        <v>46204</v>
      </c>
      <c r="N895">
        <f t="shared" ca="1" si="27"/>
        <v>1</v>
      </c>
    </row>
    <row r="896" spans="1:14" x14ac:dyDescent="0.3">
      <c r="A896" t="s">
        <v>2699</v>
      </c>
      <c r="B896" t="s">
        <v>2700</v>
      </c>
      <c r="C896" t="s">
        <v>64</v>
      </c>
      <c r="D896" t="s">
        <v>35</v>
      </c>
      <c r="E896" t="s">
        <v>24</v>
      </c>
      <c r="F896">
        <v>28.71</v>
      </c>
      <c r="G896" s="1">
        <v>45967</v>
      </c>
      <c r="H896" s="1">
        <v>44743</v>
      </c>
      <c r="I896" t="s">
        <v>2701</v>
      </c>
      <c r="J896" t="s">
        <v>66</v>
      </c>
      <c r="K896">
        <v>1</v>
      </c>
      <c r="L896" t="s">
        <v>20</v>
      </c>
      <c r="M896" s="1">
        <f t="shared" ca="1" si="26"/>
        <v>46204</v>
      </c>
      <c r="N896">
        <f t="shared" ca="1" si="27"/>
        <v>1</v>
      </c>
    </row>
    <row r="897" spans="1:14" x14ac:dyDescent="0.3">
      <c r="A897" t="s">
        <v>2702</v>
      </c>
      <c r="B897" t="s">
        <v>2703</v>
      </c>
      <c r="C897" t="s">
        <v>47</v>
      </c>
      <c r="D897" t="s">
        <v>69</v>
      </c>
      <c r="E897" t="s">
        <v>30</v>
      </c>
      <c r="F897">
        <v>8.89</v>
      </c>
      <c r="G897" s="1">
        <v>45945</v>
      </c>
      <c r="H897" s="1">
        <v>44643</v>
      </c>
      <c r="I897" t="s">
        <v>2704</v>
      </c>
      <c r="J897" t="s">
        <v>75</v>
      </c>
      <c r="K897">
        <v>3</v>
      </c>
      <c r="L897" t="s">
        <v>20</v>
      </c>
      <c r="M897" s="1">
        <f t="shared" ca="1" si="26"/>
        <v>46204</v>
      </c>
      <c r="N897">
        <f t="shared" ca="1" si="27"/>
        <v>1</v>
      </c>
    </row>
    <row r="898" spans="1:14" x14ac:dyDescent="0.3">
      <c r="A898" t="s">
        <v>2705</v>
      </c>
      <c r="B898" t="s">
        <v>2706</v>
      </c>
      <c r="C898" t="s">
        <v>47</v>
      </c>
      <c r="D898" t="s">
        <v>35</v>
      </c>
      <c r="E898" t="s">
        <v>24</v>
      </c>
      <c r="F898">
        <v>36.42</v>
      </c>
      <c r="G898" s="1">
        <v>45758</v>
      </c>
      <c r="H898" s="1">
        <v>42442</v>
      </c>
      <c r="I898" t="s">
        <v>2707</v>
      </c>
      <c r="J898" t="s">
        <v>19</v>
      </c>
      <c r="K898">
        <v>5</v>
      </c>
      <c r="L898" t="s">
        <v>20</v>
      </c>
      <c r="M898" s="1">
        <f t="shared" ca="1" si="26"/>
        <v>46204</v>
      </c>
      <c r="N898">
        <f t="shared" ca="1" si="27"/>
        <v>1</v>
      </c>
    </row>
    <row r="899" spans="1:14" x14ac:dyDescent="0.3">
      <c r="A899" t="s">
        <v>2708</v>
      </c>
      <c r="B899" t="s">
        <v>2709</v>
      </c>
      <c r="C899" t="s">
        <v>47</v>
      </c>
      <c r="D899" t="s">
        <v>16</v>
      </c>
      <c r="E899" t="s">
        <v>30</v>
      </c>
      <c r="F899">
        <v>17.57</v>
      </c>
      <c r="G899" s="1">
        <v>45966</v>
      </c>
      <c r="H899" s="1">
        <v>44273</v>
      </c>
      <c r="I899" t="s">
        <v>2710</v>
      </c>
      <c r="J899" t="s">
        <v>49</v>
      </c>
      <c r="K899">
        <v>4</v>
      </c>
      <c r="L899" t="s">
        <v>27</v>
      </c>
      <c r="M899" s="1">
        <f t="shared" ref="M899:M962" ca="1" si="28">TODAY()</f>
        <v>46204</v>
      </c>
      <c r="N899">
        <f t="shared" ref="N899:N962" ca="1" si="29">IF(G899&lt;M899,1,0)</f>
        <v>1</v>
      </c>
    </row>
    <row r="900" spans="1:14" x14ac:dyDescent="0.3">
      <c r="A900" t="s">
        <v>2711</v>
      </c>
      <c r="B900" t="s">
        <v>2712</v>
      </c>
      <c r="C900" t="s">
        <v>47</v>
      </c>
      <c r="D900" t="s">
        <v>73</v>
      </c>
      <c r="E900" t="s">
        <v>24</v>
      </c>
      <c r="F900">
        <v>8.7899999999999991</v>
      </c>
      <c r="G900" s="1">
        <v>45744</v>
      </c>
      <c r="H900" s="1">
        <v>44613</v>
      </c>
      <c r="I900" t="s">
        <v>2713</v>
      </c>
      <c r="J900" t="s">
        <v>75</v>
      </c>
      <c r="K900">
        <v>5</v>
      </c>
      <c r="L900" t="s">
        <v>27</v>
      </c>
      <c r="M900" s="1">
        <f t="shared" ca="1" si="28"/>
        <v>46204</v>
      </c>
      <c r="N900">
        <f t="shared" ca="1" si="29"/>
        <v>1</v>
      </c>
    </row>
    <row r="901" spans="1:14" x14ac:dyDescent="0.3">
      <c r="A901" t="s">
        <v>2714</v>
      </c>
      <c r="B901" t="s">
        <v>2715</v>
      </c>
      <c r="C901" t="s">
        <v>124</v>
      </c>
      <c r="D901" t="s">
        <v>56</v>
      </c>
      <c r="E901" t="s">
        <v>30</v>
      </c>
      <c r="F901">
        <v>39.409999999999997</v>
      </c>
      <c r="G901" s="1">
        <v>45735</v>
      </c>
      <c r="H901" s="1">
        <v>44191</v>
      </c>
      <c r="I901" t="s">
        <v>2716</v>
      </c>
      <c r="J901" t="s">
        <v>19</v>
      </c>
      <c r="K901">
        <v>5</v>
      </c>
      <c r="L901" t="s">
        <v>27</v>
      </c>
      <c r="M901" s="1">
        <f t="shared" ca="1" si="28"/>
        <v>46204</v>
      </c>
      <c r="N901">
        <f t="shared" ca="1" si="29"/>
        <v>1</v>
      </c>
    </row>
    <row r="902" spans="1:14" x14ac:dyDescent="0.3">
      <c r="A902" t="s">
        <v>2717</v>
      </c>
      <c r="B902" t="s">
        <v>2718</v>
      </c>
      <c r="C902" t="s">
        <v>34</v>
      </c>
      <c r="D902" t="s">
        <v>16</v>
      </c>
      <c r="E902" t="s">
        <v>30</v>
      </c>
      <c r="F902">
        <v>16.829999999999998</v>
      </c>
      <c r="G902" s="1">
        <v>45879</v>
      </c>
      <c r="H902" s="1">
        <v>44275</v>
      </c>
      <c r="I902" t="s">
        <v>2719</v>
      </c>
      <c r="J902" t="s">
        <v>26</v>
      </c>
      <c r="K902">
        <v>1</v>
      </c>
      <c r="L902" t="s">
        <v>27</v>
      </c>
      <c r="M902" s="1">
        <f t="shared" ca="1" si="28"/>
        <v>46204</v>
      </c>
      <c r="N902">
        <f t="shared" ca="1" si="29"/>
        <v>1</v>
      </c>
    </row>
    <row r="903" spans="1:14" x14ac:dyDescent="0.3">
      <c r="A903" t="s">
        <v>2720</v>
      </c>
      <c r="B903" t="s">
        <v>2721</v>
      </c>
      <c r="C903" t="s">
        <v>34</v>
      </c>
      <c r="D903" t="s">
        <v>16</v>
      </c>
      <c r="E903" t="s">
        <v>30</v>
      </c>
      <c r="F903">
        <v>22.67</v>
      </c>
      <c r="G903" s="1">
        <v>45956</v>
      </c>
      <c r="H903" s="1">
        <v>43036</v>
      </c>
      <c r="I903" t="s">
        <v>2722</v>
      </c>
      <c r="J903" t="s">
        <v>19</v>
      </c>
      <c r="K903">
        <v>2</v>
      </c>
      <c r="L903" t="s">
        <v>27</v>
      </c>
      <c r="M903" s="1">
        <f t="shared" ca="1" si="28"/>
        <v>46204</v>
      </c>
      <c r="N903">
        <f t="shared" ca="1" si="29"/>
        <v>1</v>
      </c>
    </row>
    <row r="904" spans="1:14" x14ac:dyDescent="0.3">
      <c r="A904" t="s">
        <v>2723</v>
      </c>
      <c r="B904" t="s">
        <v>2724</v>
      </c>
      <c r="C904" t="s">
        <v>64</v>
      </c>
      <c r="D904" t="s">
        <v>16</v>
      </c>
      <c r="E904" t="s">
        <v>30</v>
      </c>
      <c r="F904">
        <v>33.369999999999997</v>
      </c>
      <c r="G904" s="1">
        <v>45855</v>
      </c>
      <c r="H904" s="1">
        <v>44969</v>
      </c>
      <c r="I904" t="s">
        <v>2725</v>
      </c>
      <c r="J904" t="s">
        <v>26</v>
      </c>
      <c r="K904">
        <v>4</v>
      </c>
      <c r="L904" t="s">
        <v>27</v>
      </c>
      <c r="M904" s="1">
        <f t="shared" ca="1" si="28"/>
        <v>46204</v>
      </c>
      <c r="N904">
        <f t="shared" ca="1" si="29"/>
        <v>1</v>
      </c>
    </row>
    <row r="905" spans="1:14" x14ac:dyDescent="0.3">
      <c r="A905" t="s">
        <v>2726</v>
      </c>
      <c r="B905" t="s">
        <v>2727</v>
      </c>
      <c r="C905" t="s">
        <v>34</v>
      </c>
      <c r="D905" t="s">
        <v>73</v>
      </c>
      <c r="E905" t="s">
        <v>30</v>
      </c>
      <c r="F905">
        <v>25.06</v>
      </c>
      <c r="G905" s="1">
        <v>46019</v>
      </c>
      <c r="H905" s="1">
        <v>45045</v>
      </c>
      <c r="I905" t="s">
        <v>2728</v>
      </c>
      <c r="J905" t="s">
        <v>37</v>
      </c>
      <c r="K905">
        <v>5</v>
      </c>
      <c r="L905" t="s">
        <v>20</v>
      </c>
      <c r="M905" s="1">
        <f t="shared" ca="1" si="28"/>
        <v>46204</v>
      </c>
      <c r="N905">
        <f t="shared" ca="1" si="29"/>
        <v>1</v>
      </c>
    </row>
    <row r="906" spans="1:14" x14ac:dyDescent="0.3">
      <c r="A906" t="s">
        <v>2729</v>
      </c>
      <c r="B906" t="s">
        <v>2730</v>
      </c>
      <c r="C906" t="s">
        <v>64</v>
      </c>
      <c r="D906" t="s">
        <v>69</v>
      </c>
      <c r="E906" t="s">
        <v>30</v>
      </c>
      <c r="F906">
        <v>23.32</v>
      </c>
      <c r="G906" s="1">
        <v>45952</v>
      </c>
      <c r="H906" s="1">
        <v>43344</v>
      </c>
      <c r="I906" t="s">
        <v>2731</v>
      </c>
      <c r="J906" t="s">
        <v>26</v>
      </c>
      <c r="K906">
        <v>5</v>
      </c>
      <c r="L906" t="s">
        <v>27</v>
      </c>
      <c r="M906" s="1">
        <f t="shared" ca="1" si="28"/>
        <v>46204</v>
      </c>
      <c r="N906">
        <f t="shared" ca="1" si="29"/>
        <v>1</v>
      </c>
    </row>
    <row r="907" spans="1:14" x14ac:dyDescent="0.3">
      <c r="A907" t="s">
        <v>2732</v>
      </c>
      <c r="B907" t="s">
        <v>2733</v>
      </c>
      <c r="C907" t="s">
        <v>60</v>
      </c>
      <c r="D907" t="s">
        <v>56</v>
      </c>
      <c r="E907" t="s">
        <v>52</v>
      </c>
      <c r="F907">
        <v>14.21</v>
      </c>
      <c r="G907" s="1">
        <v>45726</v>
      </c>
      <c r="H907" s="1">
        <v>44273</v>
      </c>
      <c r="I907" t="s">
        <v>2734</v>
      </c>
      <c r="J907" t="s">
        <v>49</v>
      </c>
      <c r="K907">
        <v>1</v>
      </c>
      <c r="L907" t="s">
        <v>27</v>
      </c>
      <c r="M907" s="1">
        <f t="shared" ca="1" si="28"/>
        <v>46204</v>
      </c>
      <c r="N907">
        <f t="shared" ca="1" si="29"/>
        <v>1</v>
      </c>
    </row>
    <row r="908" spans="1:14" x14ac:dyDescent="0.3">
      <c r="A908" t="s">
        <v>2735</v>
      </c>
      <c r="B908" t="s">
        <v>2736</v>
      </c>
      <c r="C908" t="s">
        <v>15</v>
      </c>
      <c r="D908" t="s">
        <v>40</v>
      </c>
      <c r="E908" t="s">
        <v>17</v>
      </c>
      <c r="F908">
        <v>15.47</v>
      </c>
      <c r="G908" s="1">
        <v>45989</v>
      </c>
      <c r="H908" s="1">
        <v>45449</v>
      </c>
      <c r="I908" t="s">
        <v>2737</v>
      </c>
      <c r="J908" t="s">
        <v>37</v>
      </c>
      <c r="K908">
        <v>4</v>
      </c>
      <c r="L908" t="s">
        <v>27</v>
      </c>
      <c r="M908" s="1">
        <f t="shared" ca="1" si="28"/>
        <v>46204</v>
      </c>
      <c r="N908">
        <f t="shared" ca="1" si="29"/>
        <v>1</v>
      </c>
    </row>
    <row r="909" spans="1:14" x14ac:dyDescent="0.3">
      <c r="A909" t="s">
        <v>2738</v>
      </c>
      <c r="B909" t="s">
        <v>2739</v>
      </c>
      <c r="C909" t="s">
        <v>60</v>
      </c>
      <c r="D909" t="s">
        <v>73</v>
      </c>
      <c r="E909" t="s">
        <v>17</v>
      </c>
      <c r="F909">
        <v>28.85</v>
      </c>
      <c r="G909" s="1">
        <v>45828</v>
      </c>
      <c r="H909" s="1">
        <v>44539</v>
      </c>
      <c r="I909" t="s">
        <v>2740</v>
      </c>
      <c r="J909" t="s">
        <v>66</v>
      </c>
      <c r="K909">
        <v>5</v>
      </c>
      <c r="L909" t="s">
        <v>20</v>
      </c>
      <c r="M909" s="1">
        <f t="shared" ca="1" si="28"/>
        <v>46204</v>
      </c>
      <c r="N909">
        <f t="shared" ca="1" si="29"/>
        <v>1</v>
      </c>
    </row>
    <row r="910" spans="1:14" x14ac:dyDescent="0.3">
      <c r="A910" t="s">
        <v>2741</v>
      </c>
      <c r="B910" t="s">
        <v>1588</v>
      </c>
      <c r="C910" t="s">
        <v>64</v>
      </c>
      <c r="D910" t="s">
        <v>16</v>
      </c>
      <c r="E910" t="s">
        <v>17</v>
      </c>
      <c r="F910">
        <v>21.45</v>
      </c>
      <c r="G910" s="1">
        <v>46000</v>
      </c>
      <c r="H910" s="1">
        <v>42598</v>
      </c>
      <c r="I910" t="s">
        <v>2742</v>
      </c>
      <c r="J910" t="s">
        <v>37</v>
      </c>
      <c r="K910">
        <v>3</v>
      </c>
      <c r="L910" t="s">
        <v>27</v>
      </c>
      <c r="M910" s="1">
        <f t="shared" ca="1" si="28"/>
        <v>46204</v>
      </c>
      <c r="N910">
        <f t="shared" ca="1" si="29"/>
        <v>1</v>
      </c>
    </row>
    <row r="911" spans="1:14" x14ac:dyDescent="0.3">
      <c r="A911" t="s">
        <v>2743</v>
      </c>
      <c r="B911" t="s">
        <v>2744</v>
      </c>
      <c r="C911" t="s">
        <v>124</v>
      </c>
      <c r="D911" t="s">
        <v>35</v>
      </c>
      <c r="E911" t="s">
        <v>24</v>
      </c>
      <c r="F911">
        <v>24.99</v>
      </c>
      <c r="G911" s="1">
        <v>45991</v>
      </c>
      <c r="H911" s="1">
        <v>45135</v>
      </c>
      <c r="I911" t="s">
        <v>2745</v>
      </c>
      <c r="J911" t="s">
        <v>75</v>
      </c>
      <c r="K911">
        <v>4</v>
      </c>
      <c r="L911" t="s">
        <v>27</v>
      </c>
      <c r="M911" s="1">
        <f t="shared" ca="1" si="28"/>
        <v>46204</v>
      </c>
      <c r="N911">
        <f t="shared" ca="1" si="29"/>
        <v>1</v>
      </c>
    </row>
    <row r="912" spans="1:14" x14ac:dyDescent="0.3">
      <c r="A912" t="s">
        <v>2746</v>
      </c>
      <c r="B912" t="s">
        <v>2747</v>
      </c>
      <c r="C912" t="s">
        <v>47</v>
      </c>
      <c r="D912" t="s">
        <v>35</v>
      </c>
      <c r="E912" t="s">
        <v>24</v>
      </c>
      <c r="F912">
        <v>38.57</v>
      </c>
      <c r="G912" s="1">
        <v>45811</v>
      </c>
      <c r="H912" s="1">
        <v>44629</v>
      </c>
      <c r="I912" t="s">
        <v>2748</v>
      </c>
      <c r="J912" t="s">
        <v>37</v>
      </c>
      <c r="K912">
        <v>1</v>
      </c>
      <c r="L912" t="s">
        <v>27</v>
      </c>
      <c r="M912" s="1">
        <f t="shared" ca="1" si="28"/>
        <v>46204</v>
      </c>
      <c r="N912">
        <f t="shared" ca="1" si="29"/>
        <v>1</v>
      </c>
    </row>
    <row r="913" spans="1:14" x14ac:dyDescent="0.3">
      <c r="A913" t="s">
        <v>2749</v>
      </c>
      <c r="B913" t="s">
        <v>2750</v>
      </c>
      <c r="C913" t="s">
        <v>60</v>
      </c>
      <c r="D913" t="s">
        <v>56</v>
      </c>
      <c r="E913" t="s">
        <v>30</v>
      </c>
      <c r="F913">
        <v>26.37</v>
      </c>
      <c r="G913" s="1">
        <v>45956</v>
      </c>
      <c r="H913" s="1">
        <v>44383</v>
      </c>
      <c r="I913" t="s">
        <v>2751</v>
      </c>
      <c r="J913" t="s">
        <v>49</v>
      </c>
      <c r="K913">
        <v>2</v>
      </c>
      <c r="L913" t="s">
        <v>27</v>
      </c>
      <c r="M913" s="1">
        <f t="shared" ca="1" si="28"/>
        <v>46204</v>
      </c>
      <c r="N913">
        <f t="shared" ca="1" si="29"/>
        <v>1</v>
      </c>
    </row>
    <row r="914" spans="1:14" x14ac:dyDescent="0.3">
      <c r="A914" t="s">
        <v>2752</v>
      </c>
      <c r="B914" t="s">
        <v>2753</v>
      </c>
      <c r="C914" t="s">
        <v>64</v>
      </c>
      <c r="D914" t="s">
        <v>69</v>
      </c>
      <c r="E914" t="s">
        <v>52</v>
      </c>
      <c r="F914">
        <v>5.8</v>
      </c>
      <c r="G914" s="1">
        <v>45948</v>
      </c>
      <c r="H914" s="1">
        <v>44289</v>
      </c>
      <c r="I914" t="s">
        <v>2754</v>
      </c>
      <c r="J914" t="s">
        <v>94</v>
      </c>
      <c r="K914">
        <v>3</v>
      </c>
      <c r="L914" t="s">
        <v>27</v>
      </c>
      <c r="M914" s="1">
        <f t="shared" ca="1" si="28"/>
        <v>46204</v>
      </c>
      <c r="N914">
        <f t="shared" ca="1" si="29"/>
        <v>1</v>
      </c>
    </row>
    <row r="915" spans="1:14" x14ac:dyDescent="0.3">
      <c r="A915" t="s">
        <v>2755</v>
      </c>
      <c r="B915" t="s">
        <v>2756</v>
      </c>
      <c r="C915" t="s">
        <v>47</v>
      </c>
      <c r="D915" t="s">
        <v>35</v>
      </c>
      <c r="E915" t="s">
        <v>52</v>
      </c>
      <c r="F915">
        <v>3.3</v>
      </c>
      <c r="G915" s="1">
        <v>45889</v>
      </c>
      <c r="H915" s="1">
        <v>44250</v>
      </c>
      <c r="I915" t="s">
        <v>2757</v>
      </c>
      <c r="J915" t="s">
        <v>75</v>
      </c>
      <c r="K915">
        <v>1</v>
      </c>
      <c r="L915" t="s">
        <v>20</v>
      </c>
      <c r="M915" s="1">
        <f t="shared" ca="1" si="28"/>
        <v>46204</v>
      </c>
      <c r="N915">
        <f t="shared" ca="1" si="29"/>
        <v>1</v>
      </c>
    </row>
    <row r="916" spans="1:14" x14ac:dyDescent="0.3">
      <c r="A916" t="s">
        <v>2758</v>
      </c>
      <c r="B916" t="s">
        <v>2759</v>
      </c>
      <c r="C916" t="s">
        <v>23</v>
      </c>
      <c r="D916" t="s">
        <v>56</v>
      </c>
      <c r="E916" t="s">
        <v>17</v>
      </c>
      <c r="F916">
        <v>36.61</v>
      </c>
      <c r="G916" s="1">
        <v>45734</v>
      </c>
      <c r="H916" s="1">
        <v>42316</v>
      </c>
      <c r="I916" t="s">
        <v>2760</v>
      </c>
      <c r="J916" t="s">
        <v>75</v>
      </c>
      <c r="K916">
        <v>3</v>
      </c>
      <c r="L916" t="s">
        <v>20</v>
      </c>
      <c r="M916" s="1">
        <f t="shared" ca="1" si="28"/>
        <v>46204</v>
      </c>
      <c r="N916">
        <f t="shared" ca="1" si="29"/>
        <v>1</v>
      </c>
    </row>
    <row r="917" spans="1:14" x14ac:dyDescent="0.3">
      <c r="A917" t="s">
        <v>2761</v>
      </c>
      <c r="B917" t="s">
        <v>2762</v>
      </c>
      <c r="C917" t="s">
        <v>64</v>
      </c>
      <c r="D917" t="s">
        <v>69</v>
      </c>
      <c r="E917" t="s">
        <v>24</v>
      </c>
      <c r="F917">
        <v>18.27</v>
      </c>
      <c r="G917" s="1">
        <v>45988</v>
      </c>
      <c r="H917" s="1">
        <v>44946</v>
      </c>
      <c r="I917" t="s">
        <v>2763</v>
      </c>
      <c r="J917" t="s">
        <v>26</v>
      </c>
      <c r="K917">
        <v>5</v>
      </c>
      <c r="L917" t="s">
        <v>20</v>
      </c>
      <c r="M917" s="1">
        <f t="shared" ca="1" si="28"/>
        <v>46204</v>
      </c>
      <c r="N917">
        <f t="shared" ca="1" si="29"/>
        <v>1</v>
      </c>
    </row>
    <row r="918" spans="1:14" x14ac:dyDescent="0.3">
      <c r="A918" t="s">
        <v>2764</v>
      </c>
      <c r="B918" t="s">
        <v>2765</v>
      </c>
      <c r="C918" t="s">
        <v>64</v>
      </c>
      <c r="D918" t="s">
        <v>35</v>
      </c>
      <c r="E918" t="s">
        <v>52</v>
      </c>
      <c r="F918">
        <v>4.2699999999999996</v>
      </c>
      <c r="G918" s="1">
        <v>46045</v>
      </c>
      <c r="H918" s="1">
        <v>44416</v>
      </c>
      <c r="I918" t="s">
        <v>2766</v>
      </c>
      <c r="J918" t="s">
        <v>49</v>
      </c>
      <c r="K918">
        <v>1</v>
      </c>
      <c r="L918" t="s">
        <v>27</v>
      </c>
      <c r="M918" s="1">
        <f t="shared" ca="1" si="28"/>
        <v>46204</v>
      </c>
      <c r="N918">
        <f t="shared" ca="1" si="29"/>
        <v>1</v>
      </c>
    </row>
    <row r="919" spans="1:14" x14ac:dyDescent="0.3">
      <c r="A919" t="s">
        <v>2767</v>
      </c>
      <c r="B919" t="s">
        <v>2768</v>
      </c>
      <c r="C919" t="s">
        <v>60</v>
      </c>
      <c r="D919" t="s">
        <v>40</v>
      </c>
      <c r="E919" t="s">
        <v>24</v>
      </c>
      <c r="F919">
        <v>20.87</v>
      </c>
      <c r="G919" s="1">
        <v>45811</v>
      </c>
      <c r="H919" s="1">
        <v>44401</v>
      </c>
      <c r="I919" t="s">
        <v>2769</v>
      </c>
      <c r="J919" t="s">
        <v>49</v>
      </c>
      <c r="K919">
        <v>3</v>
      </c>
      <c r="L919" t="s">
        <v>27</v>
      </c>
      <c r="M919" s="1">
        <f t="shared" ca="1" si="28"/>
        <v>46204</v>
      </c>
      <c r="N919">
        <f t="shared" ca="1" si="29"/>
        <v>1</v>
      </c>
    </row>
    <row r="920" spans="1:14" x14ac:dyDescent="0.3">
      <c r="A920" t="s">
        <v>2770</v>
      </c>
      <c r="B920" t="s">
        <v>2771</v>
      </c>
      <c r="C920" t="s">
        <v>64</v>
      </c>
      <c r="D920" t="s">
        <v>56</v>
      </c>
      <c r="E920" t="s">
        <v>17</v>
      </c>
      <c r="F920">
        <v>6.16</v>
      </c>
      <c r="G920" s="1">
        <v>45965</v>
      </c>
      <c r="H920" s="1">
        <v>44164</v>
      </c>
      <c r="I920" t="s">
        <v>2772</v>
      </c>
      <c r="J920" t="s">
        <v>49</v>
      </c>
      <c r="K920">
        <v>4</v>
      </c>
      <c r="L920" t="s">
        <v>20</v>
      </c>
      <c r="M920" s="1">
        <f t="shared" ca="1" si="28"/>
        <v>46204</v>
      </c>
      <c r="N920">
        <f t="shared" ca="1" si="29"/>
        <v>1</v>
      </c>
    </row>
    <row r="921" spans="1:14" x14ac:dyDescent="0.3">
      <c r="A921" t="s">
        <v>2773</v>
      </c>
      <c r="B921" t="s">
        <v>2774</v>
      </c>
      <c r="C921" t="s">
        <v>64</v>
      </c>
      <c r="D921" t="s">
        <v>40</v>
      </c>
      <c r="E921" t="s">
        <v>52</v>
      </c>
      <c r="F921">
        <v>18.95</v>
      </c>
      <c r="G921" s="1">
        <v>45858</v>
      </c>
      <c r="H921" s="1">
        <v>42821</v>
      </c>
      <c r="I921" t="s">
        <v>2775</v>
      </c>
      <c r="J921" t="s">
        <v>26</v>
      </c>
      <c r="K921">
        <v>2</v>
      </c>
      <c r="L921" t="s">
        <v>20</v>
      </c>
      <c r="M921" s="1">
        <f t="shared" ca="1" si="28"/>
        <v>46204</v>
      </c>
      <c r="N921">
        <f t="shared" ca="1" si="29"/>
        <v>1</v>
      </c>
    </row>
    <row r="922" spans="1:14" x14ac:dyDescent="0.3">
      <c r="A922" t="s">
        <v>2776</v>
      </c>
      <c r="B922" t="s">
        <v>2777</v>
      </c>
      <c r="C922" t="s">
        <v>60</v>
      </c>
      <c r="D922" t="s">
        <v>40</v>
      </c>
      <c r="E922" t="s">
        <v>30</v>
      </c>
      <c r="F922">
        <v>37.72</v>
      </c>
      <c r="G922" s="1">
        <v>45972</v>
      </c>
      <c r="H922" s="1">
        <v>43231</v>
      </c>
      <c r="I922" t="s">
        <v>2778</v>
      </c>
      <c r="J922" t="s">
        <v>75</v>
      </c>
      <c r="K922">
        <v>4</v>
      </c>
      <c r="L922" t="s">
        <v>20</v>
      </c>
      <c r="M922" s="1">
        <f t="shared" ca="1" si="28"/>
        <v>46204</v>
      </c>
      <c r="N922">
        <f t="shared" ca="1" si="29"/>
        <v>1</v>
      </c>
    </row>
    <row r="923" spans="1:14" x14ac:dyDescent="0.3">
      <c r="A923" t="s">
        <v>2779</v>
      </c>
      <c r="B923" t="s">
        <v>2780</v>
      </c>
      <c r="C923" t="s">
        <v>15</v>
      </c>
      <c r="D923" t="s">
        <v>16</v>
      </c>
      <c r="E923" t="s">
        <v>52</v>
      </c>
      <c r="F923">
        <v>20.100000000000001</v>
      </c>
      <c r="G923" s="1">
        <v>46017</v>
      </c>
      <c r="H923" s="1">
        <v>43324</v>
      </c>
      <c r="I923" t="s">
        <v>2781</v>
      </c>
      <c r="J923" t="s">
        <v>66</v>
      </c>
      <c r="K923">
        <v>2</v>
      </c>
      <c r="L923" t="s">
        <v>27</v>
      </c>
      <c r="M923" s="1">
        <f t="shared" ca="1" si="28"/>
        <v>46204</v>
      </c>
      <c r="N923">
        <f t="shared" ca="1" si="29"/>
        <v>1</v>
      </c>
    </row>
    <row r="924" spans="1:14" x14ac:dyDescent="0.3">
      <c r="A924" t="s">
        <v>2782</v>
      </c>
      <c r="B924" t="s">
        <v>2783</v>
      </c>
      <c r="C924" t="s">
        <v>23</v>
      </c>
      <c r="D924" t="s">
        <v>35</v>
      </c>
      <c r="E924" t="s">
        <v>17</v>
      </c>
      <c r="F924">
        <v>33.950000000000003</v>
      </c>
      <c r="G924" s="1">
        <v>45857</v>
      </c>
      <c r="H924" s="1">
        <v>44049</v>
      </c>
      <c r="I924" t="s">
        <v>2784</v>
      </c>
      <c r="J924" t="s">
        <v>66</v>
      </c>
      <c r="K924">
        <v>2</v>
      </c>
      <c r="L924" t="s">
        <v>20</v>
      </c>
      <c r="M924" s="1">
        <f t="shared" ca="1" si="28"/>
        <v>46204</v>
      </c>
      <c r="N924">
        <f t="shared" ca="1" si="29"/>
        <v>1</v>
      </c>
    </row>
    <row r="925" spans="1:14" x14ac:dyDescent="0.3">
      <c r="A925" t="s">
        <v>2785</v>
      </c>
      <c r="B925" t="s">
        <v>2786</v>
      </c>
      <c r="C925" t="s">
        <v>34</v>
      </c>
      <c r="D925" t="s">
        <v>35</v>
      </c>
      <c r="E925" t="s">
        <v>17</v>
      </c>
      <c r="F925">
        <v>24.58</v>
      </c>
      <c r="G925" s="1">
        <v>45734</v>
      </c>
      <c r="H925" s="1">
        <v>44590</v>
      </c>
      <c r="I925" t="s">
        <v>2787</v>
      </c>
      <c r="J925" t="s">
        <v>26</v>
      </c>
      <c r="K925">
        <v>2</v>
      </c>
      <c r="L925" t="s">
        <v>27</v>
      </c>
      <c r="M925" s="1">
        <f t="shared" ca="1" si="28"/>
        <v>46204</v>
      </c>
      <c r="N925">
        <f t="shared" ca="1" si="29"/>
        <v>1</v>
      </c>
    </row>
    <row r="926" spans="1:14" x14ac:dyDescent="0.3">
      <c r="A926" t="s">
        <v>2788</v>
      </c>
      <c r="B926" t="s">
        <v>2789</v>
      </c>
      <c r="C926" t="s">
        <v>47</v>
      </c>
      <c r="D926" t="s">
        <v>56</v>
      </c>
      <c r="E926" t="s">
        <v>17</v>
      </c>
      <c r="F926">
        <v>22.5</v>
      </c>
      <c r="G926" s="1">
        <v>46012</v>
      </c>
      <c r="H926" s="1">
        <v>45366</v>
      </c>
      <c r="I926" t="s">
        <v>2790</v>
      </c>
      <c r="J926" t="s">
        <v>66</v>
      </c>
      <c r="K926">
        <v>4</v>
      </c>
      <c r="L926" t="s">
        <v>27</v>
      </c>
      <c r="M926" s="1">
        <f t="shared" ca="1" si="28"/>
        <v>46204</v>
      </c>
      <c r="N926">
        <f t="shared" ca="1" si="29"/>
        <v>1</v>
      </c>
    </row>
    <row r="927" spans="1:14" x14ac:dyDescent="0.3">
      <c r="A927" t="s">
        <v>2791</v>
      </c>
      <c r="B927" t="s">
        <v>2792</v>
      </c>
      <c r="C927" t="s">
        <v>60</v>
      </c>
      <c r="D927" t="s">
        <v>69</v>
      </c>
      <c r="E927" t="s">
        <v>24</v>
      </c>
      <c r="F927">
        <v>19.11</v>
      </c>
      <c r="G927" s="1">
        <v>45835</v>
      </c>
      <c r="H927" s="1">
        <v>43321</v>
      </c>
      <c r="I927" t="s">
        <v>2793</v>
      </c>
      <c r="J927" t="s">
        <v>19</v>
      </c>
      <c r="K927">
        <v>2</v>
      </c>
      <c r="L927" t="s">
        <v>20</v>
      </c>
      <c r="M927" s="1">
        <f t="shared" ca="1" si="28"/>
        <v>46204</v>
      </c>
      <c r="N927">
        <f t="shared" ca="1" si="29"/>
        <v>1</v>
      </c>
    </row>
    <row r="928" spans="1:14" x14ac:dyDescent="0.3">
      <c r="A928" t="s">
        <v>2794</v>
      </c>
      <c r="B928" t="s">
        <v>2795</v>
      </c>
      <c r="C928" t="s">
        <v>47</v>
      </c>
      <c r="D928" t="s">
        <v>40</v>
      </c>
      <c r="E928" t="s">
        <v>17</v>
      </c>
      <c r="F928">
        <v>26.25</v>
      </c>
      <c r="G928" s="1">
        <v>46002</v>
      </c>
      <c r="H928" s="1">
        <v>44633</v>
      </c>
      <c r="I928" t="s">
        <v>2796</v>
      </c>
      <c r="J928" t="s">
        <v>94</v>
      </c>
      <c r="K928">
        <v>2</v>
      </c>
      <c r="L928" t="s">
        <v>20</v>
      </c>
      <c r="M928" s="1">
        <f t="shared" ca="1" si="28"/>
        <v>46204</v>
      </c>
      <c r="N928">
        <f t="shared" ca="1" si="29"/>
        <v>1</v>
      </c>
    </row>
    <row r="929" spans="1:14" x14ac:dyDescent="0.3">
      <c r="A929" t="s">
        <v>2797</v>
      </c>
      <c r="B929" t="s">
        <v>2798</v>
      </c>
      <c r="C929" t="s">
        <v>34</v>
      </c>
      <c r="D929" t="s">
        <v>69</v>
      </c>
      <c r="E929" t="s">
        <v>52</v>
      </c>
      <c r="F929">
        <v>20.149999999999999</v>
      </c>
      <c r="G929" s="1">
        <v>45876</v>
      </c>
      <c r="H929" s="1">
        <v>44324</v>
      </c>
      <c r="I929" t="s">
        <v>2799</v>
      </c>
      <c r="J929" t="s">
        <v>19</v>
      </c>
      <c r="K929">
        <v>2</v>
      </c>
      <c r="L929" t="s">
        <v>20</v>
      </c>
      <c r="M929" s="1">
        <f t="shared" ca="1" si="28"/>
        <v>46204</v>
      </c>
      <c r="N929">
        <f t="shared" ca="1" si="29"/>
        <v>1</v>
      </c>
    </row>
    <row r="930" spans="1:14" x14ac:dyDescent="0.3">
      <c r="A930" t="s">
        <v>2800</v>
      </c>
      <c r="B930" t="s">
        <v>2801</v>
      </c>
      <c r="C930" t="s">
        <v>34</v>
      </c>
      <c r="D930" t="s">
        <v>73</v>
      </c>
      <c r="E930" t="s">
        <v>30</v>
      </c>
      <c r="F930">
        <v>19.89</v>
      </c>
      <c r="G930" s="1">
        <v>46022</v>
      </c>
      <c r="H930" s="1">
        <v>45179</v>
      </c>
      <c r="I930" t="s">
        <v>716</v>
      </c>
      <c r="J930" t="s">
        <v>94</v>
      </c>
      <c r="K930">
        <v>3</v>
      </c>
      <c r="L930" t="s">
        <v>27</v>
      </c>
      <c r="M930" s="1">
        <f t="shared" ca="1" si="28"/>
        <v>46204</v>
      </c>
      <c r="N930">
        <f t="shared" ca="1" si="29"/>
        <v>1</v>
      </c>
    </row>
    <row r="931" spans="1:14" x14ac:dyDescent="0.3">
      <c r="A931" t="s">
        <v>2802</v>
      </c>
      <c r="B931" t="s">
        <v>2803</v>
      </c>
      <c r="C931" t="s">
        <v>47</v>
      </c>
      <c r="D931" t="s">
        <v>40</v>
      </c>
      <c r="E931" t="s">
        <v>24</v>
      </c>
      <c r="F931">
        <v>38.07</v>
      </c>
      <c r="G931" s="1">
        <v>46016</v>
      </c>
      <c r="H931" s="1">
        <v>42686</v>
      </c>
      <c r="I931" t="s">
        <v>2804</v>
      </c>
      <c r="J931" t="s">
        <v>49</v>
      </c>
      <c r="K931">
        <v>5</v>
      </c>
      <c r="L931" t="s">
        <v>20</v>
      </c>
      <c r="M931" s="1">
        <f t="shared" ca="1" si="28"/>
        <v>46204</v>
      </c>
      <c r="N931">
        <f t="shared" ca="1" si="29"/>
        <v>1</v>
      </c>
    </row>
    <row r="932" spans="1:14" x14ac:dyDescent="0.3">
      <c r="A932" t="s">
        <v>2805</v>
      </c>
      <c r="B932" t="s">
        <v>2806</v>
      </c>
      <c r="C932" t="s">
        <v>47</v>
      </c>
      <c r="D932" t="s">
        <v>40</v>
      </c>
      <c r="E932" t="s">
        <v>52</v>
      </c>
      <c r="F932">
        <v>1.65</v>
      </c>
      <c r="G932" s="1">
        <v>45799</v>
      </c>
      <c r="H932" s="1">
        <v>43812</v>
      </c>
      <c r="I932" t="s">
        <v>2807</v>
      </c>
      <c r="J932" t="s">
        <v>26</v>
      </c>
      <c r="K932">
        <v>5</v>
      </c>
      <c r="L932" t="s">
        <v>20</v>
      </c>
      <c r="M932" s="1">
        <f t="shared" ca="1" si="28"/>
        <v>46204</v>
      </c>
      <c r="N932">
        <f t="shared" ca="1" si="29"/>
        <v>1</v>
      </c>
    </row>
    <row r="933" spans="1:14" x14ac:dyDescent="0.3">
      <c r="A933" t="s">
        <v>2808</v>
      </c>
      <c r="B933" t="s">
        <v>2809</v>
      </c>
      <c r="C933" t="s">
        <v>15</v>
      </c>
      <c r="D933" t="s">
        <v>16</v>
      </c>
      <c r="E933" t="s">
        <v>17</v>
      </c>
      <c r="F933">
        <v>9.27</v>
      </c>
      <c r="G933" s="1">
        <v>45828</v>
      </c>
      <c r="H933" s="1">
        <v>42388</v>
      </c>
      <c r="I933" t="s">
        <v>2810</v>
      </c>
      <c r="J933" t="s">
        <v>75</v>
      </c>
      <c r="K933">
        <v>2</v>
      </c>
      <c r="L933" t="s">
        <v>20</v>
      </c>
      <c r="M933" s="1">
        <f t="shared" ca="1" si="28"/>
        <v>46204</v>
      </c>
      <c r="N933">
        <f t="shared" ca="1" si="29"/>
        <v>1</v>
      </c>
    </row>
    <row r="934" spans="1:14" x14ac:dyDescent="0.3">
      <c r="A934" t="s">
        <v>2811</v>
      </c>
      <c r="B934" t="s">
        <v>2812</v>
      </c>
      <c r="C934" t="s">
        <v>47</v>
      </c>
      <c r="D934" t="s">
        <v>35</v>
      </c>
      <c r="E934" t="s">
        <v>24</v>
      </c>
      <c r="F934">
        <v>33.65</v>
      </c>
      <c r="G934" s="1">
        <v>45724</v>
      </c>
      <c r="H934" s="1">
        <v>43444</v>
      </c>
      <c r="I934" t="s">
        <v>2813</v>
      </c>
      <c r="J934" t="s">
        <v>94</v>
      </c>
      <c r="K934">
        <v>3</v>
      </c>
      <c r="L934" t="s">
        <v>27</v>
      </c>
      <c r="M934" s="1">
        <f t="shared" ca="1" si="28"/>
        <v>46204</v>
      </c>
      <c r="N934">
        <f t="shared" ca="1" si="29"/>
        <v>1</v>
      </c>
    </row>
    <row r="935" spans="1:14" x14ac:dyDescent="0.3">
      <c r="A935" t="s">
        <v>2814</v>
      </c>
      <c r="B935" t="s">
        <v>2815</v>
      </c>
      <c r="C935" t="s">
        <v>60</v>
      </c>
      <c r="D935" t="s">
        <v>56</v>
      </c>
      <c r="E935" t="s">
        <v>17</v>
      </c>
      <c r="F935">
        <v>18.600000000000001</v>
      </c>
      <c r="G935" s="1">
        <v>45900</v>
      </c>
      <c r="H935" s="1">
        <v>42247</v>
      </c>
      <c r="I935" t="s">
        <v>2816</v>
      </c>
      <c r="J935" t="s">
        <v>75</v>
      </c>
      <c r="K935">
        <v>2</v>
      </c>
      <c r="L935" t="s">
        <v>27</v>
      </c>
      <c r="M935" s="1">
        <f t="shared" ca="1" si="28"/>
        <v>46204</v>
      </c>
      <c r="N935">
        <f t="shared" ca="1" si="29"/>
        <v>1</v>
      </c>
    </row>
    <row r="936" spans="1:14" x14ac:dyDescent="0.3">
      <c r="A936" t="s">
        <v>2817</v>
      </c>
      <c r="B936" t="s">
        <v>2818</v>
      </c>
      <c r="C936" t="s">
        <v>60</v>
      </c>
      <c r="D936" t="s">
        <v>56</v>
      </c>
      <c r="E936" t="s">
        <v>17</v>
      </c>
      <c r="F936">
        <v>4.26</v>
      </c>
      <c r="G936" s="1">
        <v>45874</v>
      </c>
      <c r="H936" s="1">
        <v>43292</v>
      </c>
      <c r="I936" t="s">
        <v>2819</v>
      </c>
      <c r="J936" t="s">
        <v>26</v>
      </c>
      <c r="K936">
        <v>3</v>
      </c>
      <c r="L936" t="s">
        <v>20</v>
      </c>
      <c r="M936" s="1">
        <f t="shared" ca="1" si="28"/>
        <v>46204</v>
      </c>
      <c r="N936">
        <f t="shared" ca="1" si="29"/>
        <v>1</v>
      </c>
    </row>
    <row r="937" spans="1:14" x14ac:dyDescent="0.3">
      <c r="A937" t="s">
        <v>2820</v>
      </c>
      <c r="B937" t="s">
        <v>2821</v>
      </c>
      <c r="C937" t="s">
        <v>60</v>
      </c>
      <c r="D937" t="s">
        <v>69</v>
      </c>
      <c r="E937" t="s">
        <v>24</v>
      </c>
      <c r="F937">
        <v>20.84</v>
      </c>
      <c r="G937" s="1">
        <v>45706</v>
      </c>
      <c r="H937" s="1">
        <v>43918</v>
      </c>
      <c r="I937" t="s">
        <v>2822</v>
      </c>
      <c r="J937" t="s">
        <v>19</v>
      </c>
      <c r="K937">
        <v>1</v>
      </c>
      <c r="L937" t="s">
        <v>27</v>
      </c>
      <c r="M937" s="1">
        <f t="shared" ca="1" si="28"/>
        <v>46204</v>
      </c>
      <c r="N937">
        <f t="shared" ca="1" si="29"/>
        <v>1</v>
      </c>
    </row>
    <row r="938" spans="1:14" x14ac:dyDescent="0.3">
      <c r="A938" t="s">
        <v>2823</v>
      </c>
      <c r="B938" t="s">
        <v>2824</v>
      </c>
      <c r="C938" t="s">
        <v>64</v>
      </c>
      <c r="D938" t="s">
        <v>35</v>
      </c>
      <c r="E938" t="s">
        <v>24</v>
      </c>
      <c r="F938">
        <v>17.41</v>
      </c>
      <c r="G938" s="1">
        <v>46060</v>
      </c>
      <c r="H938" s="1">
        <v>44257</v>
      </c>
      <c r="I938" t="s">
        <v>2825</v>
      </c>
      <c r="J938" t="s">
        <v>37</v>
      </c>
      <c r="K938">
        <v>4</v>
      </c>
      <c r="L938" t="s">
        <v>27</v>
      </c>
      <c r="M938" s="1">
        <f t="shared" ca="1" si="28"/>
        <v>46204</v>
      </c>
      <c r="N938">
        <f t="shared" ca="1" si="29"/>
        <v>1</v>
      </c>
    </row>
    <row r="939" spans="1:14" x14ac:dyDescent="0.3">
      <c r="A939" t="s">
        <v>2826</v>
      </c>
      <c r="B939" t="s">
        <v>2827</v>
      </c>
      <c r="C939" t="s">
        <v>60</v>
      </c>
      <c r="D939" t="s">
        <v>16</v>
      </c>
      <c r="E939" t="s">
        <v>24</v>
      </c>
      <c r="F939">
        <v>29.21</v>
      </c>
      <c r="G939" s="1">
        <v>46051</v>
      </c>
      <c r="H939" s="1">
        <v>44531</v>
      </c>
      <c r="I939" t="s">
        <v>2828</v>
      </c>
      <c r="J939" t="s">
        <v>49</v>
      </c>
      <c r="K939">
        <v>2</v>
      </c>
      <c r="L939" t="s">
        <v>27</v>
      </c>
      <c r="M939" s="1">
        <f t="shared" ca="1" si="28"/>
        <v>46204</v>
      </c>
      <c r="N939">
        <f t="shared" ca="1" si="29"/>
        <v>1</v>
      </c>
    </row>
    <row r="940" spans="1:14" x14ac:dyDescent="0.3">
      <c r="A940" t="s">
        <v>2829</v>
      </c>
      <c r="B940" t="s">
        <v>2830</v>
      </c>
      <c r="C940" t="s">
        <v>124</v>
      </c>
      <c r="D940" t="s">
        <v>40</v>
      </c>
      <c r="E940" t="s">
        <v>24</v>
      </c>
      <c r="F940">
        <v>28.49</v>
      </c>
      <c r="G940" s="1">
        <v>45821</v>
      </c>
      <c r="H940" s="1">
        <v>43502</v>
      </c>
      <c r="I940" t="s">
        <v>2831</v>
      </c>
      <c r="J940" t="s">
        <v>26</v>
      </c>
      <c r="K940">
        <v>5</v>
      </c>
      <c r="L940" t="s">
        <v>27</v>
      </c>
      <c r="M940" s="1">
        <f t="shared" ca="1" si="28"/>
        <v>46204</v>
      </c>
      <c r="N940">
        <f t="shared" ca="1" si="29"/>
        <v>1</v>
      </c>
    </row>
    <row r="941" spans="1:14" x14ac:dyDescent="0.3">
      <c r="A941" t="s">
        <v>2832</v>
      </c>
      <c r="B941" t="s">
        <v>2833</v>
      </c>
      <c r="C941" t="s">
        <v>15</v>
      </c>
      <c r="D941" t="s">
        <v>35</v>
      </c>
      <c r="E941" t="s">
        <v>30</v>
      </c>
      <c r="F941">
        <v>10.72</v>
      </c>
      <c r="G941" s="1">
        <v>45790</v>
      </c>
      <c r="H941" s="1">
        <v>44866</v>
      </c>
      <c r="I941" t="s">
        <v>2834</v>
      </c>
      <c r="J941" t="s">
        <v>66</v>
      </c>
      <c r="K941">
        <v>5</v>
      </c>
      <c r="L941" t="s">
        <v>27</v>
      </c>
      <c r="M941" s="1">
        <f t="shared" ca="1" si="28"/>
        <v>46204</v>
      </c>
      <c r="N941">
        <f t="shared" ca="1" si="29"/>
        <v>1</v>
      </c>
    </row>
    <row r="942" spans="1:14" x14ac:dyDescent="0.3">
      <c r="A942" t="s">
        <v>2835</v>
      </c>
      <c r="B942" t="s">
        <v>2836</v>
      </c>
      <c r="C942" t="s">
        <v>60</v>
      </c>
      <c r="D942" t="s">
        <v>56</v>
      </c>
      <c r="E942" t="s">
        <v>24</v>
      </c>
      <c r="F942">
        <v>20.83</v>
      </c>
      <c r="G942" s="1">
        <v>45859</v>
      </c>
      <c r="H942" s="1">
        <v>43752</v>
      </c>
      <c r="I942" t="s">
        <v>2837</v>
      </c>
      <c r="J942" t="s">
        <v>94</v>
      </c>
      <c r="K942">
        <v>5</v>
      </c>
      <c r="L942" t="s">
        <v>20</v>
      </c>
      <c r="M942" s="1">
        <f t="shared" ca="1" si="28"/>
        <v>46204</v>
      </c>
      <c r="N942">
        <f t="shared" ca="1" si="29"/>
        <v>1</v>
      </c>
    </row>
    <row r="943" spans="1:14" x14ac:dyDescent="0.3">
      <c r="A943" t="s">
        <v>2838</v>
      </c>
      <c r="B943" t="s">
        <v>2839</v>
      </c>
      <c r="C943" t="s">
        <v>47</v>
      </c>
      <c r="D943" t="s">
        <v>16</v>
      </c>
      <c r="E943" t="s">
        <v>24</v>
      </c>
      <c r="F943">
        <v>24.36</v>
      </c>
      <c r="G943" s="1">
        <v>45823</v>
      </c>
      <c r="H943" s="1">
        <v>43338</v>
      </c>
      <c r="I943" t="s">
        <v>2840</v>
      </c>
      <c r="J943" t="s">
        <v>37</v>
      </c>
      <c r="K943">
        <v>4</v>
      </c>
      <c r="L943" t="s">
        <v>20</v>
      </c>
      <c r="M943" s="1">
        <f t="shared" ca="1" si="28"/>
        <v>46204</v>
      </c>
      <c r="N943">
        <f t="shared" ca="1" si="29"/>
        <v>1</v>
      </c>
    </row>
    <row r="944" spans="1:14" x14ac:dyDescent="0.3">
      <c r="A944" t="s">
        <v>2841</v>
      </c>
      <c r="B944" t="s">
        <v>391</v>
      </c>
      <c r="C944" t="s">
        <v>34</v>
      </c>
      <c r="D944" t="s">
        <v>16</v>
      </c>
      <c r="E944" t="s">
        <v>52</v>
      </c>
      <c r="F944">
        <v>8.0299999999999994</v>
      </c>
      <c r="G944" s="1">
        <v>45767</v>
      </c>
      <c r="H944" s="1">
        <v>44435</v>
      </c>
      <c r="I944" t="s">
        <v>2842</v>
      </c>
      <c r="J944" t="s">
        <v>66</v>
      </c>
      <c r="K944">
        <v>5</v>
      </c>
      <c r="L944" t="s">
        <v>20</v>
      </c>
      <c r="M944" s="1">
        <f t="shared" ca="1" si="28"/>
        <v>46204</v>
      </c>
      <c r="N944">
        <f t="shared" ca="1" si="29"/>
        <v>1</v>
      </c>
    </row>
    <row r="945" spans="1:14" x14ac:dyDescent="0.3">
      <c r="A945" t="s">
        <v>2843</v>
      </c>
      <c r="B945" t="s">
        <v>2844</v>
      </c>
      <c r="C945" t="s">
        <v>34</v>
      </c>
      <c r="D945" t="s">
        <v>69</v>
      </c>
      <c r="E945" t="s">
        <v>30</v>
      </c>
      <c r="F945">
        <v>31.92</v>
      </c>
      <c r="G945" s="1">
        <v>45779</v>
      </c>
      <c r="H945" s="1">
        <v>44168</v>
      </c>
      <c r="I945" t="s">
        <v>2845</v>
      </c>
      <c r="J945" t="s">
        <v>37</v>
      </c>
      <c r="K945">
        <v>2</v>
      </c>
      <c r="L945" t="s">
        <v>20</v>
      </c>
      <c r="M945" s="1">
        <f t="shared" ca="1" si="28"/>
        <v>46204</v>
      </c>
      <c r="N945">
        <f t="shared" ca="1" si="29"/>
        <v>1</v>
      </c>
    </row>
    <row r="946" spans="1:14" x14ac:dyDescent="0.3">
      <c r="A946" t="s">
        <v>2846</v>
      </c>
      <c r="B946" t="s">
        <v>2369</v>
      </c>
      <c r="C946" t="s">
        <v>124</v>
      </c>
      <c r="D946" t="s">
        <v>73</v>
      </c>
      <c r="E946" t="s">
        <v>24</v>
      </c>
      <c r="F946">
        <v>23.57</v>
      </c>
      <c r="G946" s="1">
        <v>45712</v>
      </c>
      <c r="H946" s="1">
        <v>43955</v>
      </c>
      <c r="I946" t="s">
        <v>2847</v>
      </c>
      <c r="J946" t="s">
        <v>19</v>
      </c>
      <c r="K946">
        <v>2</v>
      </c>
      <c r="L946" t="s">
        <v>20</v>
      </c>
      <c r="M946" s="1">
        <f t="shared" ca="1" si="28"/>
        <v>46204</v>
      </c>
      <c r="N946">
        <f t="shared" ca="1" si="29"/>
        <v>1</v>
      </c>
    </row>
    <row r="947" spans="1:14" x14ac:dyDescent="0.3">
      <c r="A947" t="s">
        <v>2848</v>
      </c>
      <c r="B947" t="s">
        <v>2849</v>
      </c>
      <c r="C947" t="s">
        <v>124</v>
      </c>
      <c r="D947" t="s">
        <v>40</v>
      </c>
      <c r="E947" t="s">
        <v>30</v>
      </c>
      <c r="F947">
        <v>21.55</v>
      </c>
      <c r="G947" s="1">
        <v>46041</v>
      </c>
      <c r="H947" s="1">
        <v>44357</v>
      </c>
      <c r="I947" t="s">
        <v>2850</v>
      </c>
      <c r="J947" t="s">
        <v>75</v>
      </c>
      <c r="K947">
        <v>4</v>
      </c>
      <c r="L947" t="s">
        <v>20</v>
      </c>
      <c r="M947" s="1">
        <f t="shared" ca="1" si="28"/>
        <v>46204</v>
      </c>
      <c r="N947">
        <f t="shared" ca="1" si="29"/>
        <v>1</v>
      </c>
    </row>
    <row r="948" spans="1:14" x14ac:dyDescent="0.3">
      <c r="A948" t="s">
        <v>2851</v>
      </c>
      <c r="B948" t="s">
        <v>2852</v>
      </c>
      <c r="C948" t="s">
        <v>64</v>
      </c>
      <c r="D948" t="s">
        <v>69</v>
      </c>
      <c r="E948" t="s">
        <v>52</v>
      </c>
      <c r="F948">
        <v>8.58</v>
      </c>
      <c r="G948" s="1">
        <v>45888</v>
      </c>
      <c r="H948" s="1">
        <v>45500</v>
      </c>
      <c r="I948" t="s">
        <v>2853</v>
      </c>
      <c r="J948" t="s">
        <v>26</v>
      </c>
      <c r="K948">
        <v>5</v>
      </c>
      <c r="L948" t="s">
        <v>27</v>
      </c>
      <c r="M948" s="1">
        <f t="shared" ca="1" si="28"/>
        <v>46204</v>
      </c>
      <c r="N948">
        <f t="shared" ca="1" si="29"/>
        <v>1</v>
      </c>
    </row>
    <row r="949" spans="1:14" x14ac:dyDescent="0.3">
      <c r="A949" t="s">
        <v>2854</v>
      </c>
      <c r="B949" t="s">
        <v>2855</v>
      </c>
      <c r="C949" t="s">
        <v>60</v>
      </c>
      <c r="D949" t="s">
        <v>73</v>
      </c>
      <c r="E949" t="s">
        <v>24</v>
      </c>
      <c r="F949">
        <v>37.200000000000003</v>
      </c>
      <c r="G949" s="1">
        <v>45865</v>
      </c>
      <c r="H949" s="1">
        <v>44688</v>
      </c>
      <c r="I949" t="s">
        <v>2856</v>
      </c>
      <c r="J949" t="s">
        <v>37</v>
      </c>
      <c r="K949">
        <v>3</v>
      </c>
      <c r="L949" t="s">
        <v>20</v>
      </c>
      <c r="M949" s="1">
        <f t="shared" ca="1" si="28"/>
        <v>46204</v>
      </c>
      <c r="N949">
        <f t="shared" ca="1" si="29"/>
        <v>1</v>
      </c>
    </row>
    <row r="950" spans="1:14" x14ac:dyDescent="0.3">
      <c r="A950" t="s">
        <v>2857</v>
      </c>
      <c r="B950" t="s">
        <v>2858</v>
      </c>
      <c r="C950" t="s">
        <v>23</v>
      </c>
      <c r="D950" t="s">
        <v>16</v>
      </c>
      <c r="E950" t="s">
        <v>30</v>
      </c>
      <c r="F950">
        <v>32.42</v>
      </c>
      <c r="G950" s="1">
        <v>45731</v>
      </c>
      <c r="H950" s="1">
        <v>44021</v>
      </c>
      <c r="I950" t="s">
        <v>2859</v>
      </c>
      <c r="J950" t="s">
        <v>49</v>
      </c>
      <c r="K950">
        <v>3</v>
      </c>
      <c r="L950" t="s">
        <v>27</v>
      </c>
      <c r="M950" s="1">
        <f t="shared" ca="1" si="28"/>
        <v>46204</v>
      </c>
      <c r="N950">
        <f t="shared" ca="1" si="29"/>
        <v>1</v>
      </c>
    </row>
    <row r="951" spans="1:14" x14ac:dyDescent="0.3">
      <c r="A951" t="s">
        <v>2860</v>
      </c>
      <c r="B951" t="s">
        <v>2861</v>
      </c>
      <c r="C951" t="s">
        <v>34</v>
      </c>
      <c r="D951" t="s">
        <v>35</v>
      </c>
      <c r="E951" t="s">
        <v>30</v>
      </c>
      <c r="F951">
        <v>10.24</v>
      </c>
      <c r="G951" s="1">
        <v>45806</v>
      </c>
      <c r="H951" s="1">
        <v>44178</v>
      </c>
      <c r="I951" t="s">
        <v>2862</v>
      </c>
      <c r="J951" t="s">
        <v>66</v>
      </c>
      <c r="K951">
        <v>2</v>
      </c>
      <c r="L951" t="s">
        <v>27</v>
      </c>
      <c r="M951" s="1">
        <f t="shared" ca="1" si="28"/>
        <v>46204</v>
      </c>
      <c r="N951">
        <f t="shared" ca="1" si="29"/>
        <v>1</v>
      </c>
    </row>
    <row r="952" spans="1:14" x14ac:dyDescent="0.3">
      <c r="A952" t="s">
        <v>2863</v>
      </c>
      <c r="B952" t="s">
        <v>2864</v>
      </c>
      <c r="C952" t="s">
        <v>15</v>
      </c>
      <c r="D952" t="s">
        <v>35</v>
      </c>
      <c r="E952" t="s">
        <v>52</v>
      </c>
      <c r="F952">
        <v>13.76</v>
      </c>
      <c r="G952" s="1">
        <v>46047</v>
      </c>
      <c r="H952" s="1">
        <v>42512</v>
      </c>
      <c r="I952" t="s">
        <v>2865</v>
      </c>
      <c r="J952" t="s">
        <v>26</v>
      </c>
      <c r="K952">
        <v>3</v>
      </c>
      <c r="L952" t="s">
        <v>27</v>
      </c>
      <c r="M952" s="1">
        <f t="shared" ca="1" si="28"/>
        <v>46204</v>
      </c>
      <c r="N952">
        <f t="shared" ca="1" si="29"/>
        <v>1</v>
      </c>
    </row>
    <row r="953" spans="1:14" x14ac:dyDescent="0.3">
      <c r="A953" t="s">
        <v>2866</v>
      </c>
      <c r="B953" t="s">
        <v>2867</v>
      </c>
      <c r="C953" t="s">
        <v>60</v>
      </c>
      <c r="D953" t="s">
        <v>69</v>
      </c>
      <c r="E953" t="s">
        <v>52</v>
      </c>
      <c r="F953">
        <v>22.8</v>
      </c>
      <c r="G953" s="1">
        <v>46061</v>
      </c>
      <c r="H953" s="1">
        <v>44856</v>
      </c>
      <c r="I953" t="s">
        <v>2868</v>
      </c>
      <c r="J953" t="s">
        <v>26</v>
      </c>
      <c r="K953">
        <v>1</v>
      </c>
      <c r="L953" t="s">
        <v>20</v>
      </c>
      <c r="M953" s="1">
        <f t="shared" ca="1" si="28"/>
        <v>46204</v>
      </c>
      <c r="N953">
        <f t="shared" ca="1" si="29"/>
        <v>1</v>
      </c>
    </row>
    <row r="954" spans="1:14" x14ac:dyDescent="0.3">
      <c r="A954" t="s">
        <v>2869</v>
      </c>
      <c r="B954" t="s">
        <v>2870</v>
      </c>
      <c r="C954" t="s">
        <v>15</v>
      </c>
      <c r="D954" t="s">
        <v>69</v>
      </c>
      <c r="E954" t="s">
        <v>17</v>
      </c>
      <c r="F954">
        <v>28.07</v>
      </c>
      <c r="G954" s="1">
        <v>45865</v>
      </c>
      <c r="H954" s="1">
        <v>43621</v>
      </c>
      <c r="I954" t="s">
        <v>2871</v>
      </c>
      <c r="J954" t="s">
        <v>49</v>
      </c>
      <c r="K954">
        <v>2</v>
      </c>
      <c r="L954" t="s">
        <v>20</v>
      </c>
      <c r="M954" s="1">
        <f t="shared" ca="1" si="28"/>
        <v>46204</v>
      </c>
      <c r="N954">
        <f t="shared" ca="1" si="29"/>
        <v>1</v>
      </c>
    </row>
    <row r="955" spans="1:14" x14ac:dyDescent="0.3">
      <c r="A955" t="s">
        <v>2872</v>
      </c>
      <c r="B955" t="s">
        <v>2873</v>
      </c>
      <c r="C955" t="s">
        <v>23</v>
      </c>
      <c r="D955" t="s">
        <v>56</v>
      </c>
      <c r="E955" t="s">
        <v>17</v>
      </c>
      <c r="F955">
        <v>35.31</v>
      </c>
      <c r="G955" s="1">
        <v>45962</v>
      </c>
      <c r="H955" s="1">
        <v>43316</v>
      </c>
      <c r="I955" t="s">
        <v>2874</v>
      </c>
      <c r="J955" t="s">
        <v>66</v>
      </c>
      <c r="K955">
        <v>3</v>
      </c>
      <c r="L955" t="s">
        <v>27</v>
      </c>
      <c r="M955" s="1">
        <f t="shared" ca="1" si="28"/>
        <v>46204</v>
      </c>
      <c r="N955">
        <f t="shared" ca="1" si="29"/>
        <v>1</v>
      </c>
    </row>
    <row r="956" spans="1:14" x14ac:dyDescent="0.3">
      <c r="A956" t="s">
        <v>2875</v>
      </c>
      <c r="B956" t="s">
        <v>2876</v>
      </c>
      <c r="C956" t="s">
        <v>23</v>
      </c>
      <c r="D956" t="s">
        <v>35</v>
      </c>
      <c r="E956" t="s">
        <v>30</v>
      </c>
      <c r="F956">
        <v>19.559999999999999</v>
      </c>
      <c r="G956" s="1">
        <v>46029</v>
      </c>
      <c r="H956" s="1">
        <v>44231</v>
      </c>
      <c r="I956" t="s">
        <v>2877</v>
      </c>
      <c r="J956" t="s">
        <v>49</v>
      </c>
      <c r="K956">
        <v>4</v>
      </c>
      <c r="L956" t="s">
        <v>27</v>
      </c>
      <c r="M956" s="1">
        <f t="shared" ca="1" si="28"/>
        <v>46204</v>
      </c>
      <c r="N956">
        <f t="shared" ca="1" si="29"/>
        <v>1</v>
      </c>
    </row>
    <row r="957" spans="1:14" x14ac:dyDescent="0.3">
      <c r="A957" t="s">
        <v>2878</v>
      </c>
      <c r="B957" t="s">
        <v>2879</v>
      </c>
      <c r="C957" t="s">
        <v>23</v>
      </c>
      <c r="D957" t="s">
        <v>16</v>
      </c>
      <c r="E957" t="s">
        <v>24</v>
      </c>
      <c r="F957">
        <v>21.95</v>
      </c>
      <c r="G957" s="1">
        <v>46027</v>
      </c>
      <c r="H957" s="1">
        <v>43661</v>
      </c>
      <c r="I957" t="s">
        <v>2880</v>
      </c>
      <c r="J957" t="s">
        <v>19</v>
      </c>
      <c r="K957">
        <v>3</v>
      </c>
      <c r="L957" t="s">
        <v>27</v>
      </c>
      <c r="M957" s="1">
        <f t="shared" ca="1" si="28"/>
        <v>46204</v>
      </c>
      <c r="N957">
        <f t="shared" ca="1" si="29"/>
        <v>1</v>
      </c>
    </row>
    <row r="958" spans="1:14" x14ac:dyDescent="0.3">
      <c r="A958" t="s">
        <v>2881</v>
      </c>
      <c r="B958" t="s">
        <v>2882</v>
      </c>
      <c r="C958" t="s">
        <v>47</v>
      </c>
      <c r="D958" t="s">
        <v>69</v>
      </c>
      <c r="E958" t="s">
        <v>24</v>
      </c>
      <c r="F958">
        <v>8.8800000000000008</v>
      </c>
      <c r="G958" s="1">
        <v>45947</v>
      </c>
      <c r="H958" s="1">
        <v>43570</v>
      </c>
      <c r="I958" t="s">
        <v>2883</v>
      </c>
      <c r="J958" t="s">
        <v>19</v>
      </c>
      <c r="K958">
        <v>4</v>
      </c>
      <c r="L958" t="s">
        <v>27</v>
      </c>
      <c r="M958" s="1">
        <f t="shared" ca="1" si="28"/>
        <v>46204</v>
      </c>
      <c r="N958">
        <f t="shared" ca="1" si="29"/>
        <v>1</v>
      </c>
    </row>
    <row r="959" spans="1:14" x14ac:dyDescent="0.3">
      <c r="A959" t="s">
        <v>2884</v>
      </c>
      <c r="B959" t="s">
        <v>2885</v>
      </c>
      <c r="C959" t="s">
        <v>15</v>
      </c>
      <c r="D959" t="s">
        <v>40</v>
      </c>
      <c r="E959" t="s">
        <v>24</v>
      </c>
      <c r="F959">
        <v>8.06</v>
      </c>
      <c r="G959" s="1">
        <v>46016</v>
      </c>
      <c r="H959" s="1">
        <v>43710</v>
      </c>
      <c r="I959" t="s">
        <v>2886</v>
      </c>
      <c r="J959" t="s">
        <v>66</v>
      </c>
      <c r="K959">
        <v>1</v>
      </c>
      <c r="L959" t="s">
        <v>20</v>
      </c>
      <c r="M959" s="1">
        <f t="shared" ca="1" si="28"/>
        <v>46204</v>
      </c>
      <c r="N959">
        <f t="shared" ca="1" si="29"/>
        <v>1</v>
      </c>
    </row>
    <row r="960" spans="1:14" x14ac:dyDescent="0.3">
      <c r="A960" t="s">
        <v>2887</v>
      </c>
      <c r="B960" t="s">
        <v>2888</v>
      </c>
      <c r="C960" t="s">
        <v>60</v>
      </c>
      <c r="D960" t="s">
        <v>35</v>
      </c>
      <c r="E960" t="s">
        <v>24</v>
      </c>
      <c r="F960">
        <v>9.76</v>
      </c>
      <c r="G960" s="1">
        <v>45953</v>
      </c>
      <c r="H960" s="1">
        <v>45458</v>
      </c>
      <c r="I960" t="s">
        <v>2889</v>
      </c>
      <c r="J960" t="s">
        <v>75</v>
      </c>
      <c r="K960">
        <v>2</v>
      </c>
      <c r="L960" t="s">
        <v>27</v>
      </c>
      <c r="M960" s="1">
        <f t="shared" ca="1" si="28"/>
        <v>46204</v>
      </c>
      <c r="N960">
        <f t="shared" ca="1" si="29"/>
        <v>1</v>
      </c>
    </row>
    <row r="961" spans="1:14" x14ac:dyDescent="0.3">
      <c r="A961" t="s">
        <v>2890</v>
      </c>
      <c r="B961" t="s">
        <v>2891</v>
      </c>
      <c r="C961" t="s">
        <v>15</v>
      </c>
      <c r="D961" t="s">
        <v>40</v>
      </c>
      <c r="E961" t="s">
        <v>24</v>
      </c>
      <c r="F961">
        <v>19.95</v>
      </c>
      <c r="G961" s="1">
        <v>45871</v>
      </c>
      <c r="H961" s="1">
        <v>44468</v>
      </c>
      <c r="I961" t="s">
        <v>2892</v>
      </c>
      <c r="J961" t="s">
        <v>66</v>
      </c>
      <c r="K961">
        <v>4</v>
      </c>
      <c r="L961" t="s">
        <v>20</v>
      </c>
      <c r="M961" s="1">
        <f t="shared" ca="1" si="28"/>
        <v>46204</v>
      </c>
      <c r="N961">
        <f t="shared" ca="1" si="29"/>
        <v>1</v>
      </c>
    </row>
    <row r="962" spans="1:14" x14ac:dyDescent="0.3">
      <c r="A962" t="s">
        <v>2893</v>
      </c>
      <c r="B962" t="s">
        <v>2894</v>
      </c>
      <c r="C962" t="s">
        <v>124</v>
      </c>
      <c r="D962" t="s">
        <v>16</v>
      </c>
      <c r="E962" t="s">
        <v>24</v>
      </c>
      <c r="F962">
        <v>12.51</v>
      </c>
      <c r="G962" s="1">
        <v>45722</v>
      </c>
      <c r="H962" s="1">
        <v>43095</v>
      </c>
      <c r="I962" t="s">
        <v>2895</v>
      </c>
      <c r="J962" t="s">
        <v>66</v>
      </c>
      <c r="K962">
        <v>2</v>
      </c>
      <c r="L962" t="s">
        <v>27</v>
      </c>
      <c r="M962" s="1">
        <f t="shared" ca="1" si="28"/>
        <v>46204</v>
      </c>
      <c r="N962">
        <f t="shared" ca="1" si="29"/>
        <v>1</v>
      </c>
    </row>
    <row r="963" spans="1:14" x14ac:dyDescent="0.3">
      <c r="A963" t="s">
        <v>2896</v>
      </c>
      <c r="B963" t="s">
        <v>2897</v>
      </c>
      <c r="C963" t="s">
        <v>60</v>
      </c>
      <c r="D963" t="s">
        <v>35</v>
      </c>
      <c r="E963" t="s">
        <v>24</v>
      </c>
      <c r="F963">
        <v>19.97</v>
      </c>
      <c r="G963" s="1">
        <v>46021</v>
      </c>
      <c r="H963" s="1">
        <v>42882</v>
      </c>
      <c r="I963" t="s">
        <v>2898</v>
      </c>
      <c r="J963" t="s">
        <v>19</v>
      </c>
      <c r="K963">
        <v>3</v>
      </c>
      <c r="L963" t="s">
        <v>20</v>
      </c>
      <c r="M963" s="1">
        <f t="shared" ref="M963:M1026" ca="1" si="30">TODAY()</f>
        <v>46204</v>
      </c>
      <c r="N963">
        <f t="shared" ref="N963:N1026" ca="1" si="31">IF(G963&lt;M963,1,0)</f>
        <v>1</v>
      </c>
    </row>
    <row r="964" spans="1:14" x14ac:dyDescent="0.3">
      <c r="A964" t="s">
        <v>2899</v>
      </c>
      <c r="B964" t="s">
        <v>2900</v>
      </c>
      <c r="C964" t="s">
        <v>15</v>
      </c>
      <c r="D964" t="s">
        <v>40</v>
      </c>
      <c r="E964" t="s">
        <v>30</v>
      </c>
      <c r="F964">
        <v>37.82</v>
      </c>
      <c r="G964" s="1">
        <v>45988</v>
      </c>
      <c r="H964" s="1">
        <v>45459</v>
      </c>
      <c r="I964" t="s">
        <v>2901</v>
      </c>
      <c r="J964" t="s">
        <v>37</v>
      </c>
      <c r="K964">
        <v>4</v>
      </c>
      <c r="L964" t="s">
        <v>27</v>
      </c>
      <c r="M964" s="1">
        <f t="shared" ca="1" si="30"/>
        <v>46204</v>
      </c>
      <c r="N964">
        <f t="shared" ca="1" si="31"/>
        <v>1</v>
      </c>
    </row>
    <row r="965" spans="1:14" x14ac:dyDescent="0.3">
      <c r="A965" t="s">
        <v>2902</v>
      </c>
      <c r="B965" t="s">
        <v>2903</v>
      </c>
      <c r="C965" t="s">
        <v>23</v>
      </c>
      <c r="D965" t="s">
        <v>56</v>
      </c>
      <c r="E965" t="s">
        <v>24</v>
      </c>
      <c r="F965">
        <v>11.46</v>
      </c>
      <c r="G965" s="1">
        <v>45737</v>
      </c>
      <c r="H965" s="1">
        <v>44683</v>
      </c>
      <c r="I965" t="s">
        <v>2904</v>
      </c>
      <c r="J965" t="s">
        <v>94</v>
      </c>
      <c r="K965">
        <v>5</v>
      </c>
      <c r="L965" t="s">
        <v>20</v>
      </c>
      <c r="M965" s="1">
        <f t="shared" ca="1" si="30"/>
        <v>46204</v>
      </c>
      <c r="N965">
        <f t="shared" ca="1" si="31"/>
        <v>1</v>
      </c>
    </row>
    <row r="966" spans="1:14" x14ac:dyDescent="0.3">
      <c r="A966" t="s">
        <v>2905</v>
      </c>
      <c r="B966" t="s">
        <v>2906</v>
      </c>
      <c r="C966" t="s">
        <v>23</v>
      </c>
      <c r="D966" t="s">
        <v>73</v>
      </c>
      <c r="E966" t="s">
        <v>17</v>
      </c>
      <c r="F966">
        <v>17.98</v>
      </c>
      <c r="G966" s="1">
        <v>45937</v>
      </c>
      <c r="H966" s="1">
        <v>44443</v>
      </c>
      <c r="I966" t="s">
        <v>2907</v>
      </c>
      <c r="J966" t="s">
        <v>19</v>
      </c>
      <c r="K966">
        <v>4</v>
      </c>
      <c r="L966" t="s">
        <v>20</v>
      </c>
      <c r="M966" s="1">
        <f t="shared" ca="1" si="30"/>
        <v>46204</v>
      </c>
      <c r="N966">
        <f t="shared" ca="1" si="31"/>
        <v>1</v>
      </c>
    </row>
    <row r="967" spans="1:14" x14ac:dyDescent="0.3">
      <c r="A967" t="s">
        <v>2908</v>
      </c>
      <c r="B967" t="s">
        <v>2909</v>
      </c>
      <c r="C967" t="s">
        <v>64</v>
      </c>
      <c r="D967" t="s">
        <v>40</v>
      </c>
      <c r="E967" t="s">
        <v>24</v>
      </c>
      <c r="F967">
        <v>4.18</v>
      </c>
      <c r="G967" s="1">
        <v>45941</v>
      </c>
      <c r="H967" s="1">
        <v>42573</v>
      </c>
      <c r="I967" t="s">
        <v>2910</v>
      </c>
      <c r="J967" t="s">
        <v>66</v>
      </c>
      <c r="K967">
        <v>3</v>
      </c>
      <c r="L967" t="s">
        <v>20</v>
      </c>
      <c r="M967" s="1">
        <f t="shared" ca="1" si="30"/>
        <v>46204</v>
      </c>
      <c r="N967">
        <f t="shared" ca="1" si="31"/>
        <v>1</v>
      </c>
    </row>
    <row r="968" spans="1:14" x14ac:dyDescent="0.3">
      <c r="A968" t="s">
        <v>2911</v>
      </c>
      <c r="B968" t="s">
        <v>2912</v>
      </c>
      <c r="C968" t="s">
        <v>64</v>
      </c>
      <c r="D968" t="s">
        <v>40</v>
      </c>
      <c r="E968" t="s">
        <v>52</v>
      </c>
      <c r="F968">
        <v>19.87</v>
      </c>
      <c r="G968" s="1">
        <v>45896</v>
      </c>
      <c r="H968" s="1">
        <v>44819</v>
      </c>
      <c r="I968" t="s">
        <v>2913</v>
      </c>
      <c r="J968" t="s">
        <v>66</v>
      </c>
      <c r="K968">
        <v>5</v>
      </c>
      <c r="L968" t="s">
        <v>27</v>
      </c>
      <c r="M968" s="1">
        <f t="shared" ca="1" si="30"/>
        <v>46204</v>
      </c>
      <c r="N968">
        <f t="shared" ca="1" si="31"/>
        <v>1</v>
      </c>
    </row>
    <row r="969" spans="1:14" x14ac:dyDescent="0.3">
      <c r="A969" t="s">
        <v>2914</v>
      </c>
      <c r="B969" t="s">
        <v>2915</v>
      </c>
      <c r="C969" t="s">
        <v>60</v>
      </c>
      <c r="D969" t="s">
        <v>56</v>
      </c>
      <c r="E969" t="s">
        <v>52</v>
      </c>
      <c r="F969">
        <v>32.619999999999997</v>
      </c>
      <c r="G969" s="1">
        <v>45760</v>
      </c>
      <c r="H969" s="1">
        <v>45250</v>
      </c>
      <c r="I969" t="s">
        <v>2916</v>
      </c>
      <c r="J969" t="s">
        <v>26</v>
      </c>
      <c r="K969">
        <v>4</v>
      </c>
      <c r="L969" t="s">
        <v>20</v>
      </c>
      <c r="M969" s="1">
        <f t="shared" ca="1" si="30"/>
        <v>46204</v>
      </c>
      <c r="N969">
        <f t="shared" ca="1" si="31"/>
        <v>1</v>
      </c>
    </row>
    <row r="970" spans="1:14" x14ac:dyDescent="0.3">
      <c r="A970" t="s">
        <v>2917</v>
      </c>
      <c r="B970" t="s">
        <v>2918</v>
      </c>
      <c r="C970" t="s">
        <v>60</v>
      </c>
      <c r="D970" t="s">
        <v>56</v>
      </c>
      <c r="E970" t="s">
        <v>17</v>
      </c>
      <c r="F970">
        <v>31.55</v>
      </c>
      <c r="G970" s="1">
        <v>45910</v>
      </c>
      <c r="H970" s="1">
        <v>42540</v>
      </c>
      <c r="I970" t="s">
        <v>2919</v>
      </c>
      <c r="J970" t="s">
        <v>66</v>
      </c>
      <c r="K970">
        <v>3</v>
      </c>
      <c r="L970" t="s">
        <v>27</v>
      </c>
      <c r="M970" s="1">
        <f t="shared" ca="1" si="30"/>
        <v>46204</v>
      </c>
      <c r="N970">
        <f t="shared" ca="1" si="31"/>
        <v>1</v>
      </c>
    </row>
    <row r="971" spans="1:14" x14ac:dyDescent="0.3">
      <c r="A971" t="s">
        <v>2920</v>
      </c>
      <c r="B971" t="s">
        <v>2921</v>
      </c>
      <c r="C971" t="s">
        <v>64</v>
      </c>
      <c r="D971" t="s">
        <v>56</v>
      </c>
      <c r="E971" t="s">
        <v>30</v>
      </c>
      <c r="F971">
        <v>36.54</v>
      </c>
      <c r="G971" s="1">
        <v>46053</v>
      </c>
      <c r="H971" s="1">
        <v>42581</v>
      </c>
      <c r="I971" t="s">
        <v>2922</v>
      </c>
      <c r="J971" t="s">
        <v>26</v>
      </c>
      <c r="K971">
        <v>4</v>
      </c>
      <c r="L971" t="s">
        <v>27</v>
      </c>
      <c r="M971" s="1">
        <f t="shared" ca="1" si="30"/>
        <v>46204</v>
      </c>
      <c r="N971">
        <f t="shared" ca="1" si="31"/>
        <v>1</v>
      </c>
    </row>
    <row r="972" spans="1:14" x14ac:dyDescent="0.3">
      <c r="A972" t="s">
        <v>2923</v>
      </c>
      <c r="B972" t="s">
        <v>2924</v>
      </c>
      <c r="C972" t="s">
        <v>23</v>
      </c>
      <c r="D972" t="s">
        <v>73</v>
      </c>
      <c r="E972" t="s">
        <v>52</v>
      </c>
      <c r="F972">
        <v>28.74</v>
      </c>
      <c r="G972" s="1">
        <v>45996</v>
      </c>
      <c r="H972" s="1">
        <v>43079</v>
      </c>
      <c r="I972" t="s">
        <v>2925</v>
      </c>
      <c r="J972" t="s">
        <v>94</v>
      </c>
      <c r="K972">
        <v>5</v>
      </c>
      <c r="L972" t="s">
        <v>20</v>
      </c>
      <c r="M972" s="1">
        <f t="shared" ca="1" si="30"/>
        <v>46204</v>
      </c>
      <c r="N972">
        <f t="shared" ca="1" si="31"/>
        <v>1</v>
      </c>
    </row>
    <row r="973" spans="1:14" x14ac:dyDescent="0.3">
      <c r="A973" t="s">
        <v>2926</v>
      </c>
      <c r="B973" t="s">
        <v>2927</v>
      </c>
      <c r="C973" t="s">
        <v>23</v>
      </c>
      <c r="D973" t="s">
        <v>35</v>
      </c>
      <c r="E973" t="s">
        <v>52</v>
      </c>
      <c r="F973">
        <v>17.88</v>
      </c>
      <c r="G973" s="1">
        <v>46052</v>
      </c>
      <c r="H973" s="1">
        <v>44512</v>
      </c>
      <c r="I973" t="s">
        <v>2928</v>
      </c>
      <c r="J973" t="s">
        <v>49</v>
      </c>
      <c r="K973">
        <v>5</v>
      </c>
      <c r="L973" t="s">
        <v>27</v>
      </c>
      <c r="M973" s="1">
        <f t="shared" ca="1" si="30"/>
        <v>46204</v>
      </c>
      <c r="N973">
        <f t="shared" ca="1" si="31"/>
        <v>1</v>
      </c>
    </row>
    <row r="974" spans="1:14" x14ac:dyDescent="0.3">
      <c r="A974" t="s">
        <v>2929</v>
      </c>
      <c r="B974" t="s">
        <v>2930</v>
      </c>
      <c r="C974" t="s">
        <v>124</v>
      </c>
      <c r="D974" t="s">
        <v>56</v>
      </c>
      <c r="E974" t="s">
        <v>30</v>
      </c>
      <c r="F974">
        <v>12.05</v>
      </c>
      <c r="G974" s="1">
        <v>45777</v>
      </c>
      <c r="H974" s="1">
        <v>44523</v>
      </c>
      <c r="I974" t="s">
        <v>2931</v>
      </c>
      <c r="J974" t="s">
        <v>37</v>
      </c>
      <c r="K974">
        <v>5</v>
      </c>
      <c r="L974" t="s">
        <v>20</v>
      </c>
      <c r="M974" s="1">
        <f t="shared" ca="1" si="30"/>
        <v>46204</v>
      </c>
      <c r="N974">
        <f t="shared" ca="1" si="31"/>
        <v>1</v>
      </c>
    </row>
    <row r="975" spans="1:14" x14ac:dyDescent="0.3">
      <c r="A975" t="s">
        <v>2932</v>
      </c>
      <c r="B975" t="s">
        <v>2933</v>
      </c>
      <c r="C975" t="s">
        <v>47</v>
      </c>
      <c r="D975" t="s">
        <v>16</v>
      </c>
      <c r="E975" t="s">
        <v>24</v>
      </c>
      <c r="F975">
        <v>20.190000000000001</v>
      </c>
      <c r="G975" s="1">
        <v>45738</v>
      </c>
      <c r="H975" s="1">
        <v>43704</v>
      </c>
      <c r="I975" t="s">
        <v>2934</v>
      </c>
      <c r="J975" t="s">
        <v>66</v>
      </c>
      <c r="K975">
        <v>3</v>
      </c>
      <c r="L975" t="s">
        <v>20</v>
      </c>
      <c r="M975" s="1">
        <f t="shared" ca="1" si="30"/>
        <v>46204</v>
      </c>
      <c r="N975">
        <f t="shared" ca="1" si="31"/>
        <v>1</v>
      </c>
    </row>
    <row r="976" spans="1:14" x14ac:dyDescent="0.3">
      <c r="A976" t="s">
        <v>2935</v>
      </c>
      <c r="B976" t="s">
        <v>2936</v>
      </c>
      <c r="C976" t="s">
        <v>64</v>
      </c>
      <c r="D976" t="s">
        <v>40</v>
      </c>
      <c r="E976" t="s">
        <v>24</v>
      </c>
      <c r="F976">
        <v>24.84</v>
      </c>
      <c r="G976" s="1">
        <v>45913</v>
      </c>
      <c r="H976" s="1">
        <v>43793</v>
      </c>
      <c r="I976" t="s">
        <v>2937</v>
      </c>
      <c r="J976" t="s">
        <v>66</v>
      </c>
      <c r="K976">
        <v>3</v>
      </c>
      <c r="L976" t="s">
        <v>27</v>
      </c>
      <c r="M976" s="1">
        <f t="shared" ca="1" si="30"/>
        <v>46204</v>
      </c>
      <c r="N976">
        <f t="shared" ca="1" si="31"/>
        <v>1</v>
      </c>
    </row>
    <row r="977" spans="1:14" x14ac:dyDescent="0.3">
      <c r="A977" t="s">
        <v>2938</v>
      </c>
      <c r="B977" t="s">
        <v>2939</v>
      </c>
      <c r="C977" t="s">
        <v>64</v>
      </c>
      <c r="D977" t="s">
        <v>16</v>
      </c>
      <c r="E977" t="s">
        <v>52</v>
      </c>
      <c r="F977">
        <v>37.979999999999997</v>
      </c>
      <c r="G977" s="1">
        <v>46058</v>
      </c>
      <c r="H977" s="1">
        <v>42344</v>
      </c>
      <c r="I977" t="s">
        <v>2940</v>
      </c>
      <c r="J977" t="s">
        <v>37</v>
      </c>
      <c r="K977">
        <v>5</v>
      </c>
      <c r="L977" t="s">
        <v>27</v>
      </c>
      <c r="M977" s="1">
        <f t="shared" ca="1" si="30"/>
        <v>46204</v>
      </c>
      <c r="N977">
        <f t="shared" ca="1" si="31"/>
        <v>1</v>
      </c>
    </row>
    <row r="978" spans="1:14" x14ac:dyDescent="0.3">
      <c r="A978" t="s">
        <v>2941</v>
      </c>
      <c r="B978" t="s">
        <v>2942</v>
      </c>
      <c r="C978" t="s">
        <v>64</v>
      </c>
      <c r="D978" t="s">
        <v>56</v>
      </c>
      <c r="E978" t="s">
        <v>17</v>
      </c>
      <c r="F978">
        <v>13.66</v>
      </c>
      <c r="G978" s="1">
        <v>45919</v>
      </c>
      <c r="H978" s="1">
        <v>44101</v>
      </c>
      <c r="I978" t="s">
        <v>2943</v>
      </c>
      <c r="J978" t="s">
        <v>75</v>
      </c>
      <c r="K978">
        <v>1</v>
      </c>
      <c r="L978" t="s">
        <v>20</v>
      </c>
      <c r="M978" s="1">
        <f t="shared" ca="1" si="30"/>
        <v>46204</v>
      </c>
      <c r="N978">
        <f t="shared" ca="1" si="31"/>
        <v>1</v>
      </c>
    </row>
    <row r="979" spans="1:14" x14ac:dyDescent="0.3">
      <c r="A979" t="s">
        <v>2944</v>
      </c>
      <c r="B979" t="s">
        <v>2945</v>
      </c>
      <c r="C979" t="s">
        <v>34</v>
      </c>
      <c r="D979" t="s">
        <v>69</v>
      </c>
      <c r="E979" t="s">
        <v>24</v>
      </c>
      <c r="F979">
        <v>10.039999999999999</v>
      </c>
      <c r="G979" s="1">
        <v>45751</v>
      </c>
      <c r="H979" s="1">
        <v>42663</v>
      </c>
      <c r="I979" t="s">
        <v>2946</v>
      </c>
      <c r="J979" t="s">
        <v>49</v>
      </c>
      <c r="K979">
        <v>4</v>
      </c>
      <c r="L979" t="s">
        <v>27</v>
      </c>
      <c r="M979" s="1">
        <f t="shared" ca="1" si="30"/>
        <v>46204</v>
      </c>
      <c r="N979">
        <f t="shared" ca="1" si="31"/>
        <v>1</v>
      </c>
    </row>
    <row r="980" spans="1:14" x14ac:dyDescent="0.3">
      <c r="A980" t="s">
        <v>2947</v>
      </c>
      <c r="B980" t="s">
        <v>2948</v>
      </c>
      <c r="C980" t="s">
        <v>64</v>
      </c>
      <c r="D980" t="s">
        <v>16</v>
      </c>
      <c r="E980" t="s">
        <v>52</v>
      </c>
      <c r="F980">
        <v>36.270000000000003</v>
      </c>
      <c r="G980" s="1">
        <v>45769</v>
      </c>
      <c r="H980" s="1">
        <v>43753</v>
      </c>
      <c r="I980" t="s">
        <v>2949</v>
      </c>
      <c r="J980" t="s">
        <v>49</v>
      </c>
      <c r="K980">
        <v>3</v>
      </c>
      <c r="L980" t="s">
        <v>27</v>
      </c>
      <c r="M980" s="1">
        <f t="shared" ca="1" si="30"/>
        <v>46204</v>
      </c>
      <c r="N980">
        <f t="shared" ca="1" si="31"/>
        <v>1</v>
      </c>
    </row>
    <row r="981" spans="1:14" x14ac:dyDescent="0.3">
      <c r="A981" t="s">
        <v>2950</v>
      </c>
      <c r="B981" t="s">
        <v>2951</v>
      </c>
      <c r="C981" t="s">
        <v>34</v>
      </c>
      <c r="D981" t="s">
        <v>69</v>
      </c>
      <c r="E981" t="s">
        <v>52</v>
      </c>
      <c r="F981">
        <v>16.18</v>
      </c>
      <c r="G981" s="1">
        <v>45999</v>
      </c>
      <c r="H981" s="1">
        <v>42889</v>
      </c>
      <c r="I981" t="s">
        <v>2952</v>
      </c>
      <c r="J981" t="s">
        <v>94</v>
      </c>
      <c r="K981">
        <v>3</v>
      </c>
      <c r="L981" t="s">
        <v>20</v>
      </c>
      <c r="M981" s="1">
        <f t="shared" ca="1" si="30"/>
        <v>46204</v>
      </c>
      <c r="N981">
        <f t="shared" ca="1" si="31"/>
        <v>1</v>
      </c>
    </row>
    <row r="982" spans="1:14" x14ac:dyDescent="0.3">
      <c r="A982" t="s">
        <v>2953</v>
      </c>
      <c r="B982" t="s">
        <v>2954</v>
      </c>
      <c r="C982" t="s">
        <v>124</v>
      </c>
      <c r="D982" t="s">
        <v>56</v>
      </c>
      <c r="E982" t="s">
        <v>17</v>
      </c>
      <c r="F982">
        <v>26.32</v>
      </c>
      <c r="G982" s="1">
        <v>45819</v>
      </c>
      <c r="H982" s="1">
        <v>45133</v>
      </c>
      <c r="I982" t="s">
        <v>2955</v>
      </c>
      <c r="J982" t="s">
        <v>75</v>
      </c>
      <c r="K982">
        <v>1</v>
      </c>
      <c r="L982" t="s">
        <v>20</v>
      </c>
      <c r="M982" s="1">
        <f t="shared" ca="1" si="30"/>
        <v>46204</v>
      </c>
      <c r="N982">
        <f t="shared" ca="1" si="31"/>
        <v>1</v>
      </c>
    </row>
    <row r="983" spans="1:14" x14ac:dyDescent="0.3">
      <c r="A983" t="s">
        <v>2956</v>
      </c>
      <c r="B983" t="s">
        <v>2957</v>
      </c>
      <c r="C983" t="s">
        <v>15</v>
      </c>
      <c r="D983" t="s">
        <v>69</v>
      </c>
      <c r="E983" t="s">
        <v>17</v>
      </c>
      <c r="F983">
        <v>31.63</v>
      </c>
      <c r="G983" s="1">
        <v>45735</v>
      </c>
      <c r="H983" s="1">
        <v>43390</v>
      </c>
      <c r="I983" t="s">
        <v>2958</v>
      </c>
      <c r="J983" t="s">
        <v>26</v>
      </c>
      <c r="K983">
        <v>4</v>
      </c>
      <c r="L983" t="s">
        <v>20</v>
      </c>
      <c r="M983" s="1">
        <f t="shared" ca="1" si="30"/>
        <v>46204</v>
      </c>
      <c r="N983">
        <f t="shared" ca="1" si="31"/>
        <v>1</v>
      </c>
    </row>
    <row r="984" spans="1:14" x14ac:dyDescent="0.3">
      <c r="A984" t="s">
        <v>2959</v>
      </c>
      <c r="B984" t="s">
        <v>2960</v>
      </c>
      <c r="C984" t="s">
        <v>124</v>
      </c>
      <c r="D984" t="s">
        <v>35</v>
      </c>
      <c r="E984" t="s">
        <v>30</v>
      </c>
      <c r="F984">
        <v>7.35</v>
      </c>
      <c r="G984" s="1">
        <v>45870</v>
      </c>
      <c r="H984" s="1">
        <v>43797</v>
      </c>
      <c r="I984" t="s">
        <v>2961</v>
      </c>
      <c r="J984" t="s">
        <v>94</v>
      </c>
      <c r="K984">
        <v>3</v>
      </c>
      <c r="L984" t="s">
        <v>27</v>
      </c>
      <c r="M984" s="1">
        <f t="shared" ca="1" si="30"/>
        <v>46204</v>
      </c>
      <c r="N984">
        <f t="shared" ca="1" si="31"/>
        <v>1</v>
      </c>
    </row>
    <row r="985" spans="1:14" x14ac:dyDescent="0.3">
      <c r="A985" t="s">
        <v>2962</v>
      </c>
      <c r="B985" t="s">
        <v>2963</v>
      </c>
      <c r="C985" t="s">
        <v>34</v>
      </c>
      <c r="D985" t="s">
        <v>73</v>
      </c>
      <c r="E985" t="s">
        <v>52</v>
      </c>
      <c r="F985">
        <v>11.78</v>
      </c>
      <c r="G985" s="1">
        <v>46024</v>
      </c>
      <c r="H985" s="1">
        <v>42649</v>
      </c>
      <c r="I985" t="s">
        <v>2964</v>
      </c>
      <c r="J985" t="s">
        <v>75</v>
      </c>
      <c r="K985">
        <v>2</v>
      </c>
      <c r="L985" t="s">
        <v>27</v>
      </c>
      <c r="M985" s="1">
        <f t="shared" ca="1" si="30"/>
        <v>46204</v>
      </c>
      <c r="N985">
        <f t="shared" ca="1" si="31"/>
        <v>1</v>
      </c>
    </row>
    <row r="986" spans="1:14" x14ac:dyDescent="0.3">
      <c r="A986" t="s">
        <v>2965</v>
      </c>
      <c r="B986" t="s">
        <v>2966</v>
      </c>
      <c r="C986" t="s">
        <v>60</v>
      </c>
      <c r="D986" t="s">
        <v>16</v>
      </c>
      <c r="E986" t="s">
        <v>52</v>
      </c>
      <c r="F986">
        <v>36.21</v>
      </c>
      <c r="G986" s="1">
        <v>45918</v>
      </c>
      <c r="H986" s="1">
        <v>44769</v>
      </c>
      <c r="I986" t="s">
        <v>2967</v>
      </c>
      <c r="J986" t="s">
        <v>49</v>
      </c>
      <c r="K986">
        <v>3</v>
      </c>
      <c r="L986" t="s">
        <v>27</v>
      </c>
      <c r="M986" s="1">
        <f t="shared" ca="1" si="30"/>
        <v>46204</v>
      </c>
      <c r="N986">
        <f t="shared" ca="1" si="31"/>
        <v>1</v>
      </c>
    </row>
    <row r="987" spans="1:14" x14ac:dyDescent="0.3">
      <c r="A987" t="s">
        <v>2968</v>
      </c>
      <c r="B987" t="s">
        <v>2969</v>
      </c>
      <c r="C987" t="s">
        <v>47</v>
      </c>
      <c r="D987" t="s">
        <v>56</v>
      </c>
      <c r="E987" t="s">
        <v>17</v>
      </c>
      <c r="F987">
        <v>21.72</v>
      </c>
      <c r="G987" s="1">
        <v>45864</v>
      </c>
      <c r="H987" s="1">
        <v>43129</v>
      </c>
      <c r="I987" t="s">
        <v>2970</v>
      </c>
      <c r="J987" t="s">
        <v>19</v>
      </c>
      <c r="K987">
        <v>4</v>
      </c>
      <c r="L987" t="s">
        <v>20</v>
      </c>
      <c r="M987" s="1">
        <f t="shared" ca="1" si="30"/>
        <v>46204</v>
      </c>
      <c r="N987">
        <f t="shared" ca="1" si="31"/>
        <v>1</v>
      </c>
    </row>
    <row r="988" spans="1:14" x14ac:dyDescent="0.3">
      <c r="A988" t="s">
        <v>2971</v>
      </c>
      <c r="B988" t="s">
        <v>2972</v>
      </c>
      <c r="C988" t="s">
        <v>47</v>
      </c>
      <c r="D988" t="s">
        <v>35</v>
      </c>
      <c r="E988" t="s">
        <v>17</v>
      </c>
      <c r="F988">
        <v>14.64</v>
      </c>
      <c r="G988" s="1">
        <v>45891</v>
      </c>
      <c r="H988" s="1">
        <v>44248</v>
      </c>
      <c r="I988" t="s">
        <v>2973</v>
      </c>
      <c r="J988" t="s">
        <v>75</v>
      </c>
      <c r="K988">
        <v>5</v>
      </c>
      <c r="L988" t="s">
        <v>27</v>
      </c>
      <c r="M988" s="1">
        <f t="shared" ca="1" si="30"/>
        <v>46204</v>
      </c>
      <c r="N988">
        <f t="shared" ca="1" si="31"/>
        <v>1</v>
      </c>
    </row>
    <row r="989" spans="1:14" x14ac:dyDescent="0.3">
      <c r="A989" t="s">
        <v>2974</v>
      </c>
      <c r="B989" t="s">
        <v>2975</v>
      </c>
      <c r="C989" t="s">
        <v>60</v>
      </c>
      <c r="D989" t="s">
        <v>56</v>
      </c>
      <c r="E989" t="s">
        <v>30</v>
      </c>
      <c r="F989">
        <v>2.04</v>
      </c>
      <c r="G989" s="1">
        <v>46039</v>
      </c>
      <c r="H989" s="1">
        <v>45182</v>
      </c>
      <c r="I989" t="s">
        <v>2976</v>
      </c>
      <c r="J989" t="s">
        <v>49</v>
      </c>
      <c r="K989">
        <v>2</v>
      </c>
      <c r="L989" t="s">
        <v>20</v>
      </c>
      <c r="M989" s="1">
        <f t="shared" ca="1" si="30"/>
        <v>46204</v>
      </c>
      <c r="N989">
        <f t="shared" ca="1" si="31"/>
        <v>1</v>
      </c>
    </row>
    <row r="990" spans="1:14" x14ac:dyDescent="0.3">
      <c r="A990" t="s">
        <v>2977</v>
      </c>
      <c r="B990" t="s">
        <v>2978</v>
      </c>
      <c r="C990" t="s">
        <v>124</v>
      </c>
      <c r="D990" t="s">
        <v>40</v>
      </c>
      <c r="E990" t="s">
        <v>52</v>
      </c>
      <c r="F990">
        <v>25.17</v>
      </c>
      <c r="G990" s="1">
        <v>45856</v>
      </c>
      <c r="H990" s="1">
        <v>45454</v>
      </c>
      <c r="I990" t="s">
        <v>2979</v>
      </c>
      <c r="J990" t="s">
        <v>66</v>
      </c>
      <c r="K990">
        <v>2</v>
      </c>
      <c r="L990" t="s">
        <v>27</v>
      </c>
      <c r="M990" s="1">
        <f t="shared" ca="1" si="30"/>
        <v>46204</v>
      </c>
      <c r="N990">
        <f t="shared" ca="1" si="31"/>
        <v>1</v>
      </c>
    </row>
    <row r="991" spans="1:14" x14ac:dyDescent="0.3">
      <c r="A991" t="s">
        <v>2980</v>
      </c>
      <c r="B991" t="s">
        <v>2981</v>
      </c>
      <c r="C991" t="s">
        <v>23</v>
      </c>
      <c r="D991" t="s">
        <v>73</v>
      </c>
      <c r="E991" t="s">
        <v>24</v>
      </c>
      <c r="F991">
        <v>9.83</v>
      </c>
      <c r="G991" s="1">
        <v>45845</v>
      </c>
      <c r="H991" s="1">
        <v>44957</v>
      </c>
      <c r="I991" t="s">
        <v>2982</v>
      </c>
      <c r="J991" t="s">
        <v>19</v>
      </c>
      <c r="K991">
        <v>1</v>
      </c>
      <c r="L991" t="s">
        <v>27</v>
      </c>
      <c r="M991" s="1">
        <f t="shared" ca="1" si="30"/>
        <v>46204</v>
      </c>
      <c r="N991">
        <f t="shared" ca="1" si="31"/>
        <v>1</v>
      </c>
    </row>
    <row r="992" spans="1:14" x14ac:dyDescent="0.3">
      <c r="A992" t="s">
        <v>2983</v>
      </c>
      <c r="B992" t="s">
        <v>2984</v>
      </c>
      <c r="C992" t="s">
        <v>64</v>
      </c>
      <c r="D992" t="s">
        <v>35</v>
      </c>
      <c r="E992" t="s">
        <v>52</v>
      </c>
      <c r="F992">
        <v>18.350000000000001</v>
      </c>
      <c r="G992" s="1">
        <v>45973</v>
      </c>
      <c r="H992" s="1">
        <v>42618</v>
      </c>
      <c r="I992" t="s">
        <v>2985</v>
      </c>
      <c r="J992" t="s">
        <v>26</v>
      </c>
      <c r="K992">
        <v>2</v>
      </c>
      <c r="L992" t="s">
        <v>20</v>
      </c>
      <c r="M992" s="1">
        <f t="shared" ca="1" si="30"/>
        <v>46204</v>
      </c>
      <c r="N992">
        <f t="shared" ca="1" si="31"/>
        <v>1</v>
      </c>
    </row>
    <row r="993" spans="1:14" x14ac:dyDescent="0.3">
      <c r="A993" t="s">
        <v>2986</v>
      </c>
      <c r="B993" t="s">
        <v>2987</v>
      </c>
      <c r="C993" t="s">
        <v>64</v>
      </c>
      <c r="D993" t="s">
        <v>73</v>
      </c>
      <c r="E993" t="s">
        <v>30</v>
      </c>
      <c r="F993">
        <v>30.9</v>
      </c>
      <c r="G993" s="1">
        <v>45940</v>
      </c>
      <c r="H993" s="1">
        <v>43659</v>
      </c>
      <c r="I993" t="s">
        <v>2988</v>
      </c>
      <c r="J993" t="s">
        <v>19</v>
      </c>
      <c r="K993">
        <v>1</v>
      </c>
      <c r="L993" t="s">
        <v>27</v>
      </c>
      <c r="M993" s="1">
        <f t="shared" ca="1" si="30"/>
        <v>46204</v>
      </c>
      <c r="N993">
        <f t="shared" ca="1" si="31"/>
        <v>1</v>
      </c>
    </row>
    <row r="994" spans="1:14" x14ac:dyDescent="0.3">
      <c r="A994" t="s">
        <v>2989</v>
      </c>
      <c r="B994" t="s">
        <v>2990</v>
      </c>
      <c r="C994" t="s">
        <v>47</v>
      </c>
      <c r="D994" t="s">
        <v>16</v>
      </c>
      <c r="E994" t="s">
        <v>24</v>
      </c>
      <c r="F994">
        <v>30.87</v>
      </c>
      <c r="G994" s="1">
        <v>45978</v>
      </c>
      <c r="H994" s="1">
        <v>42954</v>
      </c>
      <c r="I994" t="s">
        <v>2991</v>
      </c>
      <c r="J994" t="s">
        <v>19</v>
      </c>
      <c r="K994">
        <v>1</v>
      </c>
      <c r="L994" t="s">
        <v>20</v>
      </c>
      <c r="M994" s="1">
        <f t="shared" ca="1" si="30"/>
        <v>46204</v>
      </c>
      <c r="N994">
        <f t="shared" ca="1" si="31"/>
        <v>1</v>
      </c>
    </row>
    <row r="995" spans="1:14" x14ac:dyDescent="0.3">
      <c r="A995" t="s">
        <v>2992</v>
      </c>
      <c r="B995" t="s">
        <v>2993</v>
      </c>
      <c r="C995" t="s">
        <v>60</v>
      </c>
      <c r="D995" t="s">
        <v>40</v>
      </c>
      <c r="E995" t="s">
        <v>24</v>
      </c>
      <c r="F995">
        <v>39.909999999999997</v>
      </c>
      <c r="G995" s="1">
        <v>46068</v>
      </c>
      <c r="H995" s="1">
        <v>42631</v>
      </c>
      <c r="I995" t="s">
        <v>2994</v>
      </c>
      <c r="J995" t="s">
        <v>37</v>
      </c>
      <c r="K995">
        <v>5</v>
      </c>
      <c r="L995" t="s">
        <v>27</v>
      </c>
      <c r="M995" s="1">
        <f t="shared" ca="1" si="30"/>
        <v>46204</v>
      </c>
      <c r="N995">
        <f t="shared" ca="1" si="31"/>
        <v>1</v>
      </c>
    </row>
    <row r="996" spans="1:14" x14ac:dyDescent="0.3">
      <c r="A996" t="s">
        <v>2995</v>
      </c>
      <c r="B996" t="s">
        <v>2996</v>
      </c>
      <c r="C996" t="s">
        <v>64</v>
      </c>
      <c r="D996" t="s">
        <v>16</v>
      </c>
      <c r="E996" t="s">
        <v>24</v>
      </c>
      <c r="F996">
        <v>18.690000000000001</v>
      </c>
      <c r="G996" s="1">
        <v>45726</v>
      </c>
      <c r="H996" s="1">
        <v>44300</v>
      </c>
      <c r="I996" t="s">
        <v>2997</v>
      </c>
      <c r="J996" t="s">
        <v>75</v>
      </c>
      <c r="K996">
        <v>5</v>
      </c>
      <c r="L996" t="s">
        <v>27</v>
      </c>
      <c r="M996" s="1">
        <f t="shared" ca="1" si="30"/>
        <v>46204</v>
      </c>
      <c r="N996">
        <f t="shared" ca="1" si="31"/>
        <v>1</v>
      </c>
    </row>
    <row r="997" spans="1:14" x14ac:dyDescent="0.3">
      <c r="A997" t="s">
        <v>2998</v>
      </c>
      <c r="B997" t="s">
        <v>2999</v>
      </c>
      <c r="C997" t="s">
        <v>23</v>
      </c>
      <c r="D997" t="s">
        <v>69</v>
      </c>
      <c r="E997" t="s">
        <v>52</v>
      </c>
      <c r="F997">
        <v>25.72</v>
      </c>
      <c r="G997" s="1">
        <v>45981</v>
      </c>
      <c r="H997" s="1">
        <v>44132</v>
      </c>
      <c r="I997" t="s">
        <v>3000</v>
      </c>
      <c r="J997" t="s">
        <v>37</v>
      </c>
      <c r="K997">
        <v>2</v>
      </c>
      <c r="L997" t="s">
        <v>20</v>
      </c>
      <c r="M997" s="1">
        <f t="shared" ca="1" si="30"/>
        <v>46204</v>
      </c>
      <c r="N997">
        <f t="shared" ca="1" si="31"/>
        <v>1</v>
      </c>
    </row>
    <row r="998" spans="1:14" x14ac:dyDescent="0.3">
      <c r="A998" t="s">
        <v>3001</v>
      </c>
      <c r="B998" t="s">
        <v>3002</v>
      </c>
      <c r="C998" t="s">
        <v>15</v>
      </c>
      <c r="D998" t="s">
        <v>69</v>
      </c>
      <c r="E998" t="s">
        <v>24</v>
      </c>
      <c r="F998">
        <v>2.09</v>
      </c>
      <c r="G998" s="1">
        <v>45876</v>
      </c>
      <c r="H998" s="1">
        <v>43004</v>
      </c>
      <c r="I998" t="s">
        <v>3003</v>
      </c>
      <c r="J998" t="s">
        <v>26</v>
      </c>
      <c r="K998">
        <v>3</v>
      </c>
      <c r="L998" t="s">
        <v>20</v>
      </c>
      <c r="M998" s="1">
        <f t="shared" ca="1" si="30"/>
        <v>46204</v>
      </c>
      <c r="N998">
        <f t="shared" ca="1" si="31"/>
        <v>1</v>
      </c>
    </row>
    <row r="999" spans="1:14" x14ac:dyDescent="0.3">
      <c r="A999" t="s">
        <v>3004</v>
      </c>
      <c r="B999" t="s">
        <v>3005</v>
      </c>
      <c r="C999" t="s">
        <v>60</v>
      </c>
      <c r="D999" t="s">
        <v>73</v>
      </c>
      <c r="E999" t="s">
        <v>17</v>
      </c>
      <c r="F999">
        <v>19.61</v>
      </c>
      <c r="G999" s="1">
        <v>45709</v>
      </c>
      <c r="H999" s="1">
        <v>44459</v>
      </c>
      <c r="I999" t="s">
        <v>3006</v>
      </c>
      <c r="J999" t="s">
        <v>75</v>
      </c>
      <c r="K999">
        <v>4</v>
      </c>
      <c r="L999" t="s">
        <v>20</v>
      </c>
      <c r="M999" s="1">
        <f t="shared" ca="1" si="30"/>
        <v>46204</v>
      </c>
      <c r="N999">
        <f t="shared" ca="1" si="31"/>
        <v>1</v>
      </c>
    </row>
    <row r="1000" spans="1:14" x14ac:dyDescent="0.3">
      <c r="A1000" t="s">
        <v>3007</v>
      </c>
      <c r="B1000" t="s">
        <v>3008</v>
      </c>
      <c r="C1000" t="s">
        <v>60</v>
      </c>
      <c r="D1000" t="s">
        <v>56</v>
      </c>
      <c r="E1000" t="s">
        <v>17</v>
      </c>
      <c r="F1000">
        <v>20.329999999999998</v>
      </c>
      <c r="G1000" s="1">
        <v>45904</v>
      </c>
      <c r="H1000" s="1">
        <v>43072</v>
      </c>
      <c r="I1000" t="s">
        <v>3009</v>
      </c>
      <c r="J1000" t="s">
        <v>37</v>
      </c>
      <c r="K1000">
        <v>3</v>
      </c>
      <c r="L1000" t="s">
        <v>27</v>
      </c>
      <c r="M1000" s="1">
        <f t="shared" ca="1" si="30"/>
        <v>46204</v>
      </c>
      <c r="N1000">
        <f t="shared" ca="1" si="31"/>
        <v>1</v>
      </c>
    </row>
    <row r="1001" spans="1:14" x14ac:dyDescent="0.3">
      <c r="A1001" t="s">
        <v>3010</v>
      </c>
      <c r="B1001" t="s">
        <v>3011</v>
      </c>
      <c r="C1001" t="s">
        <v>124</v>
      </c>
      <c r="D1001" t="s">
        <v>73</v>
      </c>
      <c r="E1001" t="s">
        <v>24</v>
      </c>
      <c r="F1001">
        <v>34.89</v>
      </c>
      <c r="G1001" s="1">
        <v>45711</v>
      </c>
      <c r="H1001" s="1">
        <v>42727</v>
      </c>
      <c r="I1001" t="s">
        <v>3012</v>
      </c>
      <c r="J1001" t="s">
        <v>75</v>
      </c>
      <c r="K1001">
        <v>2</v>
      </c>
      <c r="L1001" t="s">
        <v>20</v>
      </c>
      <c r="M1001" s="1">
        <f t="shared" ca="1" si="30"/>
        <v>46204</v>
      </c>
      <c r="N1001">
        <f t="shared" ca="1" si="31"/>
        <v>1</v>
      </c>
    </row>
    <row r="1002" spans="1:14" x14ac:dyDescent="0.3">
      <c r="A1002" t="s">
        <v>3013</v>
      </c>
      <c r="B1002" t="s">
        <v>3014</v>
      </c>
      <c r="C1002" t="s">
        <v>34</v>
      </c>
      <c r="D1002" t="s">
        <v>16</v>
      </c>
      <c r="E1002" t="s">
        <v>52</v>
      </c>
      <c r="F1002">
        <v>20.65</v>
      </c>
      <c r="G1002" s="1">
        <v>45897</v>
      </c>
      <c r="H1002" s="1">
        <v>45508</v>
      </c>
      <c r="I1002" t="s">
        <v>3015</v>
      </c>
      <c r="J1002" t="s">
        <v>19</v>
      </c>
      <c r="K1002">
        <v>4</v>
      </c>
      <c r="L1002" t="s">
        <v>27</v>
      </c>
      <c r="M1002" s="1">
        <f t="shared" ca="1" si="30"/>
        <v>46204</v>
      </c>
      <c r="N1002">
        <f t="shared" ca="1" si="31"/>
        <v>1</v>
      </c>
    </row>
    <row r="1003" spans="1:14" x14ac:dyDescent="0.3">
      <c r="A1003" t="s">
        <v>3016</v>
      </c>
      <c r="B1003" t="s">
        <v>3017</v>
      </c>
      <c r="C1003" t="s">
        <v>64</v>
      </c>
      <c r="D1003" t="s">
        <v>69</v>
      </c>
      <c r="E1003" t="s">
        <v>17</v>
      </c>
      <c r="F1003">
        <v>8.01</v>
      </c>
      <c r="G1003" s="1">
        <v>45951</v>
      </c>
      <c r="H1003" s="1">
        <v>43698</v>
      </c>
      <c r="I1003" t="s">
        <v>3018</v>
      </c>
      <c r="J1003" t="s">
        <v>26</v>
      </c>
      <c r="K1003">
        <v>3</v>
      </c>
      <c r="L1003" t="s">
        <v>27</v>
      </c>
      <c r="M1003" s="1">
        <f t="shared" ca="1" si="30"/>
        <v>46204</v>
      </c>
      <c r="N1003">
        <f t="shared" ca="1" si="31"/>
        <v>1</v>
      </c>
    </row>
    <row r="1004" spans="1:14" x14ac:dyDescent="0.3">
      <c r="A1004" t="s">
        <v>3019</v>
      </c>
      <c r="B1004" t="s">
        <v>3020</v>
      </c>
      <c r="C1004" t="s">
        <v>64</v>
      </c>
      <c r="D1004" t="s">
        <v>69</v>
      </c>
      <c r="E1004" t="s">
        <v>17</v>
      </c>
      <c r="F1004">
        <v>17.559999999999999</v>
      </c>
      <c r="G1004" s="1">
        <v>45857</v>
      </c>
      <c r="H1004" s="1">
        <v>44572</v>
      </c>
      <c r="I1004" t="s">
        <v>3021</v>
      </c>
      <c r="J1004" t="s">
        <v>19</v>
      </c>
      <c r="K1004">
        <v>5</v>
      </c>
      <c r="L1004" t="s">
        <v>27</v>
      </c>
      <c r="M1004" s="1">
        <f t="shared" ca="1" si="30"/>
        <v>46204</v>
      </c>
      <c r="N1004">
        <f t="shared" ca="1" si="31"/>
        <v>1</v>
      </c>
    </row>
    <row r="1005" spans="1:14" x14ac:dyDescent="0.3">
      <c r="A1005" t="s">
        <v>3022</v>
      </c>
      <c r="B1005" t="s">
        <v>3023</v>
      </c>
      <c r="C1005" t="s">
        <v>15</v>
      </c>
      <c r="D1005" t="s">
        <v>35</v>
      </c>
      <c r="E1005" t="s">
        <v>24</v>
      </c>
      <c r="F1005">
        <v>38.94</v>
      </c>
      <c r="G1005" s="1">
        <v>45911</v>
      </c>
      <c r="H1005" s="1">
        <v>44523</v>
      </c>
      <c r="I1005" t="s">
        <v>3024</v>
      </c>
      <c r="J1005" t="s">
        <v>19</v>
      </c>
      <c r="K1005">
        <v>1</v>
      </c>
      <c r="L1005" t="s">
        <v>27</v>
      </c>
      <c r="M1005" s="1">
        <f t="shared" ca="1" si="30"/>
        <v>46204</v>
      </c>
      <c r="N1005">
        <f t="shared" ca="1" si="31"/>
        <v>1</v>
      </c>
    </row>
    <row r="1006" spans="1:14" x14ac:dyDescent="0.3">
      <c r="A1006" t="s">
        <v>3025</v>
      </c>
      <c r="B1006" t="s">
        <v>3026</v>
      </c>
      <c r="C1006" t="s">
        <v>124</v>
      </c>
      <c r="D1006" t="s">
        <v>73</v>
      </c>
      <c r="E1006" t="s">
        <v>17</v>
      </c>
      <c r="F1006">
        <v>34.67</v>
      </c>
      <c r="G1006" s="1">
        <v>45901</v>
      </c>
      <c r="H1006" s="1">
        <v>44940</v>
      </c>
      <c r="I1006" t="s">
        <v>3027</v>
      </c>
      <c r="J1006" t="s">
        <v>26</v>
      </c>
      <c r="K1006">
        <v>1</v>
      </c>
      <c r="L1006" t="s">
        <v>20</v>
      </c>
      <c r="M1006" s="1">
        <f t="shared" ca="1" si="30"/>
        <v>46204</v>
      </c>
      <c r="N1006">
        <f t="shared" ca="1" si="31"/>
        <v>1</v>
      </c>
    </row>
    <row r="1007" spans="1:14" x14ac:dyDescent="0.3">
      <c r="A1007" t="s">
        <v>3028</v>
      </c>
      <c r="B1007" t="s">
        <v>3029</v>
      </c>
      <c r="C1007" t="s">
        <v>23</v>
      </c>
      <c r="D1007" t="s">
        <v>40</v>
      </c>
      <c r="E1007" t="s">
        <v>30</v>
      </c>
      <c r="F1007">
        <v>37.6</v>
      </c>
      <c r="G1007" s="1">
        <v>45796</v>
      </c>
      <c r="H1007" s="1">
        <v>45488</v>
      </c>
      <c r="I1007" t="s">
        <v>3030</v>
      </c>
      <c r="J1007" t="s">
        <v>75</v>
      </c>
      <c r="K1007">
        <v>2</v>
      </c>
      <c r="L1007" t="s">
        <v>20</v>
      </c>
      <c r="M1007" s="1">
        <f t="shared" ca="1" si="30"/>
        <v>46204</v>
      </c>
      <c r="N1007">
        <f t="shared" ca="1" si="31"/>
        <v>1</v>
      </c>
    </row>
    <row r="1008" spans="1:14" x14ac:dyDescent="0.3">
      <c r="A1008" t="s">
        <v>3031</v>
      </c>
      <c r="B1008" t="s">
        <v>3032</v>
      </c>
      <c r="C1008" t="s">
        <v>15</v>
      </c>
      <c r="D1008" t="s">
        <v>56</v>
      </c>
      <c r="E1008" t="s">
        <v>17</v>
      </c>
      <c r="F1008">
        <v>21.98</v>
      </c>
      <c r="G1008" s="1">
        <v>45990</v>
      </c>
      <c r="H1008" s="1">
        <v>44590</v>
      </c>
      <c r="I1008" t="s">
        <v>3033</v>
      </c>
      <c r="J1008" t="s">
        <v>94</v>
      </c>
      <c r="K1008">
        <v>1</v>
      </c>
      <c r="L1008" t="s">
        <v>20</v>
      </c>
      <c r="M1008" s="1">
        <f t="shared" ca="1" si="30"/>
        <v>46204</v>
      </c>
      <c r="N1008">
        <f t="shared" ca="1" si="31"/>
        <v>1</v>
      </c>
    </row>
    <row r="1009" spans="1:14" x14ac:dyDescent="0.3">
      <c r="A1009" t="s">
        <v>3034</v>
      </c>
      <c r="B1009" t="s">
        <v>3035</v>
      </c>
      <c r="C1009" t="s">
        <v>124</v>
      </c>
      <c r="D1009" t="s">
        <v>56</v>
      </c>
      <c r="E1009" t="s">
        <v>52</v>
      </c>
      <c r="F1009">
        <v>9.86</v>
      </c>
      <c r="G1009" s="1">
        <v>45719</v>
      </c>
      <c r="H1009" s="1">
        <v>42637</v>
      </c>
      <c r="I1009" t="s">
        <v>3036</v>
      </c>
      <c r="J1009" t="s">
        <v>19</v>
      </c>
      <c r="K1009">
        <v>3</v>
      </c>
      <c r="L1009" t="s">
        <v>27</v>
      </c>
      <c r="M1009" s="1">
        <f t="shared" ca="1" si="30"/>
        <v>46204</v>
      </c>
      <c r="N1009">
        <f t="shared" ca="1" si="31"/>
        <v>1</v>
      </c>
    </row>
    <row r="1010" spans="1:14" x14ac:dyDescent="0.3">
      <c r="A1010" t="s">
        <v>3037</v>
      </c>
      <c r="B1010" t="s">
        <v>3038</v>
      </c>
      <c r="C1010" t="s">
        <v>124</v>
      </c>
      <c r="D1010" t="s">
        <v>69</v>
      </c>
      <c r="E1010" t="s">
        <v>30</v>
      </c>
      <c r="F1010">
        <v>6.32</v>
      </c>
      <c r="G1010" s="1">
        <v>45973</v>
      </c>
      <c r="H1010" s="1">
        <v>44677</v>
      </c>
      <c r="I1010" t="s">
        <v>3039</v>
      </c>
      <c r="J1010" t="s">
        <v>19</v>
      </c>
      <c r="K1010">
        <v>2</v>
      </c>
      <c r="L1010" t="s">
        <v>27</v>
      </c>
      <c r="M1010" s="1">
        <f t="shared" ca="1" si="30"/>
        <v>46204</v>
      </c>
      <c r="N1010">
        <f t="shared" ca="1" si="31"/>
        <v>1</v>
      </c>
    </row>
    <row r="1011" spans="1:14" x14ac:dyDescent="0.3">
      <c r="A1011" t="s">
        <v>3040</v>
      </c>
      <c r="B1011" t="s">
        <v>3041</v>
      </c>
      <c r="C1011" t="s">
        <v>60</v>
      </c>
      <c r="D1011" t="s">
        <v>69</v>
      </c>
      <c r="E1011" t="s">
        <v>24</v>
      </c>
      <c r="F1011">
        <v>14.65</v>
      </c>
      <c r="G1011" s="1">
        <v>45979</v>
      </c>
      <c r="H1011" s="1">
        <v>45318</v>
      </c>
      <c r="I1011" t="s">
        <v>3042</v>
      </c>
      <c r="J1011" t="s">
        <v>49</v>
      </c>
      <c r="K1011">
        <v>4</v>
      </c>
      <c r="L1011" t="s">
        <v>27</v>
      </c>
      <c r="M1011" s="1">
        <f t="shared" ca="1" si="30"/>
        <v>46204</v>
      </c>
      <c r="N1011">
        <f t="shared" ca="1" si="31"/>
        <v>1</v>
      </c>
    </row>
    <row r="1012" spans="1:14" x14ac:dyDescent="0.3">
      <c r="A1012" t="s">
        <v>3043</v>
      </c>
      <c r="B1012" t="s">
        <v>3044</v>
      </c>
      <c r="C1012" t="s">
        <v>34</v>
      </c>
      <c r="D1012" t="s">
        <v>73</v>
      </c>
      <c r="E1012" t="s">
        <v>17</v>
      </c>
      <c r="F1012">
        <v>10.97</v>
      </c>
      <c r="G1012" s="1">
        <v>45821</v>
      </c>
      <c r="H1012" s="1">
        <v>42641</v>
      </c>
      <c r="I1012" t="s">
        <v>3045</v>
      </c>
      <c r="J1012" t="s">
        <v>37</v>
      </c>
      <c r="K1012">
        <v>5</v>
      </c>
      <c r="L1012" t="s">
        <v>20</v>
      </c>
      <c r="M1012" s="1">
        <f t="shared" ca="1" si="30"/>
        <v>46204</v>
      </c>
      <c r="N1012">
        <f t="shared" ca="1" si="31"/>
        <v>1</v>
      </c>
    </row>
    <row r="1013" spans="1:14" x14ac:dyDescent="0.3">
      <c r="A1013" t="s">
        <v>3046</v>
      </c>
      <c r="B1013" t="s">
        <v>3047</v>
      </c>
      <c r="C1013" t="s">
        <v>60</v>
      </c>
      <c r="D1013" t="s">
        <v>40</v>
      </c>
      <c r="E1013" t="s">
        <v>30</v>
      </c>
      <c r="F1013">
        <v>15.51</v>
      </c>
      <c r="G1013" s="1">
        <v>45920</v>
      </c>
      <c r="H1013" s="1">
        <v>42615</v>
      </c>
      <c r="I1013" t="s">
        <v>3048</v>
      </c>
      <c r="J1013" t="s">
        <v>37</v>
      </c>
      <c r="K1013">
        <v>5</v>
      </c>
      <c r="L1013" t="s">
        <v>27</v>
      </c>
      <c r="M1013" s="1">
        <f t="shared" ca="1" si="30"/>
        <v>46204</v>
      </c>
      <c r="N1013">
        <f t="shared" ca="1" si="31"/>
        <v>1</v>
      </c>
    </row>
    <row r="1014" spans="1:14" x14ac:dyDescent="0.3">
      <c r="A1014" t="s">
        <v>3049</v>
      </c>
      <c r="B1014" t="s">
        <v>2564</v>
      </c>
      <c r="C1014" t="s">
        <v>60</v>
      </c>
      <c r="D1014" t="s">
        <v>69</v>
      </c>
      <c r="E1014" t="s">
        <v>17</v>
      </c>
      <c r="F1014">
        <v>38.549999999999997</v>
      </c>
      <c r="G1014" s="1">
        <v>46014</v>
      </c>
      <c r="H1014" s="1">
        <v>43907</v>
      </c>
      <c r="I1014" t="s">
        <v>3050</v>
      </c>
      <c r="J1014" t="s">
        <v>66</v>
      </c>
      <c r="K1014">
        <v>1</v>
      </c>
      <c r="L1014" t="s">
        <v>27</v>
      </c>
      <c r="M1014" s="1">
        <f t="shared" ca="1" si="30"/>
        <v>46204</v>
      </c>
      <c r="N1014">
        <f t="shared" ca="1" si="31"/>
        <v>1</v>
      </c>
    </row>
    <row r="1015" spans="1:14" x14ac:dyDescent="0.3">
      <c r="A1015" t="s">
        <v>3051</v>
      </c>
      <c r="B1015" t="s">
        <v>3052</v>
      </c>
      <c r="C1015" t="s">
        <v>23</v>
      </c>
      <c r="D1015" t="s">
        <v>73</v>
      </c>
      <c r="E1015" t="s">
        <v>24</v>
      </c>
      <c r="F1015">
        <v>23.58</v>
      </c>
      <c r="G1015" s="1">
        <v>46006</v>
      </c>
      <c r="H1015" s="1">
        <v>45353</v>
      </c>
      <c r="I1015" t="s">
        <v>3053</v>
      </c>
      <c r="J1015" t="s">
        <v>94</v>
      </c>
      <c r="K1015">
        <v>1</v>
      </c>
      <c r="L1015" t="s">
        <v>27</v>
      </c>
      <c r="M1015" s="1">
        <f t="shared" ca="1" si="30"/>
        <v>46204</v>
      </c>
      <c r="N1015">
        <f t="shared" ca="1" si="31"/>
        <v>1</v>
      </c>
    </row>
    <row r="1016" spans="1:14" x14ac:dyDescent="0.3">
      <c r="A1016" t="s">
        <v>3054</v>
      </c>
      <c r="B1016" t="s">
        <v>3055</v>
      </c>
      <c r="C1016" t="s">
        <v>124</v>
      </c>
      <c r="D1016" t="s">
        <v>56</v>
      </c>
      <c r="E1016" t="s">
        <v>24</v>
      </c>
      <c r="F1016">
        <v>19.16</v>
      </c>
      <c r="G1016" s="1">
        <v>46027</v>
      </c>
      <c r="H1016" s="1">
        <v>44622</v>
      </c>
      <c r="I1016" t="s">
        <v>3056</v>
      </c>
      <c r="J1016" t="s">
        <v>19</v>
      </c>
      <c r="K1016">
        <v>4</v>
      </c>
      <c r="L1016" t="s">
        <v>27</v>
      </c>
      <c r="M1016" s="1">
        <f t="shared" ca="1" si="30"/>
        <v>46204</v>
      </c>
      <c r="N1016">
        <f t="shared" ca="1" si="31"/>
        <v>1</v>
      </c>
    </row>
    <row r="1017" spans="1:14" x14ac:dyDescent="0.3">
      <c r="A1017" t="s">
        <v>3057</v>
      </c>
      <c r="B1017" t="s">
        <v>3058</v>
      </c>
      <c r="C1017" t="s">
        <v>34</v>
      </c>
      <c r="D1017" t="s">
        <v>35</v>
      </c>
      <c r="E1017" t="s">
        <v>52</v>
      </c>
      <c r="F1017">
        <v>33.67</v>
      </c>
      <c r="G1017" s="1">
        <v>45748</v>
      </c>
      <c r="H1017" s="1">
        <v>44391</v>
      </c>
      <c r="I1017" t="s">
        <v>3059</v>
      </c>
      <c r="J1017" t="s">
        <v>19</v>
      </c>
      <c r="K1017">
        <v>4</v>
      </c>
      <c r="L1017" t="s">
        <v>27</v>
      </c>
      <c r="M1017" s="1">
        <f t="shared" ca="1" si="30"/>
        <v>46204</v>
      </c>
      <c r="N1017">
        <f t="shared" ca="1" si="31"/>
        <v>1</v>
      </c>
    </row>
    <row r="1018" spans="1:14" x14ac:dyDescent="0.3">
      <c r="A1018" t="s">
        <v>3060</v>
      </c>
      <c r="B1018" t="s">
        <v>3061</v>
      </c>
      <c r="C1018" t="s">
        <v>64</v>
      </c>
      <c r="D1018" t="s">
        <v>40</v>
      </c>
      <c r="E1018" t="s">
        <v>17</v>
      </c>
      <c r="F1018">
        <v>5.94</v>
      </c>
      <c r="G1018" s="1">
        <v>45938</v>
      </c>
      <c r="H1018" s="1">
        <v>43948</v>
      </c>
      <c r="I1018" t="s">
        <v>3062</v>
      </c>
      <c r="J1018" t="s">
        <v>49</v>
      </c>
      <c r="K1018">
        <v>3</v>
      </c>
      <c r="L1018" t="s">
        <v>20</v>
      </c>
      <c r="M1018" s="1">
        <f t="shared" ca="1" si="30"/>
        <v>46204</v>
      </c>
      <c r="N1018">
        <f t="shared" ca="1" si="31"/>
        <v>1</v>
      </c>
    </row>
    <row r="1019" spans="1:14" x14ac:dyDescent="0.3">
      <c r="A1019" t="s">
        <v>3063</v>
      </c>
      <c r="B1019" t="s">
        <v>3064</v>
      </c>
      <c r="C1019" t="s">
        <v>15</v>
      </c>
      <c r="D1019" t="s">
        <v>69</v>
      </c>
      <c r="E1019" t="s">
        <v>24</v>
      </c>
      <c r="F1019">
        <v>38.86</v>
      </c>
      <c r="G1019" s="1">
        <v>45914</v>
      </c>
      <c r="H1019" s="1">
        <v>43840</v>
      </c>
      <c r="I1019" t="s">
        <v>3065</v>
      </c>
      <c r="J1019" t="s">
        <v>37</v>
      </c>
      <c r="K1019">
        <v>3</v>
      </c>
      <c r="L1019" t="s">
        <v>27</v>
      </c>
      <c r="M1019" s="1">
        <f t="shared" ca="1" si="30"/>
        <v>46204</v>
      </c>
      <c r="N1019">
        <f t="shared" ca="1" si="31"/>
        <v>1</v>
      </c>
    </row>
    <row r="1020" spans="1:14" x14ac:dyDescent="0.3">
      <c r="A1020" t="s">
        <v>3066</v>
      </c>
      <c r="B1020" t="s">
        <v>3067</v>
      </c>
      <c r="C1020" t="s">
        <v>23</v>
      </c>
      <c r="D1020" t="s">
        <v>35</v>
      </c>
      <c r="E1020" t="s">
        <v>17</v>
      </c>
      <c r="F1020">
        <v>13.23</v>
      </c>
      <c r="G1020" s="1">
        <v>45902</v>
      </c>
      <c r="H1020" s="1">
        <v>43416</v>
      </c>
      <c r="I1020" t="s">
        <v>3068</v>
      </c>
      <c r="J1020" t="s">
        <v>66</v>
      </c>
      <c r="K1020">
        <v>2</v>
      </c>
      <c r="L1020" t="s">
        <v>27</v>
      </c>
      <c r="M1020" s="1">
        <f t="shared" ca="1" si="30"/>
        <v>46204</v>
      </c>
      <c r="N1020">
        <f t="shared" ca="1" si="31"/>
        <v>1</v>
      </c>
    </row>
    <row r="1021" spans="1:14" x14ac:dyDescent="0.3">
      <c r="A1021" t="s">
        <v>3069</v>
      </c>
      <c r="B1021" t="s">
        <v>3070</v>
      </c>
      <c r="C1021" t="s">
        <v>47</v>
      </c>
      <c r="D1021" t="s">
        <v>56</v>
      </c>
      <c r="E1021" t="s">
        <v>17</v>
      </c>
      <c r="F1021">
        <v>37.97</v>
      </c>
      <c r="G1021" s="1">
        <v>45744</v>
      </c>
      <c r="H1021" s="1">
        <v>42585</v>
      </c>
      <c r="I1021" t="s">
        <v>3071</v>
      </c>
      <c r="J1021" t="s">
        <v>49</v>
      </c>
      <c r="K1021">
        <v>5</v>
      </c>
      <c r="L1021" t="s">
        <v>27</v>
      </c>
      <c r="M1021" s="1">
        <f t="shared" ca="1" si="30"/>
        <v>46204</v>
      </c>
      <c r="N1021">
        <f t="shared" ca="1" si="31"/>
        <v>1</v>
      </c>
    </row>
    <row r="1022" spans="1:14" x14ac:dyDescent="0.3">
      <c r="A1022" t="s">
        <v>3072</v>
      </c>
      <c r="B1022" t="s">
        <v>3073</v>
      </c>
      <c r="C1022" t="s">
        <v>64</v>
      </c>
      <c r="D1022" t="s">
        <v>73</v>
      </c>
      <c r="E1022" t="s">
        <v>24</v>
      </c>
      <c r="F1022">
        <v>30.3</v>
      </c>
      <c r="G1022" s="1">
        <v>45995</v>
      </c>
      <c r="H1022" s="1">
        <v>44307</v>
      </c>
      <c r="I1022" t="s">
        <v>3074</v>
      </c>
      <c r="J1022" t="s">
        <v>75</v>
      </c>
      <c r="K1022">
        <v>2</v>
      </c>
      <c r="L1022" t="s">
        <v>27</v>
      </c>
      <c r="M1022" s="1">
        <f t="shared" ca="1" si="30"/>
        <v>46204</v>
      </c>
      <c r="N1022">
        <f t="shared" ca="1" si="31"/>
        <v>1</v>
      </c>
    </row>
    <row r="1023" spans="1:14" x14ac:dyDescent="0.3">
      <c r="A1023" t="s">
        <v>3075</v>
      </c>
      <c r="B1023" t="s">
        <v>3076</v>
      </c>
      <c r="C1023" t="s">
        <v>60</v>
      </c>
      <c r="D1023" t="s">
        <v>35</v>
      </c>
      <c r="E1023" t="s">
        <v>52</v>
      </c>
      <c r="F1023">
        <v>7.68</v>
      </c>
      <c r="G1023" s="1">
        <v>45763</v>
      </c>
      <c r="H1023" s="1">
        <v>42714</v>
      </c>
      <c r="I1023" t="s">
        <v>3077</v>
      </c>
      <c r="J1023" t="s">
        <v>37</v>
      </c>
      <c r="K1023">
        <v>5</v>
      </c>
      <c r="L1023" t="s">
        <v>27</v>
      </c>
      <c r="M1023" s="1">
        <f t="shared" ca="1" si="30"/>
        <v>46204</v>
      </c>
      <c r="N1023">
        <f t="shared" ca="1" si="31"/>
        <v>1</v>
      </c>
    </row>
    <row r="1024" spans="1:14" x14ac:dyDescent="0.3">
      <c r="A1024" t="s">
        <v>3078</v>
      </c>
      <c r="B1024" t="s">
        <v>3079</v>
      </c>
      <c r="C1024" t="s">
        <v>124</v>
      </c>
      <c r="D1024" t="s">
        <v>69</v>
      </c>
      <c r="E1024" t="s">
        <v>17</v>
      </c>
      <c r="F1024">
        <v>7.44</v>
      </c>
      <c r="G1024" s="1">
        <v>45853</v>
      </c>
      <c r="H1024" s="1">
        <v>42867</v>
      </c>
      <c r="I1024" t="s">
        <v>3080</v>
      </c>
      <c r="J1024" t="s">
        <v>66</v>
      </c>
      <c r="K1024">
        <v>5</v>
      </c>
      <c r="L1024" t="s">
        <v>20</v>
      </c>
      <c r="M1024" s="1">
        <f t="shared" ca="1" si="30"/>
        <v>46204</v>
      </c>
      <c r="N1024">
        <f t="shared" ca="1" si="31"/>
        <v>1</v>
      </c>
    </row>
    <row r="1025" spans="1:14" x14ac:dyDescent="0.3">
      <c r="A1025" t="s">
        <v>3081</v>
      </c>
      <c r="B1025" t="s">
        <v>3082</v>
      </c>
      <c r="C1025" t="s">
        <v>124</v>
      </c>
      <c r="D1025" t="s">
        <v>56</v>
      </c>
      <c r="E1025" t="s">
        <v>52</v>
      </c>
      <c r="F1025">
        <v>14.37</v>
      </c>
      <c r="G1025" s="1">
        <v>45832</v>
      </c>
      <c r="H1025" s="1">
        <v>42600</v>
      </c>
      <c r="I1025" t="s">
        <v>3083</v>
      </c>
      <c r="J1025" t="s">
        <v>94</v>
      </c>
      <c r="K1025">
        <v>4</v>
      </c>
      <c r="L1025" t="s">
        <v>20</v>
      </c>
      <c r="M1025" s="1">
        <f t="shared" ca="1" si="30"/>
        <v>46204</v>
      </c>
      <c r="N1025">
        <f t="shared" ca="1" si="31"/>
        <v>1</v>
      </c>
    </row>
    <row r="1026" spans="1:14" x14ac:dyDescent="0.3">
      <c r="A1026" t="s">
        <v>3084</v>
      </c>
      <c r="B1026" t="s">
        <v>3085</v>
      </c>
      <c r="C1026" t="s">
        <v>124</v>
      </c>
      <c r="D1026" t="s">
        <v>56</v>
      </c>
      <c r="E1026" t="s">
        <v>17</v>
      </c>
      <c r="F1026">
        <v>1.1000000000000001</v>
      </c>
      <c r="G1026" s="1">
        <v>45791</v>
      </c>
      <c r="H1026" s="1">
        <v>43190</v>
      </c>
      <c r="I1026" t="s">
        <v>3086</v>
      </c>
      <c r="J1026" t="s">
        <v>37</v>
      </c>
      <c r="K1026">
        <v>5</v>
      </c>
      <c r="L1026" t="s">
        <v>27</v>
      </c>
      <c r="M1026" s="1">
        <f t="shared" ca="1" si="30"/>
        <v>46204</v>
      </c>
      <c r="N1026">
        <f t="shared" ca="1" si="31"/>
        <v>1</v>
      </c>
    </row>
    <row r="1027" spans="1:14" x14ac:dyDescent="0.3">
      <c r="A1027" t="s">
        <v>3087</v>
      </c>
      <c r="B1027" t="s">
        <v>3088</v>
      </c>
      <c r="C1027" t="s">
        <v>124</v>
      </c>
      <c r="D1027" t="s">
        <v>35</v>
      </c>
      <c r="E1027" t="s">
        <v>52</v>
      </c>
      <c r="F1027">
        <v>36.909999999999997</v>
      </c>
      <c r="G1027" s="1">
        <v>45953</v>
      </c>
      <c r="H1027" s="1">
        <v>43790</v>
      </c>
      <c r="I1027" t="s">
        <v>3089</v>
      </c>
      <c r="J1027" t="s">
        <v>94</v>
      </c>
      <c r="K1027">
        <v>4</v>
      </c>
      <c r="L1027" t="s">
        <v>27</v>
      </c>
      <c r="M1027" s="1">
        <f t="shared" ref="M1027:M1090" ca="1" si="32">TODAY()</f>
        <v>46204</v>
      </c>
      <c r="N1027">
        <f t="shared" ref="N1027:N1090" ca="1" si="33">IF(G1027&lt;M1027,1,0)</f>
        <v>1</v>
      </c>
    </row>
    <row r="1028" spans="1:14" x14ac:dyDescent="0.3">
      <c r="A1028" t="s">
        <v>3090</v>
      </c>
      <c r="B1028" t="s">
        <v>3091</v>
      </c>
      <c r="C1028" t="s">
        <v>23</v>
      </c>
      <c r="D1028" t="s">
        <v>56</v>
      </c>
      <c r="E1028" t="s">
        <v>30</v>
      </c>
      <c r="F1028">
        <v>18.649999999999999</v>
      </c>
      <c r="G1028" s="1">
        <v>45766</v>
      </c>
      <c r="H1028" s="1">
        <v>45311</v>
      </c>
      <c r="I1028" t="s">
        <v>3092</v>
      </c>
      <c r="J1028" t="s">
        <v>37</v>
      </c>
      <c r="K1028">
        <v>4</v>
      </c>
      <c r="L1028" t="s">
        <v>27</v>
      </c>
      <c r="M1028" s="1">
        <f t="shared" ca="1" si="32"/>
        <v>46204</v>
      </c>
      <c r="N1028">
        <f t="shared" ca="1" si="33"/>
        <v>1</v>
      </c>
    </row>
    <row r="1029" spans="1:14" x14ac:dyDescent="0.3">
      <c r="A1029" t="s">
        <v>3093</v>
      </c>
      <c r="B1029" t="s">
        <v>3094</v>
      </c>
      <c r="C1029" t="s">
        <v>23</v>
      </c>
      <c r="D1029" t="s">
        <v>40</v>
      </c>
      <c r="E1029" t="s">
        <v>30</v>
      </c>
      <c r="F1029">
        <v>31.05</v>
      </c>
      <c r="G1029" s="1">
        <v>45882</v>
      </c>
      <c r="H1029" s="1">
        <v>45038</v>
      </c>
      <c r="I1029" t="s">
        <v>3095</v>
      </c>
      <c r="J1029" t="s">
        <v>19</v>
      </c>
      <c r="K1029">
        <v>1</v>
      </c>
      <c r="L1029" t="s">
        <v>27</v>
      </c>
      <c r="M1029" s="1">
        <f t="shared" ca="1" si="32"/>
        <v>46204</v>
      </c>
      <c r="N1029">
        <f t="shared" ca="1" si="33"/>
        <v>1</v>
      </c>
    </row>
    <row r="1030" spans="1:14" x14ac:dyDescent="0.3">
      <c r="A1030" t="s">
        <v>3096</v>
      </c>
      <c r="B1030" t="s">
        <v>3097</v>
      </c>
      <c r="C1030" t="s">
        <v>64</v>
      </c>
      <c r="D1030" t="s">
        <v>35</v>
      </c>
      <c r="E1030" t="s">
        <v>24</v>
      </c>
      <c r="F1030">
        <v>35.01</v>
      </c>
      <c r="G1030" s="1">
        <v>45747</v>
      </c>
      <c r="H1030" s="1">
        <v>44527</v>
      </c>
      <c r="I1030" t="s">
        <v>3098</v>
      </c>
      <c r="J1030" t="s">
        <v>75</v>
      </c>
      <c r="K1030">
        <v>3</v>
      </c>
      <c r="L1030" t="s">
        <v>20</v>
      </c>
      <c r="M1030" s="1">
        <f t="shared" ca="1" si="32"/>
        <v>46204</v>
      </c>
      <c r="N1030">
        <f t="shared" ca="1" si="33"/>
        <v>1</v>
      </c>
    </row>
    <row r="1031" spans="1:14" x14ac:dyDescent="0.3">
      <c r="A1031" t="s">
        <v>3099</v>
      </c>
      <c r="B1031" t="s">
        <v>3100</v>
      </c>
      <c r="C1031" t="s">
        <v>60</v>
      </c>
      <c r="D1031" t="s">
        <v>73</v>
      </c>
      <c r="E1031" t="s">
        <v>52</v>
      </c>
      <c r="F1031">
        <v>17.190000000000001</v>
      </c>
      <c r="G1031" s="1">
        <v>45946</v>
      </c>
      <c r="H1031" s="1">
        <v>44199</v>
      </c>
      <c r="I1031" t="s">
        <v>3101</v>
      </c>
      <c r="J1031" t="s">
        <v>66</v>
      </c>
      <c r="K1031">
        <v>5</v>
      </c>
      <c r="L1031" t="s">
        <v>27</v>
      </c>
      <c r="M1031" s="1">
        <f t="shared" ca="1" si="32"/>
        <v>46204</v>
      </c>
      <c r="N1031">
        <f t="shared" ca="1" si="33"/>
        <v>1</v>
      </c>
    </row>
    <row r="1032" spans="1:14" x14ac:dyDescent="0.3">
      <c r="A1032" t="s">
        <v>3102</v>
      </c>
      <c r="B1032" t="s">
        <v>22</v>
      </c>
      <c r="C1032" t="s">
        <v>124</v>
      </c>
      <c r="D1032" t="s">
        <v>73</v>
      </c>
      <c r="E1032" t="s">
        <v>17</v>
      </c>
      <c r="F1032">
        <v>22.7</v>
      </c>
      <c r="G1032" s="1">
        <v>45914</v>
      </c>
      <c r="H1032" s="1">
        <v>43429</v>
      </c>
      <c r="I1032" t="s">
        <v>3103</v>
      </c>
      <c r="J1032" t="s">
        <v>19</v>
      </c>
      <c r="K1032">
        <v>2</v>
      </c>
      <c r="L1032" t="s">
        <v>20</v>
      </c>
      <c r="M1032" s="1">
        <f t="shared" ca="1" si="32"/>
        <v>46204</v>
      </c>
      <c r="N1032">
        <f t="shared" ca="1" si="33"/>
        <v>1</v>
      </c>
    </row>
    <row r="1033" spans="1:14" x14ac:dyDescent="0.3">
      <c r="A1033" t="s">
        <v>3104</v>
      </c>
      <c r="B1033" t="s">
        <v>3105</v>
      </c>
      <c r="C1033" t="s">
        <v>15</v>
      </c>
      <c r="D1033" t="s">
        <v>56</v>
      </c>
      <c r="E1033" t="s">
        <v>52</v>
      </c>
      <c r="F1033">
        <v>29.15</v>
      </c>
      <c r="G1033" s="1">
        <v>45814</v>
      </c>
      <c r="H1033" s="1">
        <v>43258</v>
      </c>
      <c r="I1033" t="s">
        <v>3106</v>
      </c>
      <c r="J1033" t="s">
        <v>49</v>
      </c>
      <c r="K1033">
        <v>2</v>
      </c>
      <c r="L1033" t="s">
        <v>27</v>
      </c>
      <c r="M1033" s="1">
        <f t="shared" ca="1" si="32"/>
        <v>46204</v>
      </c>
      <c r="N1033">
        <f t="shared" ca="1" si="33"/>
        <v>1</v>
      </c>
    </row>
    <row r="1034" spans="1:14" x14ac:dyDescent="0.3">
      <c r="A1034" t="s">
        <v>3107</v>
      </c>
      <c r="B1034" t="s">
        <v>3108</v>
      </c>
      <c r="C1034" t="s">
        <v>64</v>
      </c>
      <c r="D1034" t="s">
        <v>73</v>
      </c>
      <c r="E1034" t="s">
        <v>52</v>
      </c>
      <c r="F1034">
        <v>37.020000000000003</v>
      </c>
      <c r="G1034" s="1">
        <v>45827</v>
      </c>
      <c r="H1034" s="1">
        <v>43922</v>
      </c>
      <c r="I1034" t="s">
        <v>3109</v>
      </c>
      <c r="J1034" t="s">
        <v>94</v>
      </c>
      <c r="K1034">
        <v>2</v>
      </c>
      <c r="L1034" t="s">
        <v>27</v>
      </c>
      <c r="M1034" s="1">
        <f t="shared" ca="1" si="32"/>
        <v>46204</v>
      </c>
      <c r="N1034">
        <f t="shared" ca="1" si="33"/>
        <v>1</v>
      </c>
    </row>
    <row r="1035" spans="1:14" x14ac:dyDescent="0.3">
      <c r="A1035" t="s">
        <v>3110</v>
      </c>
      <c r="B1035" t="s">
        <v>3111</v>
      </c>
      <c r="C1035" t="s">
        <v>47</v>
      </c>
      <c r="D1035" t="s">
        <v>56</v>
      </c>
      <c r="E1035" t="s">
        <v>24</v>
      </c>
      <c r="F1035">
        <v>25.4</v>
      </c>
      <c r="G1035" s="1">
        <v>45706</v>
      </c>
      <c r="H1035" s="1">
        <v>45087</v>
      </c>
      <c r="I1035" t="s">
        <v>3112</v>
      </c>
      <c r="J1035" t="s">
        <v>37</v>
      </c>
      <c r="K1035">
        <v>3</v>
      </c>
      <c r="L1035" t="s">
        <v>27</v>
      </c>
      <c r="M1035" s="1">
        <f t="shared" ca="1" si="32"/>
        <v>46204</v>
      </c>
      <c r="N1035">
        <f t="shared" ca="1" si="33"/>
        <v>1</v>
      </c>
    </row>
    <row r="1036" spans="1:14" x14ac:dyDescent="0.3">
      <c r="A1036" t="s">
        <v>3113</v>
      </c>
      <c r="B1036" t="s">
        <v>3114</v>
      </c>
      <c r="C1036" t="s">
        <v>15</v>
      </c>
      <c r="D1036" t="s">
        <v>35</v>
      </c>
      <c r="E1036" t="s">
        <v>30</v>
      </c>
      <c r="F1036">
        <v>33.770000000000003</v>
      </c>
      <c r="G1036" s="1">
        <v>45708</v>
      </c>
      <c r="H1036" s="1">
        <v>43796</v>
      </c>
      <c r="I1036" t="s">
        <v>3115</v>
      </c>
      <c r="J1036" t="s">
        <v>37</v>
      </c>
      <c r="K1036">
        <v>5</v>
      </c>
      <c r="L1036" t="s">
        <v>20</v>
      </c>
      <c r="M1036" s="1">
        <f t="shared" ca="1" si="32"/>
        <v>46204</v>
      </c>
      <c r="N1036">
        <f t="shared" ca="1" si="33"/>
        <v>1</v>
      </c>
    </row>
    <row r="1037" spans="1:14" x14ac:dyDescent="0.3">
      <c r="A1037" t="s">
        <v>3116</v>
      </c>
      <c r="B1037" t="s">
        <v>3117</v>
      </c>
      <c r="C1037" t="s">
        <v>64</v>
      </c>
      <c r="D1037" t="s">
        <v>40</v>
      </c>
      <c r="E1037" t="s">
        <v>24</v>
      </c>
      <c r="F1037">
        <v>21.67</v>
      </c>
      <c r="G1037" s="1">
        <v>46066</v>
      </c>
      <c r="H1037" s="1">
        <v>43634</v>
      </c>
      <c r="I1037" t="s">
        <v>3118</v>
      </c>
      <c r="J1037" t="s">
        <v>19</v>
      </c>
      <c r="K1037">
        <v>1</v>
      </c>
      <c r="L1037" t="s">
        <v>27</v>
      </c>
      <c r="M1037" s="1">
        <f t="shared" ca="1" si="32"/>
        <v>46204</v>
      </c>
      <c r="N1037">
        <f t="shared" ca="1" si="33"/>
        <v>1</v>
      </c>
    </row>
    <row r="1038" spans="1:14" x14ac:dyDescent="0.3">
      <c r="A1038" t="s">
        <v>3119</v>
      </c>
      <c r="B1038" t="s">
        <v>3120</v>
      </c>
      <c r="C1038" t="s">
        <v>15</v>
      </c>
      <c r="D1038" t="s">
        <v>40</v>
      </c>
      <c r="E1038" t="s">
        <v>24</v>
      </c>
      <c r="F1038">
        <v>21.99</v>
      </c>
      <c r="G1038" s="1">
        <v>45762</v>
      </c>
      <c r="H1038" s="1">
        <v>44367</v>
      </c>
      <c r="I1038" t="s">
        <v>3121</v>
      </c>
      <c r="J1038" t="s">
        <v>19</v>
      </c>
      <c r="K1038">
        <v>5</v>
      </c>
      <c r="L1038" t="s">
        <v>27</v>
      </c>
      <c r="M1038" s="1">
        <f t="shared" ca="1" si="32"/>
        <v>46204</v>
      </c>
      <c r="N1038">
        <f t="shared" ca="1" si="33"/>
        <v>1</v>
      </c>
    </row>
    <row r="1039" spans="1:14" x14ac:dyDescent="0.3">
      <c r="A1039" t="s">
        <v>3122</v>
      </c>
      <c r="B1039" t="s">
        <v>3123</v>
      </c>
      <c r="C1039" t="s">
        <v>15</v>
      </c>
      <c r="D1039" t="s">
        <v>69</v>
      </c>
      <c r="E1039" t="s">
        <v>17</v>
      </c>
      <c r="F1039">
        <v>17.03</v>
      </c>
      <c r="G1039" s="1">
        <v>46064</v>
      </c>
      <c r="H1039" s="1">
        <v>44757</v>
      </c>
      <c r="I1039" t="s">
        <v>3124</v>
      </c>
      <c r="J1039" t="s">
        <v>37</v>
      </c>
      <c r="K1039">
        <v>5</v>
      </c>
      <c r="L1039" t="s">
        <v>20</v>
      </c>
      <c r="M1039" s="1">
        <f t="shared" ca="1" si="32"/>
        <v>46204</v>
      </c>
      <c r="N1039">
        <f t="shared" ca="1" si="33"/>
        <v>1</v>
      </c>
    </row>
    <row r="1040" spans="1:14" x14ac:dyDescent="0.3">
      <c r="A1040" t="s">
        <v>3125</v>
      </c>
      <c r="B1040" t="s">
        <v>3126</v>
      </c>
      <c r="C1040" t="s">
        <v>64</v>
      </c>
      <c r="D1040" t="s">
        <v>40</v>
      </c>
      <c r="E1040" t="s">
        <v>17</v>
      </c>
      <c r="F1040">
        <v>7.65</v>
      </c>
      <c r="G1040" s="1">
        <v>45839</v>
      </c>
      <c r="H1040" s="1">
        <v>44843</v>
      </c>
      <c r="I1040" t="s">
        <v>3127</v>
      </c>
      <c r="J1040" t="s">
        <v>94</v>
      </c>
      <c r="K1040">
        <v>5</v>
      </c>
      <c r="L1040" t="s">
        <v>27</v>
      </c>
      <c r="M1040" s="1">
        <f t="shared" ca="1" si="32"/>
        <v>46204</v>
      </c>
      <c r="N1040">
        <f t="shared" ca="1" si="33"/>
        <v>1</v>
      </c>
    </row>
    <row r="1041" spans="1:14" x14ac:dyDescent="0.3">
      <c r="A1041" t="s">
        <v>3128</v>
      </c>
      <c r="B1041" t="s">
        <v>3129</v>
      </c>
      <c r="C1041" t="s">
        <v>15</v>
      </c>
      <c r="D1041" t="s">
        <v>16</v>
      </c>
      <c r="E1041" t="s">
        <v>30</v>
      </c>
      <c r="F1041">
        <v>7.43</v>
      </c>
      <c r="G1041" s="1">
        <v>45937</v>
      </c>
      <c r="H1041" s="1">
        <v>43896</v>
      </c>
      <c r="I1041" t="s">
        <v>3130</v>
      </c>
      <c r="J1041" t="s">
        <v>94</v>
      </c>
      <c r="K1041">
        <v>4</v>
      </c>
      <c r="L1041" t="s">
        <v>27</v>
      </c>
      <c r="M1041" s="1">
        <f t="shared" ca="1" si="32"/>
        <v>46204</v>
      </c>
      <c r="N1041">
        <f t="shared" ca="1" si="33"/>
        <v>1</v>
      </c>
    </row>
    <row r="1042" spans="1:14" x14ac:dyDescent="0.3">
      <c r="A1042" t="s">
        <v>3131</v>
      </c>
      <c r="B1042" t="s">
        <v>3132</v>
      </c>
      <c r="C1042" t="s">
        <v>34</v>
      </c>
      <c r="D1042" t="s">
        <v>73</v>
      </c>
      <c r="E1042" t="s">
        <v>30</v>
      </c>
      <c r="F1042">
        <v>39.340000000000003</v>
      </c>
      <c r="G1042" s="1">
        <v>45814</v>
      </c>
      <c r="H1042" s="1">
        <v>43365</v>
      </c>
      <c r="I1042" t="s">
        <v>3133</v>
      </c>
      <c r="J1042" t="s">
        <v>66</v>
      </c>
      <c r="K1042">
        <v>2</v>
      </c>
      <c r="L1042" t="s">
        <v>27</v>
      </c>
      <c r="M1042" s="1">
        <f t="shared" ca="1" si="32"/>
        <v>46204</v>
      </c>
      <c r="N1042">
        <f t="shared" ca="1" si="33"/>
        <v>1</v>
      </c>
    </row>
    <row r="1043" spans="1:14" x14ac:dyDescent="0.3">
      <c r="A1043" t="s">
        <v>3134</v>
      </c>
      <c r="B1043" t="s">
        <v>948</v>
      </c>
      <c r="C1043" t="s">
        <v>64</v>
      </c>
      <c r="D1043" t="s">
        <v>56</v>
      </c>
      <c r="E1043" t="s">
        <v>52</v>
      </c>
      <c r="F1043">
        <v>25.08</v>
      </c>
      <c r="G1043" s="1">
        <v>45961</v>
      </c>
      <c r="H1043" s="1">
        <v>42642</v>
      </c>
      <c r="I1043" t="s">
        <v>3135</v>
      </c>
      <c r="J1043" t="s">
        <v>19</v>
      </c>
      <c r="K1043">
        <v>4</v>
      </c>
      <c r="L1043" t="s">
        <v>20</v>
      </c>
      <c r="M1043" s="1">
        <f t="shared" ca="1" si="32"/>
        <v>46204</v>
      </c>
      <c r="N1043">
        <f t="shared" ca="1" si="33"/>
        <v>1</v>
      </c>
    </row>
    <row r="1044" spans="1:14" x14ac:dyDescent="0.3">
      <c r="A1044" t="s">
        <v>3136</v>
      </c>
      <c r="B1044" t="s">
        <v>3137</v>
      </c>
      <c r="C1044" t="s">
        <v>124</v>
      </c>
      <c r="D1044" t="s">
        <v>35</v>
      </c>
      <c r="E1044" t="s">
        <v>30</v>
      </c>
      <c r="F1044">
        <v>17.37</v>
      </c>
      <c r="G1044" s="1">
        <v>45867</v>
      </c>
      <c r="H1044" s="1">
        <v>43223</v>
      </c>
      <c r="I1044" t="s">
        <v>3138</v>
      </c>
      <c r="J1044" t="s">
        <v>19</v>
      </c>
      <c r="K1044">
        <v>5</v>
      </c>
      <c r="L1044" t="s">
        <v>20</v>
      </c>
      <c r="M1044" s="1">
        <f t="shared" ca="1" si="32"/>
        <v>46204</v>
      </c>
      <c r="N1044">
        <f t="shared" ca="1" si="33"/>
        <v>1</v>
      </c>
    </row>
    <row r="1045" spans="1:14" x14ac:dyDescent="0.3">
      <c r="A1045" t="s">
        <v>3139</v>
      </c>
      <c r="B1045" t="s">
        <v>3140</v>
      </c>
      <c r="C1045" t="s">
        <v>47</v>
      </c>
      <c r="D1045" t="s">
        <v>35</v>
      </c>
      <c r="E1045" t="s">
        <v>52</v>
      </c>
      <c r="F1045">
        <v>33.1</v>
      </c>
      <c r="G1045" s="1">
        <v>45725</v>
      </c>
      <c r="H1045" s="1">
        <v>42654</v>
      </c>
      <c r="I1045" t="s">
        <v>3141</v>
      </c>
      <c r="J1045" t="s">
        <v>94</v>
      </c>
      <c r="K1045">
        <v>2</v>
      </c>
      <c r="L1045" t="s">
        <v>27</v>
      </c>
      <c r="M1045" s="1">
        <f t="shared" ca="1" si="32"/>
        <v>46204</v>
      </c>
      <c r="N1045">
        <f t="shared" ca="1" si="33"/>
        <v>1</v>
      </c>
    </row>
    <row r="1046" spans="1:14" x14ac:dyDescent="0.3">
      <c r="A1046" t="s">
        <v>3142</v>
      </c>
      <c r="B1046" t="s">
        <v>3143</v>
      </c>
      <c r="C1046" t="s">
        <v>124</v>
      </c>
      <c r="D1046" t="s">
        <v>56</v>
      </c>
      <c r="E1046" t="s">
        <v>17</v>
      </c>
      <c r="F1046">
        <v>39.340000000000003</v>
      </c>
      <c r="G1046" s="1">
        <v>46054</v>
      </c>
      <c r="H1046" s="1">
        <v>44867</v>
      </c>
      <c r="I1046" t="s">
        <v>3144</v>
      </c>
      <c r="J1046" t="s">
        <v>75</v>
      </c>
      <c r="K1046">
        <v>2</v>
      </c>
      <c r="L1046" t="s">
        <v>20</v>
      </c>
      <c r="M1046" s="1">
        <f t="shared" ca="1" si="32"/>
        <v>46204</v>
      </c>
      <c r="N1046">
        <f t="shared" ca="1" si="33"/>
        <v>1</v>
      </c>
    </row>
    <row r="1047" spans="1:14" x14ac:dyDescent="0.3">
      <c r="A1047" t="s">
        <v>3145</v>
      </c>
      <c r="B1047" t="s">
        <v>3146</v>
      </c>
      <c r="C1047" t="s">
        <v>47</v>
      </c>
      <c r="D1047" t="s">
        <v>56</v>
      </c>
      <c r="E1047" t="s">
        <v>17</v>
      </c>
      <c r="F1047">
        <v>36.270000000000003</v>
      </c>
      <c r="G1047" s="1">
        <v>45721</v>
      </c>
      <c r="H1047" s="1">
        <v>44793</v>
      </c>
      <c r="I1047" t="s">
        <v>3147</v>
      </c>
      <c r="J1047" t="s">
        <v>75</v>
      </c>
      <c r="K1047">
        <v>2</v>
      </c>
      <c r="L1047" t="s">
        <v>27</v>
      </c>
      <c r="M1047" s="1">
        <f t="shared" ca="1" si="32"/>
        <v>46204</v>
      </c>
      <c r="N1047">
        <f t="shared" ca="1" si="33"/>
        <v>1</v>
      </c>
    </row>
    <row r="1048" spans="1:14" x14ac:dyDescent="0.3">
      <c r="A1048" t="s">
        <v>3148</v>
      </c>
      <c r="B1048" t="s">
        <v>3149</v>
      </c>
      <c r="C1048" t="s">
        <v>15</v>
      </c>
      <c r="D1048" t="s">
        <v>56</v>
      </c>
      <c r="E1048" t="s">
        <v>30</v>
      </c>
      <c r="F1048">
        <v>11.5</v>
      </c>
      <c r="G1048" s="1">
        <v>46034</v>
      </c>
      <c r="H1048" s="1">
        <v>45382</v>
      </c>
      <c r="I1048" t="s">
        <v>3150</v>
      </c>
      <c r="J1048" t="s">
        <v>37</v>
      </c>
      <c r="K1048">
        <v>4</v>
      </c>
      <c r="L1048" t="s">
        <v>20</v>
      </c>
      <c r="M1048" s="1">
        <f t="shared" ca="1" si="32"/>
        <v>46204</v>
      </c>
      <c r="N1048">
        <f t="shared" ca="1" si="33"/>
        <v>1</v>
      </c>
    </row>
    <row r="1049" spans="1:14" x14ac:dyDescent="0.3">
      <c r="A1049" t="s">
        <v>3151</v>
      </c>
      <c r="B1049" t="s">
        <v>3152</v>
      </c>
      <c r="C1049" t="s">
        <v>47</v>
      </c>
      <c r="D1049" t="s">
        <v>56</v>
      </c>
      <c r="E1049" t="s">
        <v>30</v>
      </c>
      <c r="F1049">
        <v>17.2</v>
      </c>
      <c r="G1049" s="1">
        <v>46063</v>
      </c>
      <c r="H1049" s="1">
        <v>43376</v>
      </c>
      <c r="I1049" t="s">
        <v>3153</v>
      </c>
      <c r="J1049" t="s">
        <v>75</v>
      </c>
      <c r="K1049">
        <v>3</v>
      </c>
      <c r="L1049" t="s">
        <v>27</v>
      </c>
      <c r="M1049" s="1">
        <f t="shared" ca="1" si="32"/>
        <v>46204</v>
      </c>
      <c r="N1049">
        <f t="shared" ca="1" si="33"/>
        <v>1</v>
      </c>
    </row>
    <row r="1050" spans="1:14" x14ac:dyDescent="0.3">
      <c r="A1050" t="s">
        <v>3154</v>
      </c>
      <c r="B1050" t="s">
        <v>3155</v>
      </c>
      <c r="C1050" t="s">
        <v>23</v>
      </c>
      <c r="D1050" t="s">
        <v>40</v>
      </c>
      <c r="E1050" t="s">
        <v>52</v>
      </c>
      <c r="F1050">
        <v>27.1</v>
      </c>
      <c r="G1050" s="1">
        <v>45951</v>
      </c>
      <c r="H1050" s="1">
        <v>43491</v>
      </c>
      <c r="I1050" t="s">
        <v>3156</v>
      </c>
      <c r="J1050" t="s">
        <v>49</v>
      </c>
      <c r="K1050">
        <v>2</v>
      </c>
      <c r="L1050" t="s">
        <v>20</v>
      </c>
      <c r="M1050" s="1">
        <f t="shared" ca="1" si="32"/>
        <v>46204</v>
      </c>
      <c r="N1050">
        <f t="shared" ca="1" si="33"/>
        <v>1</v>
      </c>
    </row>
    <row r="1051" spans="1:14" x14ac:dyDescent="0.3">
      <c r="A1051" t="s">
        <v>3157</v>
      </c>
      <c r="B1051" t="s">
        <v>3158</v>
      </c>
      <c r="C1051" t="s">
        <v>47</v>
      </c>
      <c r="D1051" t="s">
        <v>16</v>
      </c>
      <c r="E1051" t="s">
        <v>30</v>
      </c>
      <c r="F1051">
        <v>8.65</v>
      </c>
      <c r="G1051" s="1">
        <v>45970</v>
      </c>
      <c r="H1051" s="1">
        <v>43340</v>
      </c>
      <c r="I1051" t="s">
        <v>3159</v>
      </c>
      <c r="J1051" t="s">
        <v>37</v>
      </c>
      <c r="K1051">
        <v>1</v>
      </c>
      <c r="L1051" t="s">
        <v>27</v>
      </c>
      <c r="M1051" s="1">
        <f t="shared" ca="1" si="32"/>
        <v>46204</v>
      </c>
      <c r="N1051">
        <f t="shared" ca="1" si="33"/>
        <v>1</v>
      </c>
    </row>
    <row r="1052" spans="1:14" x14ac:dyDescent="0.3">
      <c r="A1052" t="s">
        <v>3160</v>
      </c>
      <c r="B1052" t="s">
        <v>3161</v>
      </c>
      <c r="C1052" t="s">
        <v>15</v>
      </c>
      <c r="D1052" t="s">
        <v>40</v>
      </c>
      <c r="E1052" t="s">
        <v>24</v>
      </c>
      <c r="F1052">
        <v>15.62</v>
      </c>
      <c r="G1052" s="1">
        <v>45830</v>
      </c>
      <c r="H1052" s="1">
        <v>43781</v>
      </c>
      <c r="I1052" t="s">
        <v>3162</v>
      </c>
      <c r="J1052" t="s">
        <v>94</v>
      </c>
      <c r="K1052">
        <v>4</v>
      </c>
      <c r="L1052" t="s">
        <v>27</v>
      </c>
      <c r="M1052" s="1">
        <f t="shared" ca="1" si="32"/>
        <v>46204</v>
      </c>
      <c r="N1052">
        <f t="shared" ca="1" si="33"/>
        <v>1</v>
      </c>
    </row>
    <row r="1053" spans="1:14" x14ac:dyDescent="0.3">
      <c r="A1053" t="s">
        <v>3163</v>
      </c>
      <c r="B1053" t="s">
        <v>3164</v>
      </c>
      <c r="C1053" t="s">
        <v>124</v>
      </c>
      <c r="D1053" t="s">
        <v>35</v>
      </c>
      <c r="E1053" t="s">
        <v>17</v>
      </c>
      <c r="F1053">
        <v>13.33</v>
      </c>
      <c r="G1053" s="1">
        <v>46042</v>
      </c>
      <c r="H1053" s="1">
        <v>42962</v>
      </c>
      <c r="I1053" t="s">
        <v>3165</v>
      </c>
      <c r="J1053" t="s">
        <v>37</v>
      </c>
      <c r="K1053">
        <v>3</v>
      </c>
      <c r="L1053" t="s">
        <v>20</v>
      </c>
      <c r="M1053" s="1">
        <f t="shared" ca="1" si="32"/>
        <v>46204</v>
      </c>
      <c r="N1053">
        <f t="shared" ca="1" si="33"/>
        <v>1</v>
      </c>
    </row>
    <row r="1054" spans="1:14" x14ac:dyDescent="0.3">
      <c r="A1054" t="s">
        <v>3166</v>
      </c>
      <c r="B1054" t="s">
        <v>3167</v>
      </c>
      <c r="C1054" t="s">
        <v>64</v>
      </c>
      <c r="D1054" t="s">
        <v>35</v>
      </c>
      <c r="E1054" t="s">
        <v>24</v>
      </c>
      <c r="F1054">
        <v>27.07</v>
      </c>
      <c r="G1054" s="1">
        <v>46027</v>
      </c>
      <c r="H1054" s="1">
        <v>42342</v>
      </c>
      <c r="I1054" t="s">
        <v>3168</v>
      </c>
      <c r="J1054" t="s">
        <v>94</v>
      </c>
      <c r="K1054">
        <v>1</v>
      </c>
      <c r="L1054" t="s">
        <v>20</v>
      </c>
      <c r="M1054" s="1">
        <f t="shared" ca="1" si="32"/>
        <v>46204</v>
      </c>
      <c r="N1054">
        <f t="shared" ca="1" si="33"/>
        <v>1</v>
      </c>
    </row>
    <row r="1055" spans="1:14" x14ac:dyDescent="0.3">
      <c r="A1055" t="s">
        <v>3169</v>
      </c>
      <c r="B1055" t="s">
        <v>3170</v>
      </c>
      <c r="C1055" t="s">
        <v>15</v>
      </c>
      <c r="D1055" t="s">
        <v>73</v>
      </c>
      <c r="E1055" t="s">
        <v>30</v>
      </c>
      <c r="F1055">
        <v>4.92</v>
      </c>
      <c r="G1055" s="1">
        <v>45995</v>
      </c>
      <c r="H1055" s="1">
        <v>44614</v>
      </c>
      <c r="I1055" t="s">
        <v>3171</v>
      </c>
      <c r="J1055" t="s">
        <v>37</v>
      </c>
      <c r="K1055">
        <v>5</v>
      </c>
      <c r="L1055" t="s">
        <v>20</v>
      </c>
      <c r="M1055" s="1">
        <f t="shared" ca="1" si="32"/>
        <v>46204</v>
      </c>
      <c r="N1055">
        <f t="shared" ca="1" si="33"/>
        <v>1</v>
      </c>
    </row>
    <row r="1056" spans="1:14" x14ac:dyDescent="0.3">
      <c r="A1056" t="s">
        <v>3172</v>
      </c>
      <c r="B1056" t="s">
        <v>3173</v>
      </c>
      <c r="C1056" t="s">
        <v>64</v>
      </c>
      <c r="D1056" t="s">
        <v>69</v>
      </c>
      <c r="E1056" t="s">
        <v>24</v>
      </c>
      <c r="F1056">
        <v>9.42</v>
      </c>
      <c r="G1056" s="1">
        <v>45979</v>
      </c>
      <c r="H1056" s="1">
        <v>42686</v>
      </c>
      <c r="I1056" t="s">
        <v>3174</v>
      </c>
      <c r="J1056" t="s">
        <v>94</v>
      </c>
      <c r="K1056">
        <v>1</v>
      </c>
      <c r="L1056" t="s">
        <v>27</v>
      </c>
      <c r="M1056" s="1">
        <f t="shared" ca="1" si="32"/>
        <v>46204</v>
      </c>
      <c r="N1056">
        <f t="shared" ca="1" si="33"/>
        <v>1</v>
      </c>
    </row>
    <row r="1057" spans="1:14" x14ac:dyDescent="0.3">
      <c r="A1057" t="s">
        <v>3175</v>
      </c>
      <c r="B1057" t="s">
        <v>3176</v>
      </c>
      <c r="C1057" t="s">
        <v>23</v>
      </c>
      <c r="D1057" t="s">
        <v>16</v>
      </c>
      <c r="E1057" t="s">
        <v>17</v>
      </c>
      <c r="F1057">
        <v>20.65</v>
      </c>
      <c r="G1057" s="1">
        <v>45767</v>
      </c>
      <c r="H1057" s="1">
        <v>43863</v>
      </c>
      <c r="I1057" t="s">
        <v>3177</v>
      </c>
      <c r="J1057" t="s">
        <v>94</v>
      </c>
      <c r="K1057">
        <v>3</v>
      </c>
      <c r="L1057" t="s">
        <v>20</v>
      </c>
      <c r="M1057" s="1">
        <f t="shared" ca="1" si="32"/>
        <v>46204</v>
      </c>
      <c r="N1057">
        <f t="shared" ca="1" si="33"/>
        <v>1</v>
      </c>
    </row>
    <row r="1058" spans="1:14" x14ac:dyDescent="0.3">
      <c r="A1058" t="s">
        <v>3178</v>
      </c>
      <c r="B1058" t="s">
        <v>3179</v>
      </c>
      <c r="C1058" t="s">
        <v>23</v>
      </c>
      <c r="D1058" t="s">
        <v>40</v>
      </c>
      <c r="E1058" t="s">
        <v>24</v>
      </c>
      <c r="F1058">
        <v>25.08</v>
      </c>
      <c r="G1058" s="1">
        <v>45712</v>
      </c>
      <c r="H1058" s="1">
        <v>42743</v>
      </c>
      <c r="I1058" t="s">
        <v>3180</v>
      </c>
      <c r="J1058" t="s">
        <v>75</v>
      </c>
      <c r="K1058">
        <v>5</v>
      </c>
      <c r="L1058" t="s">
        <v>20</v>
      </c>
      <c r="M1058" s="1">
        <f t="shared" ca="1" si="32"/>
        <v>46204</v>
      </c>
      <c r="N1058">
        <f t="shared" ca="1" si="33"/>
        <v>1</v>
      </c>
    </row>
    <row r="1059" spans="1:14" x14ac:dyDescent="0.3">
      <c r="A1059" t="s">
        <v>3181</v>
      </c>
      <c r="B1059" t="s">
        <v>3182</v>
      </c>
      <c r="C1059" t="s">
        <v>15</v>
      </c>
      <c r="D1059" t="s">
        <v>16</v>
      </c>
      <c r="E1059" t="s">
        <v>24</v>
      </c>
      <c r="F1059">
        <v>23.73</v>
      </c>
      <c r="G1059" s="1">
        <v>45729</v>
      </c>
      <c r="H1059" s="1">
        <v>44893</v>
      </c>
      <c r="I1059" t="s">
        <v>3183</v>
      </c>
      <c r="J1059" t="s">
        <v>75</v>
      </c>
      <c r="K1059">
        <v>1</v>
      </c>
      <c r="L1059" t="s">
        <v>27</v>
      </c>
      <c r="M1059" s="1">
        <f t="shared" ca="1" si="32"/>
        <v>46204</v>
      </c>
      <c r="N1059">
        <f t="shared" ca="1" si="33"/>
        <v>1</v>
      </c>
    </row>
    <row r="1060" spans="1:14" x14ac:dyDescent="0.3">
      <c r="A1060" t="s">
        <v>3184</v>
      </c>
      <c r="B1060" t="s">
        <v>3185</v>
      </c>
      <c r="C1060" t="s">
        <v>60</v>
      </c>
      <c r="D1060" t="s">
        <v>69</v>
      </c>
      <c r="E1060" t="s">
        <v>17</v>
      </c>
      <c r="F1060">
        <v>4.53</v>
      </c>
      <c r="G1060" s="1">
        <v>45913</v>
      </c>
      <c r="H1060" s="1">
        <v>43823</v>
      </c>
      <c r="I1060" t="s">
        <v>3186</v>
      </c>
      <c r="J1060" t="s">
        <v>26</v>
      </c>
      <c r="K1060">
        <v>1</v>
      </c>
      <c r="L1060" t="s">
        <v>27</v>
      </c>
      <c r="M1060" s="1">
        <f t="shared" ca="1" si="32"/>
        <v>46204</v>
      </c>
      <c r="N1060">
        <f t="shared" ca="1" si="33"/>
        <v>1</v>
      </c>
    </row>
    <row r="1061" spans="1:14" x14ac:dyDescent="0.3">
      <c r="A1061" t="s">
        <v>3187</v>
      </c>
      <c r="B1061" t="s">
        <v>3188</v>
      </c>
      <c r="C1061" t="s">
        <v>124</v>
      </c>
      <c r="D1061" t="s">
        <v>73</v>
      </c>
      <c r="E1061" t="s">
        <v>30</v>
      </c>
      <c r="F1061">
        <v>7.38</v>
      </c>
      <c r="G1061" s="1">
        <v>45758</v>
      </c>
      <c r="H1061" s="1">
        <v>44203</v>
      </c>
      <c r="I1061" t="s">
        <v>3189</v>
      </c>
      <c r="J1061" t="s">
        <v>49</v>
      </c>
      <c r="K1061">
        <v>4</v>
      </c>
      <c r="L1061" t="s">
        <v>27</v>
      </c>
      <c r="M1061" s="1">
        <f t="shared" ca="1" si="32"/>
        <v>46204</v>
      </c>
      <c r="N1061">
        <f t="shared" ca="1" si="33"/>
        <v>1</v>
      </c>
    </row>
    <row r="1062" spans="1:14" x14ac:dyDescent="0.3">
      <c r="A1062" t="s">
        <v>3190</v>
      </c>
      <c r="B1062" t="s">
        <v>3191</v>
      </c>
      <c r="C1062" t="s">
        <v>60</v>
      </c>
      <c r="D1062" t="s">
        <v>16</v>
      </c>
      <c r="E1062" t="s">
        <v>17</v>
      </c>
      <c r="F1062">
        <v>27.48</v>
      </c>
      <c r="G1062" s="1">
        <v>46034</v>
      </c>
      <c r="H1062" s="1">
        <v>45465</v>
      </c>
      <c r="I1062" t="s">
        <v>3192</v>
      </c>
      <c r="J1062" t="s">
        <v>19</v>
      </c>
      <c r="K1062">
        <v>1</v>
      </c>
      <c r="L1062" t="s">
        <v>27</v>
      </c>
      <c r="M1062" s="1">
        <f t="shared" ca="1" si="32"/>
        <v>46204</v>
      </c>
      <c r="N1062">
        <f t="shared" ca="1" si="33"/>
        <v>1</v>
      </c>
    </row>
    <row r="1063" spans="1:14" x14ac:dyDescent="0.3">
      <c r="A1063" t="s">
        <v>3193</v>
      </c>
      <c r="B1063" t="s">
        <v>701</v>
      </c>
      <c r="C1063" t="s">
        <v>64</v>
      </c>
      <c r="D1063" t="s">
        <v>56</v>
      </c>
      <c r="E1063" t="s">
        <v>30</v>
      </c>
      <c r="F1063">
        <v>15.73</v>
      </c>
      <c r="G1063" s="1">
        <v>45719</v>
      </c>
      <c r="H1063" s="1">
        <v>42986</v>
      </c>
      <c r="I1063" t="s">
        <v>3194</v>
      </c>
      <c r="J1063" t="s">
        <v>94</v>
      </c>
      <c r="K1063">
        <v>3</v>
      </c>
      <c r="L1063" t="s">
        <v>27</v>
      </c>
      <c r="M1063" s="1">
        <f t="shared" ca="1" si="32"/>
        <v>46204</v>
      </c>
      <c r="N1063">
        <f t="shared" ca="1" si="33"/>
        <v>1</v>
      </c>
    </row>
    <row r="1064" spans="1:14" x14ac:dyDescent="0.3">
      <c r="A1064" t="s">
        <v>3195</v>
      </c>
      <c r="B1064" t="s">
        <v>3196</v>
      </c>
      <c r="C1064" t="s">
        <v>15</v>
      </c>
      <c r="D1064" t="s">
        <v>69</v>
      </c>
      <c r="E1064" t="s">
        <v>30</v>
      </c>
      <c r="F1064">
        <v>16.5</v>
      </c>
      <c r="G1064" s="1">
        <v>46007</v>
      </c>
      <c r="H1064" s="1">
        <v>42760</v>
      </c>
      <c r="I1064" t="s">
        <v>3197</v>
      </c>
      <c r="J1064" t="s">
        <v>94</v>
      </c>
      <c r="K1064">
        <v>1</v>
      </c>
      <c r="L1064" t="s">
        <v>20</v>
      </c>
      <c r="M1064" s="1">
        <f t="shared" ca="1" si="32"/>
        <v>46204</v>
      </c>
      <c r="N1064">
        <f t="shared" ca="1" si="33"/>
        <v>1</v>
      </c>
    </row>
    <row r="1065" spans="1:14" x14ac:dyDescent="0.3">
      <c r="A1065" t="s">
        <v>3198</v>
      </c>
      <c r="B1065" t="s">
        <v>3199</v>
      </c>
      <c r="C1065" t="s">
        <v>15</v>
      </c>
      <c r="D1065" t="s">
        <v>69</v>
      </c>
      <c r="E1065" t="s">
        <v>30</v>
      </c>
      <c r="F1065">
        <v>6.12</v>
      </c>
      <c r="G1065" s="1">
        <v>45810</v>
      </c>
      <c r="H1065" s="1">
        <v>44986</v>
      </c>
      <c r="I1065" t="s">
        <v>3200</v>
      </c>
      <c r="J1065" t="s">
        <v>26</v>
      </c>
      <c r="K1065">
        <v>2</v>
      </c>
      <c r="L1065" t="s">
        <v>27</v>
      </c>
      <c r="M1065" s="1">
        <f t="shared" ca="1" si="32"/>
        <v>46204</v>
      </c>
      <c r="N1065">
        <f t="shared" ca="1" si="33"/>
        <v>1</v>
      </c>
    </row>
    <row r="1066" spans="1:14" x14ac:dyDescent="0.3">
      <c r="A1066" t="s">
        <v>3201</v>
      </c>
      <c r="B1066" t="s">
        <v>3202</v>
      </c>
      <c r="C1066" t="s">
        <v>64</v>
      </c>
      <c r="D1066" t="s">
        <v>16</v>
      </c>
      <c r="E1066" t="s">
        <v>52</v>
      </c>
      <c r="F1066">
        <v>27.63</v>
      </c>
      <c r="G1066" s="1">
        <v>45786</v>
      </c>
      <c r="H1066" s="1">
        <v>44689</v>
      </c>
      <c r="I1066" t="s">
        <v>3203</v>
      </c>
      <c r="J1066" t="s">
        <v>66</v>
      </c>
      <c r="K1066">
        <v>5</v>
      </c>
      <c r="L1066" t="s">
        <v>20</v>
      </c>
      <c r="M1066" s="1">
        <f t="shared" ca="1" si="32"/>
        <v>46204</v>
      </c>
      <c r="N1066">
        <f t="shared" ca="1" si="33"/>
        <v>1</v>
      </c>
    </row>
    <row r="1067" spans="1:14" x14ac:dyDescent="0.3">
      <c r="A1067" t="s">
        <v>3204</v>
      </c>
      <c r="B1067" t="s">
        <v>3205</v>
      </c>
      <c r="C1067" t="s">
        <v>60</v>
      </c>
      <c r="D1067" t="s">
        <v>69</v>
      </c>
      <c r="E1067" t="s">
        <v>52</v>
      </c>
      <c r="F1067">
        <v>4.01</v>
      </c>
      <c r="G1067" s="1">
        <v>45922</v>
      </c>
      <c r="H1067" s="1">
        <v>44405</v>
      </c>
      <c r="I1067" t="s">
        <v>3206</v>
      </c>
      <c r="J1067" t="s">
        <v>37</v>
      </c>
      <c r="K1067">
        <v>5</v>
      </c>
      <c r="L1067" t="s">
        <v>27</v>
      </c>
      <c r="M1067" s="1">
        <f t="shared" ca="1" si="32"/>
        <v>46204</v>
      </c>
      <c r="N1067">
        <f t="shared" ca="1" si="33"/>
        <v>1</v>
      </c>
    </row>
    <row r="1068" spans="1:14" x14ac:dyDescent="0.3">
      <c r="A1068" t="s">
        <v>3207</v>
      </c>
      <c r="B1068" t="s">
        <v>3208</v>
      </c>
      <c r="C1068" t="s">
        <v>47</v>
      </c>
      <c r="D1068" t="s">
        <v>35</v>
      </c>
      <c r="E1068" t="s">
        <v>17</v>
      </c>
      <c r="F1068">
        <v>15.15</v>
      </c>
      <c r="G1068" s="1">
        <v>45839</v>
      </c>
      <c r="H1068" s="1">
        <v>43156</v>
      </c>
      <c r="I1068" t="s">
        <v>3209</v>
      </c>
      <c r="J1068" t="s">
        <v>66</v>
      </c>
      <c r="K1068">
        <v>3</v>
      </c>
      <c r="L1068" t="s">
        <v>27</v>
      </c>
      <c r="M1068" s="1">
        <f t="shared" ca="1" si="32"/>
        <v>46204</v>
      </c>
      <c r="N1068">
        <f t="shared" ca="1" si="33"/>
        <v>1</v>
      </c>
    </row>
    <row r="1069" spans="1:14" x14ac:dyDescent="0.3">
      <c r="A1069" t="s">
        <v>3210</v>
      </c>
      <c r="B1069" t="s">
        <v>3211</v>
      </c>
      <c r="C1069" t="s">
        <v>15</v>
      </c>
      <c r="D1069" t="s">
        <v>73</v>
      </c>
      <c r="E1069" t="s">
        <v>24</v>
      </c>
      <c r="F1069">
        <v>30.42</v>
      </c>
      <c r="G1069" s="1">
        <v>45745</v>
      </c>
      <c r="H1069" s="1">
        <v>44819</v>
      </c>
      <c r="I1069" t="s">
        <v>3212</v>
      </c>
      <c r="J1069" t="s">
        <v>37</v>
      </c>
      <c r="K1069">
        <v>5</v>
      </c>
      <c r="L1069" t="s">
        <v>20</v>
      </c>
      <c r="M1069" s="1">
        <f t="shared" ca="1" si="32"/>
        <v>46204</v>
      </c>
      <c r="N1069">
        <f t="shared" ca="1" si="33"/>
        <v>1</v>
      </c>
    </row>
    <row r="1070" spans="1:14" x14ac:dyDescent="0.3">
      <c r="A1070" t="s">
        <v>3213</v>
      </c>
      <c r="B1070" t="s">
        <v>3214</v>
      </c>
      <c r="C1070" t="s">
        <v>47</v>
      </c>
      <c r="D1070" t="s">
        <v>69</v>
      </c>
      <c r="E1070" t="s">
        <v>30</v>
      </c>
      <c r="F1070">
        <v>35.06</v>
      </c>
      <c r="G1070" s="1">
        <v>45778</v>
      </c>
      <c r="H1070" s="1">
        <v>44887</v>
      </c>
      <c r="I1070" t="s">
        <v>3215</v>
      </c>
      <c r="J1070" t="s">
        <v>49</v>
      </c>
      <c r="K1070">
        <v>5</v>
      </c>
      <c r="L1070" t="s">
        <v>27</v>
      </c>
      <c r="M1070" s="1">
        <f t="shared" ca="1" si="32"/>
        <v>46204</v>
      </c>
      <c r="N1070">
        <f t="shared" ca="1" si="33"/>
        <v>1</v>
      </c>
    </row>
    <row r="1071" spans="1:14" x14ac:dyDescent="0.3">
      <c r="A1071" t="s">
        <v>3216</v>
      </c>
      <c r="B1071" t="s">
        <v>3217</v>
      </c>
      <c r="C1071" t="s">
        <v>34</v>
      </c>
      <c r="D1071" t="s">
        <v>40</v>
      </c>
      <c r="E1071" t="s">
        <v>17</v>
      </c>
      <c r="F1071">
        <v>11.86</v>
      </c>
      <c r="G1071" s="1">
        <v>45993</v>
      </c>
      <c r="H1071" s="1">
        <v>43128</v>
      </c>
      <c r="I1071" t="s">
        <v>3218</v>
      </c>
      <c r="J1071" t="s">
        <v>49</v>
      </c>
      <c r="K1071">
        <v>2</v>
      </c>
      <c r="L1071" t="s">
        <v>20</v>
      </c>
      <c r="M1071" s="1">
        <f t="shared" ca="1" si="32"/>
        <v>46204</v>
      </c>
      <c r="N1071">
        <f t="shared" ca="1" si="33"/>
        <v>1</v>
      </c>
    </row>
    <row r="1072" spans="1:14" x14ac:dyDescent="0.3">
      <c r="A1072" t="s">
        <v>3219</v>
      </c>
      <c r="B1072" t="s">
        <v>3220</v>
      </c>
      <c r="C1072" t="s">
        <v>47</v>
      </c>
      <c r="D1072" t="s">
        <v>69</v>
      </c>
      <c r="E1072" t="s">
        <v>17</v>
      </c>
      <c r="F1072">
        <v>17.47</v>
      </c>
      <c r="G1072" s="1">
        <v>46065</v>
      </c>
      <c r="H1072" s="1">
        <v>45424</v>
      </c>
      <c r="I1072" t="s">
        <v>3221</v>
      </c>
      <c r="J1072" t="s">
        <v>49</v>
      </c>
      <c r="K1072">
        <v>5</v>
      </c>
      <c r="L1072" t="s">
        <v>20</v>
      </c>
      <c r="M1072" s="1">
        <f t="shared" ca="1" si="32"/>
        <v>46204</v>
      </c>
      <c r="N1072">
        <f t="shared" ca="1" si="33"/>
        <v>1</v>
      </c>
    </row>
    <row r="1073" spans="1:14" x14ac:dyDescent="0.3">
      <c r="A1073" t="s">
        <v>3222</v>
      </c>
      <c r="B1073" t="s">
        <v>3223</v>
      </c>
      <c r="C1073" t="s">
        <v>47</v>
      </c>
      <c r="D1073" t="s">
        <v>56</v>
      </c>
      <c r="E1073" t="s">
        <v>17</v>
      </c>
      <c r="F1073">
        <v>30.88</v>
      </c>
      <c r="G1073" s="1">
        <v>45936</v>
      </c>
      <c r="H1073" s="1">
        <v>42648</v>
      </c>
      <c r="I1073" t="s">
        <v>3224</v>
      </c>
      <c r="J1073" t="s">
        <v>37</v>
      </c>
      <c r="K1073">
        <v>3</v>
      </c>
      <c r="L1073" t="s">
        <v>27</v>
      </c>
      <c r="M1073" s="1">
        <f t="shared" ca="1" si="32"/>
        <v>46204</v>
      </c>
      <c r="N1073">
        <f t="shared" ca="1" si="33"/>
        <v>1</v>
      </c>
    </row>
    <row r="1074" spans="1:14" x14ac:dyDescent="0.3">
      <c r="A1074" t="s">
        <v>3225</v>
      </c>
      <c r="B1074" t="s">
        <v>3226</v>
      </c>
      <c r="C1074" t="s">
        <v>15</v>
      </c>
      <c r="D1074" t="s">
        <v>40</v>
      </c>
      <c r="E1074" t="s">
        <v>30</v>
      </c>
      <c r="F1074">
        <v>17.71</v>
      </c>
      <c r="G1074" s="1">
        <v>46028</v>
      </c>
      <c r="H1074" s="1">
        <v>43124</v>
      </c>
      <c r="I1074" t="s">
        <v>3227</v>
      </c>
      <c r="J1074" t="s">
        <v>94</v>
      </c>
      <c r="K1074">
        <v>2</v>
      </c>
      <c r="L1074" t="s">
        <v>20</v>
      </c>
      <c r="M1074" s="1">
        <f t="shared" ca="1" si="32"/>
        <v>46204</v>
      </c>
      <c r="N1074">
        <f t="shared" ca="1" si="33"/>
        <v>1</v>
      </c>
    </row>
    <row r="1075" spans="1:14" x14ac:dyDescent="0.3">
      <c r="A1075" t="s">
        <v>3228</v>
      </c>
      <c r="B1075" t="s">
        <v>3229</v>
      </c>
      <c r="C1075" t="s">
        <v>15</v>
      </c>
      <c r="D1075" t="s">
        <v>35</v>
      </c>
      <c r="E1075" t="s">
        <v>24</v>
      </c>
      <c r="F1075">
        <v>11.18</v>
      </c>
      <c r="G1075" s="1">
        <v>45833</v>
      </c>
      <c r="H1075" s="1">
        <v>44362</v>
      </c>
      <c r="I1075" t="s">
        <v>3230</v>
      </c>
      <c r="J1075" t="s">
        <v>19</v>
      </c>
      <c r="K1075">
        <v>1</v>
      </c>
      <c r="L1075" t="s">
        <v>20</v>
      </c>
      <c r="M1075" s="1">
        <f t="shared" ca="1" si="32"/>
        <v>46204</v>
      </c>
      <c r="N1075">
        <f t="shared" ca="1" si="33"/>
        <v>1</v>
      </c>
    </row>
    <row r="1076" spans="1:14" x14ac:dyDescent="0.3">
      <c r="A1076" t="s">
        <v>3231</v>
      </c>
      <c r="B1076" t="s">
        <v>3232</v>
      </c>
      <c r="C1076" t="s">
        <v>34</v>
      </c>
      <c r="D1076" t="s">
        <v>56</v>
      </c>
      <c r="E1076" t="s">
        <v>17</v>
      </c>
      <c r="F1076">
        <v>37.880000000000003</v>
      </c>
      <c r="G1076" s="1">
        <v>45990</v>
      </c>
      <c r="H1076" s="1">
        <v>45325</v>
      </c>
      <c r="I1076" t="s">
        <v>3233</v>
      </c>
      <c r="J1076" t="s">
        <v>49</v>
      </c>
      <c r="K1076">
        <v>4</v>
      </c>
      <c r="L1076" t="s">
        <v>20</v>
      </c>
      <c r="M1076" s="1">
        <f t="shared" ca="1" si="32"/>
        <v>46204</v>
      </c>
      <c r="N1076">
        <f t="shared" ca="1" si="33"/>
        <v>1</v>
      </c>
    </row>
    <row r="1077" spans="1:14" x14ac:dyDescent="0.3">
      <c r="A1077" t="s">
        <v>3234</v>
      </c>
      <c r="B1077" t="s">
        <v>3235</v>
      </c>
      <c r="C1077" t="s">
        <v>124</v>
      </c>
      <c r="D1077" t="s">
        <v>69</v>
      </c>
      <c r="E1077" t="s">
        <v>52</v>
      </c>
      <c r="F1077">
        <v>38.47</v>
      </c>
      <c r="G1077" s="1">
        <v>45991</v>
      </c>
      <c r="H1077" s="1">
        <v>45400</v>
      </c>
      <c r="I1077" t="s">
        <v>3236</v>
      </c>
      <c r="J1077" t="s">
        <v>37</v>
      </c>
      <c r="K1077">
        <v>3</v>
      </c>
      <c r="L1077" t="s">
        <v>20</v>
      </c>
      <c r="M1077" s="1">
        <f t="shared" ca="1" si="32"/>
        <v>46204</v>
      </c>
      <c r="N1077">
        <f t="shared" ca="1" si="33"/>
        <v>1</v>
      </c>
    </row>
    <row r="1078" spans="1:14" x14ac:dyDescent="0.3">
      <c r="A1078" t="s">
        <v>3237</v>
      </c>
      <c r="B1078" t="s">
        <v>3238</v>
      </c>
      <c r="C1078" t="s">
        <v>47</v>
      </c>
      <c r="D1078" t="s">
        <v>35</v>
      </c>
      <c r="E1078" t="s">
        <v>30</v>
      </c>
      <c r="F1078">
        <v>13.17</v>
      </c>
      <c r="G1078" s="1">
        <v>45770</v>
      </c>
      <c r="H1078" s="1">
        <v>42475</v>
      </c>
      <c r="I1078" t="s">
        <v>3239</v>
      </c>
      <c r="J1078" t="s">
        <v>26</v>
      </c>
      <c r="K1078">
        <v>1</v>
      </c>
      <c r="L1078" t="s">
        <v>27</v>
      </c>
      <c r="M1078" s="1">
        <f t="shared" ca="1" si="32"/>
        <v>46204</v>
      </c>
      <c r="N1078">
        <f t="shared" ca="1" si="33"/>
        <v>1</v>
      </c>
    </row>
    <row r="1079" spans="1:14" x14ac:dyDescent="0.3">
      <c r="A1079" t="s">
        <v>3240</v>
      </c>
      <c r="B1079" t="s">
        <v>3241</v>
      </c>
      <c r="C1079" t="s">
        <v>64</v>
      </c>
      <c r="D1079" t="s">
        <v>69</v>
      </c>
      <c r="E1079" t="s">
        <v>30</v>
      </c>
      <c r="F1079">
        <v>17.02</v>
      </c>
      <c r="G1079" s="1">
        <v>45971</v>
      </c>
      <c r="H1079" s="1">
        <v>43304</v>
      </c>
      <c r="I1079" t="s">
        <v>3242</v>
      </c>
      <c r="J1079" t="s">
        <v>26</v>
      </c>
      <c r="K1079">
        <v>1</v>
      </c>
      <c r="L1079" t="s">
        <v>20</v>
      </c>
      <c r="M1079" s="1">
        <f t="shared" ca="1" si="32"/>
        <v>46204</v>
      </c>
      <c r="N1079">
        <f t="shared" ca="1" si="33"/>
        <v>1</v>
      </c>
    </row>
    <row r="1080" spans="1:14" x14ac:dyDescent="0.3">
      <c r="A1080" t="s">
        <v>3243</v>
      </c>
      <c r="B1080" t="s">
        <v>1405</v>
      </c>
      <c r="C1080" t="s">
        <v>15</v>
      </c>
      <c r="D1080" t="s">
        <v>16</v>
      </c>
      <c r="E1080" t="s">
        <v>52</v>
      </c>
      <c r="F1080">
        <v>19.440000000000001</v>
      </c>
      <c r="G1080" s="1">
        <v>45711</v>
      </c>
      <c r="H1080" s="1">
        <v>43056</v>
      </c>
      <c r="I1080" t="s">
        <v>3244</v>
      </c>
      <c r="J1080" t="s">
        <v>37</v>
      </c>
      <c r="K1080">
        <v>5</v>
      </c>
      <c r="L1080" t="s">
        <v>20</v>
      </c>
      <c r="M1080" s="1">
        <f t="shared" ca="1" si="32"/>
        <v>46204</v>
      </c>
      <c r="N1080">
        <f t="shared" ca="1" si="33"/>
        <v>1</v>
      </c>
    </row>
    <row r="1081" spans="1:14" x14ac:dyDescent="0.3">
      <c r="A1081" t="s">
        <v>3245</v>
      </c>
      <c r="B1081" t="s">
        <v>3246</v>
      </c>
      <c r="C1081" t="s">
        <v>15</v>
      </c>
      <c r="D1081" t="s">
        <v>40</v>
      </c>
      <c r="E1081" t="s">
        <v>17</v>
      </c>
      <c r="F1081">
        <v>37.9</v>
      </c>
      <c r="G1081" s="1">
        <v>45781</v>
      </c>
      <c r="H1081" s="1">
        <v>44742</v>
      </c>
      <c r="I1081" t="s">
        <v>3247</v>
      </c>
      <c r="J1081" t="s">
        <v>75</v>
      </c>
      <c r="K1081">
        <v>5</v>
      </c>
      <c r="L1081" t="s">
        <v>27</v>
      </c>
      <c r="M1081" s="1">
        <f t="shared" ca="1" si="32"/>
        <v>46204</v>
      </c>
      <c r="N1081">
        <f t="shared" ca="1" si="33"/>
        <v>1</v>
      </c>
    </row>
    <row r="1082" spans="1:14" x14ac:dyDescent="0.3">
      <c r="A1082" t="s">
        <v>3248</v>
      </c>
      <c r="B1082" t="s">
        <v>3249</v>
      </c>
      <c r="C1082" t="s">
        <v>15</v>
      </c>
      <c r="D1082" t="s">
        <v>16</v>
      </c>
      <c r="E1082" t="s">
        <v>52</v>
      </c>
      <c r="F1082">
        <v>7.26</v>
      </c>
      <c r="G1082" s="1">
        <v>45935</v>
      </c>
      <c r="H1082" s="1">
        <v>45118</v>
      </c>
      <c r="I1082" t="s">
        <v>3250</v>
      </c>
      <c r="J1082" t="s">
        <v>37</v>
      </c>
      <c r="K1082">
        <v>2</v>
      </c>
      <c r="L1082" t="s">
        <v>27</v>
      </c>
      <c r="M1082" s="1">
        <f t="shared" ca="1" si="32"/>
        <v>46204</v>
      </c>
      <c r="N1082">
        <f t="shared" ca="1" si="33"/>
        <v>1</v>
      </c>
    </row>
    <row r="1083" spans="1:14" x14ac:dyDescent="0.3">
      <c r="A1083" t="s">
        <v>3251</v>
      </c>
      <c r="B1083" t="s">
        <v>3252</v>
      </c>
      <c r="C1083" t="s">
        <v>34</v>
      </c>
      <c r="D1083" t="s">
        <v>16</v>
      </c>
      <c r="E1083" t="s">
        <v>17</v>
      </c>
      <c r="F1083">
        <v>18.48</v>
      </c>
      <c r="G1083" s="1">
        <v>45760</v>
      </c>
      <c r="H1083" s="1">
        <v>44006</v>
      </c>
      <c r="I1083" t="s">
        <v>3253</v>
      </c>
      <c r="J1083" t="s">
        <v>94</v>
      </c>
      <c r="K1083">
        <v>5</v>
      </c>
      <c r="L1083" t="s">
        <v>20</v>
      </c>
      <c r="M1083" s="1">
        <f t="shared" ca="1" si="32"/>
        <v>46204</v>
      </c>
      <c r="N1083">
        <f t="shared" ca="1" si="33"/>
        <v>1</v>
      </c>
    </row>
    <row r="1084" spans="1:14" x14ac:dyDescent="0.3">
      <c r="A1084" t="s">
        <v>3254</v>
      </c>
      <c r="B1084" t="s">
        <v>3255</v>
      </c>
      <c r="C1084" t="s">
        <v>23</v>
      </c>
      <c r="D1084" t="s">
        <v>40</v>
      </c>
      <c r="E1084" t="s">
        <v>30</v>
      </c>
      <c r="F1084">
        <v>8.1999999999999993</v>
      </c>
      <c r="G1084" s="1">
        <v>45989</v>
      </c>
      <c r="H1084" s="1">
        <v>42513</v>
      </c>
      <c r="I1084" t="s">
        <v>3256</v>
      </c>
      <c r="J1084" t="s">
        <v>94</v>
      </c>
      <c r="K1084">
        <v>3</v>
      </c>
      <c r="L1084" t="s">
        <v>27</v>
      </c>
      <c r="M1084" s="1">
        <f t="shared" ca="1" si="32"/>
        <v>46204</v>
      </c>
      <c r="N1084">
        <f t="shared" ca="1" si="33"/>
        <v>1</v>
      </c>
    </row>
    <row r="1085" spans="1:14" x14ac:dyDescent="0.3">
      <c r="A1085" t="s">
        <v>3257</v>
      </c>
      <c r="B1085" t="s">
        <v>3258</v>
      </c>
      <c r="C1085" t="s">
        <v>23</v>
      </c>
      <c r="D1085" t="s">
        <v>73</v>
      </c>
      <c r="E1085" t="s">
        <v>52</v>
      </c>
      <c r="F1085">
        <v>31.16</v>
      </c>
      <c r="G1085" s="1">
        <v>45950</v>
      </c>
      <c r="H1085" s="1">
        <v>45281</v>
      </c>
      <c r="I1085" t="s">
        <v>3259</v>
      </c>
      <c r="J1085" t="s">
        <v>26</v>
      </c>
      <c r="K1085">
        <v>1</v>
      </c>
      <c r="L1085" t="s">
        <v>20</v>
      </c>
      <c r="M1085" s="1">
        <f t="shared" ca="1" si="32"/>
        <v>46204</v>
      </c>
      <c r="N1085">
        <f t="shared" ca="1" si="33"/>
        <v>1</v>
      </c>
    </row>
    <row r="1086" spans="1:14" x14ac:dyDescent="0.3">
      <c r="A1086" t="s">
        <v>3260</v>
      </c>
      <c r="B1086" t="s">
        <v>3261</v>
      </c>
      <c r="C1086" t="s">
        <v>23</v>
      </c>
      <c r="D1086" t="s">
        <v>35</v>
      </c>
      <c r="E1086" t="s">
        <v>52</v>
      </c>
      <c r="F1086">
        <v>1.32</v>
      </c>
      <c r="G1086" s="1">
        <v>45992</v>
      </c>
      <c r="H1086" s="1">
        <v>42727</v>
      </c>
      <c r="I1086" t="s">
        <v>3262</v>
      </c>
      <c r="J1086" t="s">
        <v>26</v>
      </c>
      <c r="K1086">
        <v>3</v>
      </c>
      <c r="L1086" t="s">
        <v>20</v>
      </c>
      <c r="M1086" s="1">
        <f t="shared" ca="1" si="32"/>
        <v>46204</v>
      </c>
      <c r="N1086">
        <f t="shared" ca="1" si="33"/>
        <v>1</v>
      </c>
    </row>
    <row r="1087" spans="1:14" x14ac:dyDescent="0.3">
      <c r="A1087" t="s">
        <v>3263</v>
      </c>
      <c r="B1087" t="s">
        <v>3264</v>
      </c>
      <c r="C1087" t="s">
        <v>64</v>
      </c>
      <c r="D1087" t="s">
        <v>35</v>
      </c>
      <c r="E1087" t="s">
        <v>30</v>
      </c>
      <c r="F1087">
        <v>24.25</v>
      </c>
      <c r="G1087" s="1">
        <v>46031</v>
      </c>
      <c r="H1087" s="1">
        <v>42792</v>
      </c>
      <c r="I1087" t="s">
        <v>3265</v>
      </c>
      <c r="J1087" t="s">
        <v>19</v>
      </c>
      <c r="K1087">
        <v>1</v>
      </c>
      <c r="L1087" t="s">
        <v>20</v>
      </c>
      <c r="M1087" s="1">
        <f t="shared" ca="1" si="32"/>
        <v>46204</v>
      </c>
      <c r="N1087">
        <f t="shared" ca="1" si="33"/>
        <v>1</v>
      </c>
    </row>
    <row r="1088" spans="1:14" x14ac:dyDescent="0.3">
      <c r="A1088" t="s">
        <v>3266</v>
      </c>
      <c r="B1088" t="s">
        <v>3267</v>
      </c>
      <c r="C1088" t="s">
        <v>64</v>
      </c>
      <c r="D1088" t="s">
        <v>73</v>
      </c>
      <c r="E1088" t="s">
        <v>52</v>
      </c>
      <c r="F1088">
        <v>4.45</v>
      </c>
      <c r="G1088" s="1">
        <v>45864</v>
      </c>
      <c r="H1088" s="1">
        <v>45296</v>
      </c>
      <c r="I1088" t="s">
        <v>3268</v>
      </c>
      <c r="J1088" t="s">
        <v>94</v>
      </c>
      <c r="K1088">
        <v>3</v>
      </c>
      <c r="L1088" t="s">
        <v>27</v>
      </c>
      <c r="M1088" s="1">
        <f t="shared" ca="1" si="32"/>
        <v>46204</v>
      </c>
      <c r="N1088">
        <f t="shared" ca="1" si="33"/>
        <v>1</v>
      </c>
    </row>
    <row r="1089" spans="1:14" x14ac:dyDescent="0.3">
      <c r="A1089" t="s">
        <v>3269</v>
      </c>
      <c r="B1089" t="s">
        <v>3270</v>
      </c>
      <c r="C1089" t="s">
        <v>15</v>
      </c>
      <c r="D1089" t="s">
        <v>56</v>
      </c>
      <c r="E1089" t="s">
        <v>52</v>
      </c>
      <c r="F1089">
        <v>6.26</v>
      </c>
      <c r="G1089" s="1">
        <v>45750</v>
      </c>
      <c r="H1089" s="1">
        <v>44729</v>
      </c>
      <c r="I1089" t="s">
        <v>3271</v>
      </c>
      <c r="J1089" t="s">
        <v>66</v>
      </c>
      <c r="K1089">
        <v>2</v>
      </c>
      <c r="L1089" t="s">
        <v>27</v>
      </c>
      <c r="M1089" s="1">
        <f t="shared" ca="1" si="32"/>
        <v>46204</v>
      </c>
      <c r="N1089">
        <f t="shared" ca="1" si="33"/>
        <v>1</v>
      </c>
    </row>
    <row r="1090" spans="1:14" x14ac:dyDescent="0.3">
      <c r="A1090" t="s">
        <v>3272</v>
      </c>
      <c r="B1090" t="s">
        <v>3273</v>
      </c>
      <c r="C1090" t="s">
        <v>15</v>
      </c>
      <c r="D1090" t="s">
        <v>73</v>
      </c>
      <c r="E1090" t="s">
        <v>30</v>
      </c>
      <c r="F1090">
        <v>22.32</v>
      </c>
      <c r="G1090" s="1">
        <v>45935</v>
      </c>
      <c r="H1090" s="1">
        <v>44731</v>
      </c>
      <c r="I1090" t="s">
        <v>3120</v>
      </c>
      <c r="J1090" t="s">
        <v>26</v>
      </c>
      <c r="K1090">
        <v>1</v>
      </c>
      <c r="L1090" t="s">
        <v>27</v>
      </c>
      <c r="M1090" s="1">
        <f t="shared" ca="1" si="32"/>
        <v>46204</v>
      </c>
      <c r="N1090">
        <f t="shared" ca="1" si="33"/>
        <v>1</v>
      </c>
    </row>
    <row r="1091" spans="1:14" x14ac:dyDescent="0.3">
      <c r="A1091" t="s">
        <v>3274</v>
      </c>
      <c r="B1091" t="s">
        <v>3275</v>
      </c>
      <c r="C1091" t="s">
        <v>15</v>
      </c>
      <c r="D1091" t="s">
        <v>56</v>
      </c>
      <c r="E1091" t="s">
        <v>24</v>
      </c>
      <c r="F1091">
        <v>2.5099999999999998</v>
      </c>
      <c r="G1091" s="1">
        <v>46043</v>
      </c>
      <c r="H1091" s="1">
        <v>43126</v>
      </c>
      <c r="I1091" t="s">
        <v>3276</v>
      </c>
      <c r="J1091" t="s">
        <v>49</v>
      </c>
      <c r="K1091">
        <v>2</v>
      </c>
      <c r="L1091" t="s">
        <v>27</v>
      </c>
      <c r="M1091" s="1">
        <f t="shared" ref="M1091:M1154" ca="1" si="34">TODAY()</f>
        <v>46204</v>
      </c>
      <c r="N1091">
        <f t="shared" ref="N1091:N1154" ca="1" si="35">IF(G1091&lt;M1091,1,0)</f>
        <v>1</v>
      </c>
    </row>
    <row r="1092" spans="1:14" x14ac:dyDescent="0.3">
      <c r="A1092" t="s">
        <v>3277</v>
      </c>
      <c r="B1092" t="s">
        <v>3278</v>
      </c>
      <c r="C1092" t="s">
        <v>23</v>
      </c>
      <c r="D1092" t="s">
        <v>73</v>
      </c>
      <c r="E1092" t="s">
        <v>52</v>
      </c>
      <c r="F1092">
        <v>28.38</v>
      </c>
      <c r="G1092" s="1">
        <v>46005</v>
      </c>
      <c r="H1092" s="1">
        <v>44517</v>
      </c>
      <c r="I1092" t="s">
        <v>3279</v>
      </c>
      <c r="J1092" t="s">
        <v>94</v>
      </c>
      <c r="K1092">
        <v>4</v>
      </c>
      <c r="L1092" t="s">
        <v>27</v>
      </c>
      <c r="M1092" s="1">
        <f t="shared" ca="1" si="34"/>
        <v>46204</v>
      </c>
      <c r="N1092">
        <f t="shared" ca="1" si="35"/>
        <v>1</v>
      </c>
    </row>
    <row r="1093" spans="1:14" x14ac:dyDescent="0.3">
      <c r="A1093" t="s">
        <v>3280</v>
      </c>
      <c r="B1093" t="s">
        <v>1332</v>
      </c>
      <c r="C1093" t="s">
        <v>34</v>
      </c>
      <c r="D1093" t="s">
        <v>73</v>
      </c>
      <c r="E1093" t="s">
        <v>52</v>
      </c>
      <c r="F1093">
        <v>12.65</v>
      </c>
      <c r="G1093" s="1">
        <v>45742</v>
      </c>
      <c r="H1093" s="1">
        <v>44117</v>
      </c>
      <c r="I1093" t="s">
        <v>3281</v>
      </c>
      <c r="J1093" t="s">
        <v>66</v>
      </c>
      <c r="K1093">
        <v>1</v>
      </c>
      <c r="L1093" t="s">
        <v>27</v>
      </c>
      <c r="M1093" s="1">
        <f t="shared" ca="1" si="34"/>
        <v>46204</v>
      </c>
      <c r="N1093">
        <f t="shared" ca="1" si="35"/>
        <v>1</v>
      </c>
    </row>
    <row r="1094" spans="1:14" x14ac:dyDescent="0.3">
      <c r="A1094" t="s">
        <v>3282</v>
      </c>
      <c r="B1094" t="s">
        <v>3283</v>
      </c>
      <c r="C1094" t="s">
        <v>60</v>
      </c>
      <c r="D1094" t="s">
        <v>69</v>
      </c>
      <c r="E1094" t="s">
        <v>52</v>
      </c>
      <c r="F1094">
        <v>32.770000000000003</v>
      </c>
      <c r="G1094" s="1">
        <v>45987</v>
      </c>
      <c r="H1094" s="1">
        <v>43141</v>
      </c>
      <c r="I1094" t="s">
        <v>3284</v>
      </c>
      <c r="J1094" t="s">
        <v>26</v>
      </c>
      <c r="K1094">
        <v>1</v>
      </c>
      <c r="L1094" t="s">
        <v>27</v>
      </c>
      <c r="M1094" s="1">
        <f t="shared" ca="1" si="34"/>
        <v>46204</v>
      </c>
      <c r="N1094">
        <f t="shared" ca="1" si="35"/>
        <v>1</v>
      </c>
    </row>
    <row r="1095" spans="1:14" x14ac:dyDescent="0.3">
      <c r="A1095" t="s">
        <v>3285</v>
      </c>
      <c r="B1095" t="s">
        <v>3286</v>
      </c>
      <c r="C1095" t="s">
        <v>47</v>
      </c>
      <c r="D1095" t="s">
        <v>35</v>
      </c>
      <c r="E1095" t="s">
        <v>52</v>
      </c>
      <c r="F1095">
        <v>16.78</v>
      </c>
      <c r="G1095" s="1">
        <v>45946</v>
      </c>
      <c r="H1095" s="1">
        <v>45424</v>
      </c>
      <c r="I1095" t="s">
        <v>3287</v>
      </c>
      <c r="J1095" t="s">
        <v>19</v>
      </c>
      <c r="K1095">
        <v>4</v>
      </c>
      <c r="L1095" t="s">
        <v>27</v>
      </c>
      <c r="M1095" s="1">
        <f t="shared" ca="1" si="34"/>
        <v>46204</v>
      </c>
      <c r="N1095">
        <f t="shared" ca="1" si="35"/>
        <v>1</v>
      </c>
    </row>
    <row r="1096" spans="1:14" x14ac:dyDescent="0.3">
      <c r="A1096" t="s">
        <v>3288</v>
      </c>
      <c r="B1096" t="s">
        <v>3289</v>
      </c>
      <c r="C1096" t="s">
        <v>124</v>
      </c>
      <c r="D1096" t="s">
        <v>16</v>
      </c>
      <c r="E1096" t="s">
        <v>30</v>
      </c>
      <c r="F1096">
        <v>24.66</v>
      </c>
      <c r="G1096" s="1">
        <v>45858</v>
      </c>
      <c r="H1096" s="1">
        <v>43324</v>
      </c>
      <c r="I1096" t="s">
        <v>3290</v>
      </c>
      <c r="J1096" t="s">
        <v>19</v>
      </c>
      <c r="K1096">
        <v>1</v>
      </c>
      <c r="L1096" t="s">
        <v>20</v>
      </c>
      <c r="M1096" s="1">
        <f t="shared" ca="1" si="34"/>
        <v>46204</v>
      </c>
      <c r="N1096">
        <f t="shared" ca="1" si="35"/>
        <v>1</v>
      </c>
    </row>
    <row r="1097" spans="1:14" x14ac:dyDescent="0.3">
      <c r="A1097" t="s">
        <v>3291</v>
      </c>
      <c r="B1097" t="s">
        <v>3292</v>
      </c>
      <c r="C1097" t="s">
        <v>47</v>
      </c>
      <c r="D1097" t="s">
        <v>40</v>
      </c>
      <c r="E1097" t="s">
        <v>30</v>
      </c>
      <c r="F1097">
        <v>3.52</v>
      </c>
      <c r="G1097" s="1">
        <v>45838</v>
      </c>
      <c r="H1097" s="1">
        <v>43135</v>
      </c>
      <c r="I1097" t="s">
        <v>3293</v>
      </c>
      <c r="J1097" t="s">
        <v>75</v>
      </c>
      <c r="K1097">
        <v>3</v>
      </c>
      <c r="L1097" t="s">
        <v>27</v>
      </c>
      <c r="M1097" s="1">
        <f t="shared" ca="1" si="34"/>
        <v>46204</v>
      </c>
      <c r="N1097">
        <f t="shared" ca="1" si="35"/>
        <v>1</v>
      </c>
    </row>
    <row r="1098" spans="1:14" x14ac:dyDescent="0.3">
      <c r="A1098" t="s">
        <v>3294</v>
      </c>
      <c r="B1098" t="s">
        <v>3295</v>
      </c>
      <c r="C1098" t="s">
        <v>47</v>
      </c>
      <c r="D1098" t="s">
        <v>69</v>
      </c>
      <c r="E1098" t="s">
        <v>17</v>
      </c>
      <c r="F1098">
        <v>19.05</v>
      </c>
      <c r="G1098" s="1">
        <v>46051</v>
      </c>
      <c r="H1098" s="1">
        <v>44312</v>
      </c>
      <c r="I1098" t="s">
        <v>3296</v>
      </c>
      <c r="J1098" t="s">
        <v>66</v>
      </c>
      <c r="K1098">
        <v>5</v>
      </c>
      <c r="L1098" t="s">
        <v>20</v>
      </c>
      <c r="M1098" s="1">
        <f t="shared" ca="1" si="34"/>
        <v>46204</v>
      </c>
      <c r="N1098">
        <f t="shared" ca="1" si="35"/>
        <v>1</v>
      </c>
    </row>
    <row r="1099" spans="1:14" x14ac:dyDescent="0.3">
      <c r="A1099" t="s">
        <v>3297</v>
      </c>
      <c r="B1099" t="s">
        <v>3298</v>
      </c>
      <c r="C1099" t="s">
        <v>124</v>
      </c>
      <c r="D1099" t="s">
        <v>69</v>
      </c>
      <c r="E1099" t="s">
        <v>24</v>
      </c>
      <c r="F1099">
        <v>36.69</v>
      </c>
      <c r="G1099" s="1">
        <v>45972</v>
      </c>
      <c r="H1099" s="1">
        <v>42874</v>
      </c>
      <c r="I1099" t="s">
        <v>3299</v>
      </c>
      <c r="J1099" t="s">
        <v>94</v>
      </c>
      <c r="K1099">
        <v>2</v>
      </c>
      <c r="L1099" t="s">
        <v>27</v>
      </c>
      <c r="M1099" s="1">
        <f t="shared" ca="1" si="34"/>
        <v>46204</v>
      </c>
      <c r="N1099">
        <f t="shared" ca="1" si="35"/>
        <v>1</v>
      </c>
    </row>
    <row r="1100" spans="1:14" x14ac:dyDescent="0.3">
      <c r="A1100" t="s">
        <v>3300</v>
      </c>
      <c r="B1100" t="s">
        <v>3301</v>
      </c>
      <c r="C1100" t="s">
        <v>124</v>
      </c>
      <c r="D1100" t="s">
        <v>40</v>
      </c>
      <c r="E1100" t="s">
        <v>24</v>
      </c>
      <c r="F1100">
        <v>4.5199999999999996</v>
      </c>
      <c r="G1100" s="1">
        <v>45812</v>
      </c>
      <c r="H1100" s="1">
        <v>42912</v>
      </c>
      <c r="I1100" t="s">
        <v>3302</v>
      </c>
      <c r="J1100" t="s">
        <v>37</v>
      </c>
      <c r="K1100">
        <v>4</v>
      </c>
      <c r="L1100" t="s">
        <v>27</v>
      </c>
      <c r="M1100" s="1">
        <f t="shared" ca="1" si="34"/>
        <v>46204</v>
      </c>
      <c r="N1100">
        <f t="shared" ca="1" si="35"/>
        <v>1</v>
      </c>
    </row>
    <row r="1101" spans="1:14" x14ac:dyDescent="0.3">
      <c r="A1101" t="s">
        <v>3303</v>
      </c>
      <c r="B1101" t="s">
        <v>3304</v>
      </c>
      <c r="C1101" t="s">
        <v>15</v>
      </c>
      <c r="D1101" t="s">
        <v>16</v>
      </c>
      <c r="E1101" t="s">
        <v>24</v>
      </c>
      <c r="F1101">
        <v>19.79</v>
      </c>
      <c r="G1101" s="1">
        <v>45853</v>
      </c>
      <c r="H1101" s="1">
        <v>44698</v>
      </c>
      <c r="I1101" t="s">
        <v>3305</v>
      </c>
      <c r="J1101" t="s">
        <v>19</v>
      </c>
      <c r="K1101">
        <v>3</v>
      </c>
      <c r="L1101" t="s">
        <v>20</v>
      </c>
      <c r="M1101" s="1">
        <f t="shared" ca="1" si="34"/>
        <v>46204</v>
      </c>
      <c r="N1101">
        <f t="shared" ca="1" si="35"/>
        <v>1</v>
      </c>
    </row>
    <row r="1102" spans="1:14" x14ac:dyDescent="0.3">
      <c r="A1102" t="s">
        <v>3306</v>
      </c>
      <c r="B1102" t="s">
        <v>3307</v>
      </c>
      <c r="C1102" t="s">
        <v>60</v>
      </c>
      <c r="D1102" t="s">
        <v>16</v>
      </c>
      <c r="E1102" t="s">
        <v>30</v>
      </c>
      <c r="F1102">
        <v>29.96</v>
      </c>
      <c r="G1102" s="1">
        <v>45951</v>
      </c>
      <c r="H1102" s="1">
        <v>44338</v>
      </c>
      <c r="I1102" t="s">
        <v>3308</v>
      </c>
      <c r="J1102" t="s">
        <v>26</v>
      </c>
      <c r="K1102">
        <v>4</v>
      </c>
      <c r="L1102" t="s">
        <v>27</v>
      </c>
      <c r="M1102" s="1">
        <f t="shared" ca="1" si="34"/>
        <v>46204</v>
      </c>
      <c r="N1102">
        <f t="shared" ca="1" si="35"/>
        <v>1</v>
      </c>
    </row>
    <row r="1103" spans="1:14" x14ac:dyDescent="0.3">
      <c r="A1103" t="s">
        <v>3309</v>
      </c>
      <c r="B1103" t="s">
        <v>3310</v>
      </c>
      <c r="C1103" t="s">
        <v>15</v>
      </c>
      <c r="D1103" t="s">
        <v>40</v>
      </c>
      <c r="E1103" t="s">
        <v>52</v>
      </c>
      <c r="F1103">
        <v>36.869999999999997</v>
      </c>
      <c r="G1103" s="1">
        <v>45917</v>
      </c>
      <c r="H1103" s="1">
        <v>42759</v>
      </c>
      <c r="I1103" t="s">
        <v>3311</v>
      </c>
      <c r="J1103" t="s">
        <v>19</v>
      </c>
      <c r="K1103">
        <v>2</v>
      </c>
      <c r="L1103" t="s">
        <v>27</v>
      </c>
      <c r="M1103" s="1">
        <f t="shared" ca="1" si="34"/>
        <v>46204</v>
      </c>
      <c r="N1103">
        <f t="shared" ca="1" si="35"/>
        <v>1</v>
      </c>
    </row>
    <row r="1104" spans="1:14" x14ac:dyDescent="0.3">
      <c r="A1104" t="s">
        <v>3312</v>
      </c>
      <c r="B1104" t="s">
        <v>3313</v>
      </c>
      <c r="C1104" t="s">
        <v>34</v>
      </c>
      <c r="D1104" t="s">
        <v>40</v>
      </c>
      <c r="E1104" t="s">
        <v>24</v>
      </c>
      <c r="F1104">
        <v>38.520000000000003</v>
      </c>
      <c r="G1104" s="1">
        <v>45712</v>
      </c>
      <c r="H1104" s="1">
        <v>42538</v>
      </c>
      <c r="I1104" t="s">
        <v>3314</v>
      </c>
      <c r="J1104" t="s">
        <v>19</v>
      </c>
      <c r="K1104">
        <v>2</v>
      </c>
      <c r="L1104" t="s">
        <v>20</v>
      </c>
      <c r="M1104" s="1">
        <f t="shared" ca="1" si="34"/>
        <v>46204</v>
      </c>
      <c r="N1104">
        <f t="shared" ca="1" si="35"/>
        <v>1</v>
      </c>
    </row>
    <row r="1105" spans="1:14" x14ac:dyDescent="0.3">
      <c r="A1105" t="s">
        <v>3315</v>
      </c>
      <c r="B1105" t="s">
        <v>3316</v>
      </c>
      <c r="C1105" t="s">
        <v>15</v>
      </c>
      <c r="D1105" t="s">
        <v>35</v>
      </c>
      <c r="E1105" t="s">
        <v>24</v>
      </c>
      <c r="F1105">
        <v>2.7</v>
      </c>
      <c r="G1105" s="1">
        <v>46030</v>
      </c>
      <c r="H1105" s="1">
        <v>44176</v>
      </c>
      <c r="I1105" t="s">
        <v>1563</v>
      </c>
      <c r="J1105" t="s">
        <v>19</v>
      </c>
      <c r="K1105">
        <v>2</v>
      </c>
      <c r="L1105" t="s">
        <v>20</v>
      </c>
      <c r="M1105" s="1">
        <f t="shared" ca="1" si="34"/>
        <v>46204</v>
      </c>
      <c r="N1105">
        <f t="shared" ca="1" si="35"/>
        <v>1</v>
      </c>
    </row>
    <row r="1106" spans="1:14" x14ac:dyDescent="0.3">
      <c r="A1106" t="s">
        <v>3317</v>
      </c>
      <c r="B1106" t="s">
        <v>3318</v>
      </c>
      <c r="C1106" t="s">
        <v>47</v>
      </c>
      <c r="D1106" t="s">
        <v>16</v>
      </c>
      <c r="E1106" t="s">
        <v>52</v>
      </c>
      <c r="F1106">
        <v>24.06</v>
      </c>
      <c r="G1106" s="1">
        <v>45871</v>
      </c>
      <c r="H1106" s="1">
        <v>44367</v>
      </c>
      <c r="I1106" t="s">
        <v>3319</v>
      </c>
      <c r="J1106" t="s">
        <v>19</v>
      </c>
      <c r="K1106">
        <v>4</v>
      </c>
      <c r="L1106" t="s">
        <v>20</v>
      </c>
      <c r="M1106" s="1">
        <f t="shared" ca="1" si="34"/>
        <v>46204</v>
      </c>
      <c r="N1106">
        <f t="shared" ca="1" si="35"/>
        <v>1</v>
      </c>
    </row>
    <row r="1107" spans="1:14" x14ac:dyDescent="0.3">
      <c r="A1107" t="s">
        <v>3320</v>
      </c>
      <c r="B1107" t="s">
        <v>3321</v>
      </c>
      <c r="C1107" t="s">
        <v>124</v>
      </c>
      <c r="D1107" t="s">
        <v>16</v>
      </c>
      <c r="E1107" t="s">
        <v>24</v>
      </c>
      <c r="F1107">
        <v>36.729999999999997</v>
      </c>
      <c r="G1107" s="1">
        <v>45971</v>
      </c>
      <c r="H1107" s="1">
        <v>43939</v>
      </c>
      <c r="I1107" t="s">
        <v>3322</v>
      </c>
      <c r="J1107" t="s">
        <v>19</v>
      </c>
      <c r="K1107">
        <v>2</v>
      </c>
      <c r="L1107" t="s">
        <v>27</v>
      </c>
      <c r="M1107" s="1">
        <f t="shared" ca="1" si="34"/>
        <v>46204</v>
      </c>
      <c r="N1107">
        <f t="shared" ca="1" si="35"/>
        <v>1</v>
      </c>
    </row>
    <row r="1108" spans="1:14" x14ac:dyDescent="0.3">
      <c r="A1108" t="s">
        <v>3323</v>
      </c>
      <c r="B1108" t="s">
        <v>3324</v>
      </c>
      <c r="C1108" t="s">
        <v>60</v>
      </c>
      <c r="D1108" t="s">
        <v>56</v>
      </c>
      <c r="E1108" t="s">
        <v>52</v>
      </c>
      <c r="F1108">
        <v>7.43</v>
      </c>
      <c r="G1108" s="1">
        <v>45852</v>
      </c>
      <c r="H1108" s="1">
        <v>44552</v>
      </c>
      <c r="I1108" t="s">
        <v>3325</v>
      </c>
      <c r="J1108" t="s">
        <v>94</v>
      </c>
      <c r="K1108">
        <v>5</v>
      </c>
      <c r="L1108" t="s">
        <v>20</v>
      </c>
      <c r="M1108" s="1">
        <f t="shared" ca="1" si="34"/>
        <v>46204</v>
      </c>
      <c r="N1108">
        <f t="shared" ca="1" si="35"/>
        <v>1</v>
      </c>
    </row>
    <row r="1109" spans="1:14" x14ac:dyDescent="0.3">
      <c r="A1109" t="s">
        <v>3326</v>
      </c>
      <c r="B1109" t="s">
        <v>3327</v>
      </c>
      <c r="C1109" t="s">
        <v>64</v>
      </c>
      <c r="D1109" t="s">
        <v>73</v>
      </c>
      <c r="E1109" t="s">
        <v>24</v>
      </c>
      <c r="F1109">
        <v>19.2</v>
      </c>
      <c r="G1109" s="1">
        <v>45708</v>
      </c>
      <c r="H1109" s="1">
        <v>44962</v>
      </c>
      <c r="I1109" t="s">
        <v>3328</v>
      </c>
      <c r="J1109" t="s">
        <v>19</v>
      </c>
      <c r="K1109">
        <v>2</v>
      </c>
      <c r="L1109" t="s">
        <v>20</v>
      </c>
      <c r="M1109" s="1">
        <f t="shared" ca="1" si="34"/>
        <v>46204</v>
      </c>
      <c r="N1109">
        <f t="shared" ca="1" si="35"/>
        <v>1</v>
      </c>
    </row>
    <row r="1110" spans="1:14" x14ac:dyDescent="0.3">
      <c r="A1110" t="s">
        <v>3329</v>
      </c>
      <c r="B1110" t="s">
        <v>3330</v>
      </c>
      <c r="C1110" t="s">
        <v>47</v>
      </c>
      <c r="D1110" t="s">
        <v>35</v>
      </c>
      <c r="E1110" t="s">
        <v>24</v>
      </c>
      <c r="F1110">
        <v>36.42</v>
      </c>
      <c r="G1110" s="1">
        <v>45840</v>
      </c>
      <c r="H1110" s="1">
        <v>44955</v>
      </c>
      <c r="I1110" t="s">
        <v>3331</v>
      </c>
      <c r="J1110" t="s">
        <v>66</v>
      </c>
      <c r="K1110">
        <v>2</v>
      </c>
      <c r="L1110" t="s">
        <v>27</v>
      </c>
      <c r="M1110" s="1">
        <f t="shared" ca="1" si="34"/>
        <v>46204</v>
      </c>
      <c r="N1110">
        <f t="shared" ca="1" si="35"/>
        <v>1</v>
      </c>
    </row>
    <row r="1111" spans="1:14" x14ac:dyDescent="0.3">
      <c r="A1111" t="s">
        <v>3332</v>
      </c>
      <c r="B1111" t="s">
        <v>3333</v>
      </c>
      <c r="C1111" t="s">
        <v>23</v>
      </c>
      <c r="D1111" t="s">
        <v>35</v>
      </c>
      <c r="E1111" t="s">
        <v>24</v>
      </c>
      <c r="F1111">
        <v>14.25</v>
      </c>
      <c r="G1111" s="1">
        <v>46061</v>
      </c>
      <c r="H1111" s="1">
        <v>43390</v>
      </c>
      <c r="I1111" t="s">
        <v>3334</v>
      </c>
      <c r="J1111" t="s">
        <v>94</v>
      </c>
      <c r="K1111">
        <v>5</v>
      </c>
      <c r="L1111" t="s">
        <v>27</v>
      </c>
      <c r="M1111" s="1">
        <f t="shared" ca="1" si="34"/>
        <v>46204</v>
      </c>
      <c r="N1111">
        <f t="shared" ca="1" si="35"/>
        <v>1</v>
      </c>
    </row>
    <row r="1112" spans="1:14" x14ac:dyDescent="0.3">
      <c r="A1112" t="s">
        <v>3335</v>
      </c>
      <c r="B1112" t="s">
        <v>3336</v>
      </c>
      <c r="C1112" t="s">
        <v>64</v>
      </c>
      <c r="D1112" t="s">
        <v>16</v>
      </c>
      <c r="E1112" t="s">
        <v>52</v>
      </c>
      <c r="F1112">
        <v>30</v>
      </c>
      <c r="G1112" s="1">
        <v>45968</v>
      </c>
      <c r="H1112" s="1">
        <v>43924</v>
      </c>
      <c r="I1112" t="s">
        <v>3337</v>
      </c>
      <c r="J1112" t="s">
        <v>66</v>
      </c>
      <c r="K1112">
        <v>3</v>
      </c>
      <c r="L1112" t="s">
        <v>20</v>
      </c>
      <c r="M1112" s="1">
        <f t="shared" ca="1" si="34"/>
        <v>46204</v>
      </c>
      <c r="N1112">
        <f t="shared" ca="1" si="35"/>
        <v>1</v>
      </c>
    </row>
    <row r="1113" spans="1:14" x14ac:dyDescent="0.3">
      <c r="A1113" t="s">
        <v>3338</v>
      </c>
      <c r="B1113" t="s">
        <v>3339</v>
      </c>
      <c r="C1113" t="s">
        <v>23</v>
      </c>
      <c r="D1113" t="s">
        <v>40</v>
      </c>
      <c r="E1113" t="s">
        <v>52</v>
      </c>
      <c r="F1113">
        <v>35.840000000000003</v>
      </c>
      <c r="G1113" s="1">
        <v>46007</v>
      </c>
      <c r="H1113" s="1">
        <v>42978</v>
      </c>
      <c r="I1113" t="s">
        <v>1235</v>
      </c>
      <c r="J1113" t="s">
        <v>26</v>
      </c>
      <c r="K1113">
        <v>3</v>
      </c>
      <c r="L1113" t="s">
        <v>27</v>
      </c>
      <c r="M1113" s="1">
        <f t="shared" ca="1" si="34"/>
        <v>46204</v>
      </c>
      <c r="N1113">
        <f t="shared" ca="1" si="35"/>
        <v>1</v>
      </c>
    </row>
    <row r="1114" spans="1:14" x14ac:dyDescent="0.3">
      <c r="A1114" t="s">
        <v>3340</v>
      </c>
      <c r="B1114" t="s">
        <v>3341</v>
      </c>
      <c r="C1114" t="s">
        <v>34</v>
      </c>
      <c r="D1114" t="s">
        <v>35</v>
      </c>
      <c r="E1114" t="s">
        <v>30</v>
      </c>
      <c r="F1114">
        <v>38.17</v>
      </c>
      <c r="G1114" s="1">
        <v>45953</v>
      </c>
      <c r="H1114" s="1">
        <v>44088</v>
      </c>
      <c r="I1114" t="s">
        <v>3342</v>
      </c>
      <c r="J1114" t="s">
        <v>66</v>
      </c>
      <c r="K1114">
        <v>2</v>
      </c>
      <c r="L1114" t="s">
        <v>20</v>
      </c>
      <c r="M1114" s="1">
        <f t="shared" ca="1" si="34"/>
        <v>46204</v>
      </c>
      <c r="N1114">
        <f t="shared" ca="1" si="35"/>
        <v>1</v>
      </c>
    </row>
    <row r="1115" spans="1:14" x14ac:dyDescent="0.3">
      <c r="A1115" t="s">
        <v>3343</v>
      </c>
      <c r="B1115" t="s">
        <v>3344</v>
      </c>
      <c r="C1115" t="s">
        <v>60</v>
      </c>
      <c r="D1115" t="s">
        <v>40</v>
      </c>
      <c r="E1115" t="s">
        <v>24</v>
      </c>
      <c r="F1115">
        <v>13.28</v>
      </c>
      <c r="G1115" s="1">
        <v>45825</v>
      </c>
      <c r="H1115" s="1">
        <v>44313</v>
      </c>
      <c r="I1115" t="s">
        <v>3345</v>
      </c>
      <c r="J1115" t="s">
        <v>94</v>
      </c>
      <c r="K1115">
        <v>2</v>
      </c>
      <c r="L1115" t="s">
        <v>20</v>
      </c>
      <c r="M1115" s="1">
        <f t="shared" ca="1" si="34"/>
        <v>46204</v>
      </c>
      <c r="N1115">
        <f t="shared" ca="1" si="35"/>
        <v>1</v>
      </c>
    </row>
    <row r="1116" spans="1:14" x14ac:dyDescent="0.3">
      <c r="A1116" t="s">
        <v>3346</v>
      </c>
      <c r="B1116" t="s">
        <v>3347</v>
      </c>
      <c r="C1116" t="s">
        <v>64</v>
      </c>
      <c r="D1116" t="s">
        <v>35</v>
      </c>
      <c r="E1116" t="s">
        <v>30</v>
      </c>
      <c r="F1116">
        <v>20.71</v>
      </c>
      <c r="G1116" s="1">
        <v>45833</v>
      </c>
      <c r="H1116" s="1">
        <v>44196</v>
      </c>
      <c r="I1116" t="s">
        <v>3348</v>
      </c>
      <c r="J1116" t="s">
        <v>75</v>
      </c>
      <c r="K1116">
        <v>1</v>
      </c>
      <c r="L1116" t="s">
        <v>27</v>
      </c>
      <c r="M1116" s="1">
        <f t="shared" ca="1" si="34"/>
        <v>46204</v>
      </c>
      <c r="N1116">
        <f t="shared" ca="1" si="35"/>
        <v>1</v>
      </c>
    </row>
    <row r="1117" spans="1:14" x14ac:dyDescent="0.3">
      <c r="A1117" t="s">
        <v>3349</v>
      </c>
      <c r="B1117" t="s">
        <v>3350</v>
      </c>
      <c r="C1117" t="s">
        <v>47</v>
      </c>
      <c r="D1117" t="s">
        <v>69</v>
      </c>
      <c r="E1117" t="s">
        <v>24</v>
      </c>
      <c r="F1117">
        <v>15.68</v>
      </c>
      <c r="G1117" s="1">
        <v>45814</v>
      </c>
      <c r="H1117" s="1">
        <v>43926</v>
      </c>
      <c r="I1117" t="s">
        <v>84</v>
      </c>
      <c r="J1117" t="s">
        <v>94</v>
      </c>
      <c r="K1117">
        <v>4</v>
      </c>
      <c r="L1117" t="s">
        <v>20</v>
      </c>
      <c r="M1117" s="1">
        <f t="shared" ca="1" si="34"/>
        <v>46204</v>
      </c>
      <c r="N1117">
        <f t="shared" ca="1" si="35"/>
        <v>1</v>
      </c>
    </row>
    <row r="1118" spans="1:14" x14ac:dyDescent="0.3">
      <c r="A1118" t="s">
        <v>3351</v>
      </c>
      <c r="B1118" t="s">
        <v>3352</v>
      </c>
      <c r="C1118" t="s">
        <v>47</v>
      </c>
      <c r="D1118" t="s">
        <v>35</v>
      </c>
      <c r="E1118" t="s">
        <v>52</v>
      </c>
      <c r="F1118">
        <v>3.44</v>
      </c>
      <c r="G1118" s="1">
        <v>45839</v>
      </c>
      <c r="H1118" s="1">
        <v>43211</v>
      </c>
      <c r="I1118" t="s">
        <v>3353</v>
      </c>
      <c r="J1118" t="s">
        <v>19</v>
      </c>
      <c r="K1118">
        <v>5</v>
      </c>
      <c r="L1118" t="s">
        <v>20</v>
      </c>
      <c r="M1118" s="1">
        <f t="shared" ca="1" si="34"/>
        <v>46204</v>
      </c>
      <c r="N1118">
        <f t="shared" ca="1" si="35"/>
        <v>1</v>
      </c>
    </row>
    <row r="1119" spans="1:14" x14ac:dyDescent="0.3">
      <c r="A1119" t="s">
        <v>3354</v>
      </c>
      <c r="B1119" t="s">
        <v>3355</v>
      </c>
      <c r="C1119" t="s">
        <v>15</v>
      </c>
      <c r="D1119" t="s">
        <v>56</v>
      </c>
      <c r="E1119" t="s">
        <v>24</v>
      </c>
      <c r="F1119">
        <v>19.04</v>
      </c>
      <c r="G1119" s="1">
        <v>45814</v>
      </c>
      <c r="H1119" s="1">
        <v>42386</v>
      </c>
      <c r="I1119" t="s">
        <v>3356</v>
      </c>
      <c r="J1119" t="s">
        <v>19</v>
      </c>
      <c r="K1119">
        <v>5</v>
      </c>
      <c r="L1119" t="s">
        <v>27</v>
      </c>
      <c r="M1119" s="1">
        <f t="shared" ca="1" si="34"/>
        <v>46204</v>
      </c>
      <c r="N1119">
        <f t="shared" ca="1" si="35"/>
        <v>1</v>
      </c>
    </row>
    <row r="1120" spans="1:14" x14ac:dyDescent="0.3">
      <c r="A1120" t="s">
        <v>3357</v>
      </c>
      <c r="B1120" t="s">
        <v>3358</v>
      </c>
      <c r="C1120" t="s">
        <v>64</v>
      </c>
      <c r="D1120" t="s">
        <v>40</v>
      </c>
      <c r="E1120" t="s">
        <v>30</v>
      </c>
      <c r="F1120">
        <v>16.920000000000002</v>
      </c>
      <c r="G1120" s="1">
        <v>45960</v>
      </c>
      <c r="H1120" s="1">
        <v>42761</v>
      </c>
      <c r="I1120" t="s">
        <v>3359</v>
      </c>
      <c r="J1120" t="s">
        <v>26</v>
      </c>
      <c r="K1120">
        <v>5</v>
      </c>
      <c r="L1120" t="s">
        <v>27</v>
      </c>
      <c r="M1120" s="1">
        <f t="shared" ca="1" si="34"/>
        <v>46204</v>
      </c>
      <c r="N1120">
        <f t="shared" ca="1" si="35"/>
        <v>1</v>
      </c>
    </row>
    <row r="1121" spans="1:14" x14ac:dyDescent="0.3">
      <c r="A1121" t="s">
        <v>3360</v>
      </c>
      <c r="B1121" t="s">
        <v>3361</v>
      </c>
      <c r="C1121" t="s">
        <v>60</v>
      </c>
      <c r="D1121" t="s">
        <v>35</v>
      </c>
      <c r="E1121" t="s">
        <v>17</v>
      </c>
      <c r="F1121">
        <v>3.34</v>
      </c>
      <c r="G1121" s="1">
        <v>45918</v>
      </c>
      <c r="H1121" s="1">
        <v>44833</v>
      </c>
      <c r="I1121" t="s">
        <v>766</v>
      </c>
      <c r="J1121" t="s">
        <v>49</v>
      </c>
      <c r="K1121">
        <v>2</v>
      </c>
      <c r="L1121" t="s">
        <v>20</v>
      </c>
      <c r="M1121" s="1">
        <f t="shared" ca="1" si="34"/>
        <v>46204</v>
      </c>
      <c r="N1121">
        <f t="shared" ca="1" si="35"/>
        <v>1</v>
      </c>
    </row>
    <row r="1122" spans="1:14" x14ac:dyDescent="0.3">
      <c r="A1122" t="s">
        <v>3362</v>
      </c>
      <c r="B1122" t="s">
        <v>3363</v>
      </c>
      <c r="C1122" t="s">
        <v>34</v>
      </c>
      <c r="D1122" t="s">
        <v>40</v>
      </c>
      <c r="E1122" t="s">
        <v>52</v>
      </c>
      <c r="F1122">
        <v>12.46</v>
      </c>
      <c r="G1122" s="1">
        <v>46031</v>
      </c>
      <c r="H1122" s="1">
        <v>44423</v>
      </c>
      <c r="I1122" t="s">
        <v>3364</v>
      </c>
      <c r="J1122" t="s">
        <v>37</v>
      </c>
      <c r="K1122">
        <v>5</v>
      </c>
      <c r="L1122" t="s">
        <v>20</v>
      </c>
      <c r="M1122" s="1">
        <f t="shared" ca="1" si="34"/>
        <v>46204</v>
      </c>
      <c r="N1122">
        <f t="shared" ca="1" si="35"/>
        <v>1</v>
      </c>
    </row>
    <row r="1123" spans="1:14" x14ac:dyDescent="0.3">
      <c r="A1123" t="s">
        <v>3365</v>
      </c>
      <c r="B1123" t="s">
        <v>3366</v>
      </c>
      <c r="C1123" t="s">
        <v>60</v>
      </c>
      <c r="D1123" t="s">
        <v>16</v>
      </c>
      <c r="E1123" t="s">
        <v>52</v>
      </c>
      <c r="F1123">
        <v>20.5</v>
      </c>
      <c r="G1123" s="1">
        <v>45735</v>
      </c>
      <c r="H1123" s="1">
        <v>45254</v>
      </c>
      <c r="I1123" t="s">
        <v>3367</v>
      </c>
      <c r="J1123" t="s">
        <v>19</v>
      </c>
      <c r="K1123">
        <v>3</v>
      </c>
      <c r="L1123" t="s">
        <v>27</v>
      </c>
      <c r="M1123" s="1">
        <f t="shared" ca="1" si="34"/>
        <v>46204</v>
      </c>
      <c r="N1123">
        <f t="shared" ca="1" si="35"/>
        <v>1</v>
      </c>
    </row>
    <row r="1124" spans="1:14" x14ac:dyDescent="0.3">
      <c r="A1124" t="s">
        <v>3368</v>
      </c>
      <c r="B1124" t="s">
        <v>3369</v>
      </c>
      <c r="C1124" t="s">
        <v>64</v>
      </c>
      <c r="D1124" t="s">
        <v>35</v>
      </c>
      <c r="E1124" t="s">
        <v>24</v>
      </c>
      <c r="F1124">
        <v>20.47</v>
      </c>
      <c r="G1124" s="1">
        <v>46061</v>
      </c>
      <c r="H1124" s="1">
        <v>43048</v>
      </c>
      <c r="I1124" t="s">
        <v>3370</v>
      </c>
      <c r="J1124" t="s">
        <v>49</v>
      </c>
      <c r="K1124">
        <v>2</v>
      </c>
      <c r="L1124" t="s">
        <v>20</v>
      </c>
      <c r="M1124" s="1">
        <f t="shared" ca="1" si="34"/>
        <v>46204</v>
      </c>
      <c r="N1124">
        <f t="shared" ca="1" si="35"/>
        <v>1</v>
      </c>
    </row>
    <row r="1125" spans="1:14" x14ac:dyDescent="0.3">
      <c r="A1125" t="s">
        <v>3371</v>
      </c>
      <c r="B1125" t="s">
        <v>3372</v>
      </c>
      <c r="C1125" t="s">
        <v>23</v>
      </c>
      <c r="D1125" t="s">
        <v>56</v>
      </c>
      <c r="E1125" t="s">
        <v>52</v>
      </c>
      <c r="F1125">
        <v>21.66</v>
      </c>
      <c r="G1125" s="1">
        <v>45864</v>
      </c>
      <c r="H1125" s="1">
        <v>42970</v>
      </c>
      <c r="I1125" t="s">
        <v>3373</v>
      </c>
      <c r="J1125" t="s">
        <v>94</v>
      </c>
      <c r="K1125">
        <v>5</v>
      </c>
      <c r="L1125" t="s">
        <v>20</v>
      </c>
      <c r="M1125" s="1">
        <f t="shared" ca="1" si="34"/>
        <v>46204</v>
      </c>
      <c r="N1125">
        <f t="shared" ca="1" si="35"/>
        <v>1</v>
      </c>
    </row>
    <row r="1126" spans="1:14" x14ac:dyDescent="0.3">
      <c r="A1126" t="s">
        <v>3374</v>
      </c>
      <c r="B1126" t="s">
        <v>3375</v>
      </c>
      <c r="C1126" t="s">
        <v>124</v>
      </c>
      <c r="D1126" t="s">
        <v>73</v>
      </c>
      <c r="E1126" t="s">
        <v>24</v>
      </c>
      <c r="F1126">
        <v>12.32</v>
      </c>
      <c r="G1126" s="1">
        <v>45945</v>
      </c>
      <c r="H1126" s="1">
        <v>44292</v>
      </c>
      <c r="I1126" t="s">
        <v>3376</v>
      </c>
      <c r="J1126" t="s">
        <v>19</v>
      </c>
      <c r="K1126">
        <v>5</v>
      </c>
      <c r="L1126" t="s">
        <v>20</v>
      </c>
      <c r="M1126" s="1">
        <f t="shared" ca="1" si="34"/>
        <v>46204</v>
      </c>
      <c r="N1126">
        <f t="shared" ca="1" si="35"/>
        <v>1</v>
      </c>
    </row>
    <row r="1127" spans="1:14" x14ac:dyDescent="0.3">
      <c r="A1127" t="s">
        <v>3377</v>
      </c>
      <c r="B1127" t="s">
        <v>3378</v>
      </c>
      <c r="C1127" t="s">
        <v>47</v>
      </c>
      <c r="D1127" t="s">
        <v>56</v>
      </c>
      <c r="E1127" t="s">
        <v>52</v>
      </c>
      <c r="F1127">
        <v>39.619999999999997</v>
      </c>
      <c r="G1127" s="1">
        <v>45941</v>
      </c>
      <c r="H1127" s="1">
        <v>44327</v>
      </c>
      <c r="I1127" t="s">
        <v>3379</v>
      </c>
      <c r="J1127" t="s">
        <v>75</v>
      </c>
      <c r="K1127">
        <v>3</v>
      </c>
      <c r="L1127" t="s">
        <v>27</v>
      </c>
      <c r="M1127" s="1">
        <f t="shared" ca="1" si="34"/>
        <v>46204</v>
      </c>
      <c r="N1127">
        <f t="shared" ca="1" si="35"/>
        <v>1</v>
      </c>
    </row>
    <row r="1128" spans="1:14" x14ac:dyDescent="0.3">
      <c r="A1128" t="s">
        <v>3380</v>
      </c>
      <c r="B1128" t="s">
        <v>3381</v>
      </c>
      <c r="C1128" t="s">
        <v>15</v>
      </c>
      <c r="D1128" t="s">
        <v>35</v>
      </c>
      <c r="E1128" t="s">
        <v>24</v>
      </c>
      <c r="F1128">
        <v>25.8</v>
      </c>
      <c r="G1128" s="1">
        <v>45746</v>
      </c>
      <c r="H1128" s="1">
        <v>44973</v>
      </c>
      <c r="I1128" t="s">
        <v>3382</v>
      </c>
      <c r="J1128" t="s">
        <v>49</v>
      </c>
      <c r="K1128">
        <v>2</v>
      </c>
      <c r="L1128" t="s">
        <v>20</v>
      </c>
      <c r="M1128" s="1">
        <f t="shared" ca="1" si="34"/>
        <v>46204</v>
      </c>
      <c r="N1128">
        <f t="shared" ca="1" si="35"/>
        <v>1</v>
      </c>
    </row>
    <row r="1129" spans="1:14" x14ac:dyDescent="0.3">
      <c r="A1129" t="s">
        <v>3383</v>
      </c>
      <c r="B1129" t="s">
        <v>3384</v>
      </c>
      <c r="C1129" t="s">
        <v>124</v>
      </c>
      <c r="D1129" t="s">
        <v>56</v>
      </c>
      <c r="E1129" t="s">
        <v>24</v>
      </c>
      <c r="F1129">
        <v>18.68</v>
      </c>
      <c r="G1129" s="1">
        <v>45828</v>
      </c>
      <c r="H1129" s="1">
        <v>42461</v>
      </c>
      <c r="I1129" t="s">
        <v>3385</v>
      </c>
      <c r="J1129" t="s">
        <v>49</v>
      </c>
      <c r="K1129">
        <v>5</v>
      </c>
      <c r="L1129" t="s">
        <v>20</v>
      </c>
      <c r="M1129" s="1">
        <f t="shared" ca="1" si="34"/>
        <v>46204</v>
      </c>
      <c r="N1129">
        <f t="shared" ca="1" si="35"/>
        <v>1</v>
      </c>
    </row>
    <row r="1130" spans="1:14" x14ac:dyDescent="0.3">
      <c r="A1130" t="s">
        <v>3386</v>
      </c>
      <c r="B1130" t="s">
        <v>3387</v>
      </c>
      <c r="C1130" t="s">
        <v>47</v>
      </c>
      <c r="D1130" t="s">
        <v>35</v>
      </c>
      <c r="E1130" t="s">
        <v>24</v>
      </c>
      <c r="F1130">
        <v>26.77</v>
      </c>
      <c r="G1130" s="1">
        <v>46042</v>
      </c>
      <c r="H1130" s="1">
        <v>43852</v>
      </c>
      <c r="I1130" t="s">
        <v>3388</v>
      </c>
      <c r="J1130" t="s">
        <v>26</v>
      </c>
      <c r="K1130">
        <v>3</v>
      </c>
      <c r="L1130" t="s">
        <v>20</v>
      </c>
      <c r="M1130" s="1">
        <f t="shared" ca="1" si="34"/>
        <v>46204</v>
      </c>
      <c r="N1130">
        <f t="shared" ca="1" si="35"/>
        <v>1</v>
      </c>
    </row>
    <row r="1131" spans="1:14" x14ac:dyDescent="0.3">
      <c r="A1131" t="s">
        <v>3389</v>
      </c>
      <c r="B1131" t="s">
        <v>3390</v>
      </c>
      <c r="C1131" t="s">
        <v>47</v>
      </c>
      <c r="D1131" t="s">
        <v>16</v>
      </c>
      <c r="E1131" t="s">
        <v>52</v>
      </c>
      <c r="F1131">
        <v>8.5</v>
      </c>
      <c r="G1131" s="1">
        <v>45992</v>
      </c>
      <c r="H1131" s="1">
        <v>45268</v>
      </c>
      <c r="I1131" t="s">
        <v>1235</v>
      </c>
      <c r="J1131" t="s">
        <v>66</v>
      </c>
      <c r="K1131">
        <v>4</v>
      </c>
      <c r="L1131" t="s">
        <v>20</v>
      </c>
      <c r="M1131" s="1">
        <f t="shared" ca="1" si="34"/>
        <v>46204</v>
      </c>
      <c r="N1131">
        <f t="shared" ca="1" si="35"/>
        <v>1</v>
      </c>
    </row>
    <row r="1132" spans="1:14" x14ac:dyDescent="0.3">
      <c r="A1132" t="s">
        <v>3391</v>
      </c>
      <c r="B1132" t="s">
        <v>3392</v>
      </c>
      <c r="C1132" t="s">
        <v>60</v>
      </c>
      <c r="D1132" t="s">
        <v>40</v>
      </c>
      <c r="E1132" t="s">
        <v>30</v>
      </c>
      <c r="F1132">
        <v>31.11</v>
      </c>
      <c r="G1132" s="1">
        <v>45957</v>
      </c>
      <c r="H1132" s="1">
        <v>45157</v>
      </c>
      <c r="I1132" t="s">
        <v>3393</v>
      </c>
      <c r="J1132" t="s">
        <v>19</v>
      </c>
      <c r="K1132">
        <v>3</v>
      </c>
      <c r="L1132" t="s">
        <v>20</v>
      </c>
      <c r="M1132" s="1">
        <f t="shared" ca="1" si="34"/>
        <v>46204</v>
      </c>
      <c r="N1132">
        <f t="shared" ca="1" si="35"/>
        <v>1</v>
      </c>
    </row>
    <row r="1133" spans="1:14" x14ac:dyDescent="0.3">
      <c r="A1133" t="s">
        <v>3394</v>
      </c>
      <c r="B1133" t="s">
        <v>3395</v>
      </c>
      <c r="C1133" t="s">
        <v>23</v>
      </c>
      <c r="D1133" t="s">
        <v>56</v>
      </c>
      <c r="E1133" t="s">
        <v>24</v>
      </c>
      <c r="F1133">
        <v>15.84</v>
      </c>
      <c r="G1133" s="1">
        <v>45815</v>
      </c>
      <c r="H1133" s="1">
        <v>43621</v>
      </c>
      <c r="I1133" t="s">
        <v>3396</v>
      </c>
      <c r="J1133" t="s">
        <v>66</v>
      </c>
      <c r="K1133">
        <v>1</v>
      </c>
      <c r="L1133" t="s">
        <v>27</v>
      </c>
      <c r="M1133" s="1">
        <f t="shared" ca="1" si="34"/>
        <v>46204</v>
      </c>
      <c r="N1133">
        <f t="shared" ca="1" si="35"/>
        <v>1</v>
      </c>
    </row>
    <row r="1134" spans="1:14" x14ac:dyDescent="0.3">
      <c r="A1134" t="s">
        <v>3397</v>
      </c>
      <c r="B1134" t="s">
        <v>3398</v>
      </c>
      <c r="C1134" t="s">
        <v>60</v>
      </c>
      <c r="D1134" t="s">
        <v>16</v>
      </c>
      <c r="E1134" t="s">
        <v>52</v>
      </c>
      <c r="F1134">
        <v>31.93</v>
      </c>
      <c r="G1134" s="1">
        <v>45977</v>
      </c>
      <c r="H1134" s="1">
        <v>43395</v>
      </c>
      <c r="I1134" t="s">
        <v>3399</v>
      </c>
      <c r="J1134" t="s">
        <v>19</v>
      </c>
      <c r="K1134">
        <v>2</v>
      </c>
      <c r="L1134" t="s">
        <v>27</v>
      </c>
      <c r="M1134" s="1">
        <f t="shared" ca="1" si="34"/>
        <v>46204</v>
      </c>
      <c r="N1134">
        <f t="shared" ca="1" si="35"/>
        <v>1</v>
      </c>
    </row>
    <row r="1135" spans="1:14" x14ac:dyDescent="0.3">
      <c r="A1135" t="s">
        <v>3400</v>
      </c>
      <c r="B1135" t="s">
        <v>3401</v>
      </c>
      <c r="C1135" t="s">
        <v>124</v>
      </c>
      <c r="D1135" t="s">
        <v>69</v>
      </c>
      <c r="E1135" t="s">
        <v>30</v>
      </c>
      <c r="F1135">
        <v>4.2300000000000004</v>
      </c>
      <c r="G1135" s="1">
        <v>45782</v>
      </c>
      <c r="H1135" s="1">
        <v>43663</v>
      </c>
      <c r="I1135" t="s">
        <v>3402</v>
      </c>
      <c r="J1135" t="s">
        <v>66</v>
      </c>
      <c r="K1135">
        <v>2</v>
      </c>
      <c r="L1135" t="s">
        <v>27</v>
      </c>
      <c r="M1135" s="1">
        <f t="shared" ca="1" si="34"/>
        <v>46204</v>
      </c>
      <c r="N1135">
        <f t="shared" ca="1" si="35"/>
        <v>1</v>
      </c>
    </row>
    <row r="1136" spans="1:14" x14ac:dyDescent="0.3">
      <c r="A1136" t="s">
        <v>3403</v>
      </c>
      <c r="B1136" t="s">
        <v>3404</v>
      </c>
      <c r="C1136" t="s">
        <v>124</v>
      </c>
      <c r="D1136" t="s">
        <v>73</v>
      </c>
      <c r="E1136" t="s">
        <v>30</v>
      </c>
      <c r="F1136">
        <v>23.51</v>
      </c>
      <c r="G1136" s="1">
        <v>45928</v>
      </c>
      <c r="H1136" s="1">
        <v>44292</v>
      </c>
      <c r="I1136" t="s">
        <v>3405</v>
      </c>
      <c r="J1136" t="s">
        <v>37</v>
      </c>
      <c r="K1136">
        <v>5</v>
      </c>
      <c r="L1136" t="s">
        <v>20</v>
      </c>
      <c r="M1136" s="1">
        <f t="shared" ca="1" si="34"/>
        <v>46204</v>
      </c>
      <c r="N1136">
        <f t="shared" ca="1" si="35"/>
        <v>1</v>
      </c>
    </row>
    <row r="1137" spans="1:14" x14ac:dyDescent="0.3">
      <c r="A1137" t="s">
        <v>3406</v>
      </c>
      <c r="B1137" t="s">
        <v>3407</v>
      </c>
      <c r="C1137" t="s">
        <v>124</v>
      </c>
      <c r="D1137" t="s">
        <v>69</v>
      </c>
      <c r="E1137" t="s">
        <v>24</v>
      </c>
      <c r="F1137">
        <v>13.77</v>
      </c>
      <c r="G1137" s="1">
        <v>46069</v>
      </c>
      <c r="H1137" s="1">
        <v>44146</v>
      </c>
      <c r="I1137" t="s">
        <v>3408</v>
      </c>
      <c r="J1137" t="s">
        <v>75</v>
      </c>
      <c r="K1137">
        <v>2</v>
      </c>
      <c r="L1137" t="s">
        <v>20</v>
      </c>
      <c r="M1137" s="1">
        <f t="shared" ca="1" si="34"/>
        <v>46204</v>
      </c>
      <c r="N1137">
        <f t="shared" ca="1" si="35"/>
        <v>1</v>
      </c>
    </row>
    <row r="1138" spans="1:14" x14ac:dyDescent="0.3">
      <c r="A1138" t="s">
        <v>3409</v>
      </c>
      <c r="B1138" t="s">
        <v>3410</v>
      </c>
      <c r="C1138" t="s">
        <v>15</v>
      </c>
      <c r="D1138" t="s">
        <v>73</v>
      </c>
      <c r="E1138" t="s">
        <v>24</v>
      </c>
      <c r="F1138">
        <v>32.01</v>
      </c>
      <c r="G1138" s="1">
        <v>45867</v>
      </c>
      <c r="H1138" s="1">
        <v>44327</v>
      </c>
      <c r="I1138" t="s">
        <v>3411</v>
      </c>
      <c r="J1138" t="s">
        <v>37</v>
      </c>
      <c r="K1138">
        <v>3</v>
      </c>
      <c r="L1138" t="s">
        <v>27</v>
      </c>
      <c r="M1138" s="1">
        <f t="shared" ca="1" si="34"/>
        <v>46204</v>
      </c>
      <c r="N1138">
        <f t="shared" ca="1" si="35"/>
        <v>1</v>
      </c>
    </row>
    <row r="1139" spans="1:14" x14ac:dyDescent="0.3">
      <c r="A1139" t="s">
        <v>3412</v>
      </c>
      <c r="B1139" t="s">
        <v>3413</v>
      </c>
      <c r="C1139" t="s">
        <v>47</v>
      </c>
      <c r="D1139" t="s">
        <v>56</v>
      </c>
      <c r="E1139" t="s">
        <v>30</v>
      </c>
      <c r="F1139">
        <v>32.090000000000003</v>
      </c>
      <c r="G1139" s="1">
        <v>45829</v>
      </c>
      <c r="H1139" s="1">
        <v>44530</v>
      </c>
      <c r="I1139" t="s">
        <v>3414</v>
      </c>
      <c r="J1139" t="s">
        <v>49</v>
      </c>
      <c r="K1139">
        <v>1</v>
      </c>
      <c r="L1139" t="s">
        <v>20</v>
      </c>
      <c r="M1139" s="1">
        <f t="shared" ca="1" si="34"/>
        <v>46204</v>
      </c>
      <c r="N1139">
        <f t="shared" ca="1" si="35"/>
        <v>1</v>
      </c>
    </row>
    <row r="1140" spans="1:14" x14ac:dyDescent="0.3">
      <c r="A1140" t="s">
        <v>3415</v>
      </c>
      <c r="B1140" t="s">
        <v>3183</v>
      </c>
      <c r="C1140" t="s">
        <v>23</v>
      </c>
      <c r="D1140" t="s">
        <v>16</v>
      </c>
      <c r="E1140" t="s">
        <v>30</v>
      </c>
      <c r="F1140">
        <v>35.75</v>
      </c>
      <c r="G1140" s="1">
        <v>45714</v>
      </c>
      <c r="H1140" s="1">
        <v>44747</v>
      </c>
      <c r="I1140" t="s">
        <v>3416</v>
      </c>
      <c r="J1140" t="s">
        <v>19</v>
      </c>
      <c r="K1140">
        <v>3</v>
      </c>
      <c r="L1140" t="s">
        <v>20</v>
      </c>
      <c r="M1140" s="1">
        <f t="shared" ca="1" si="34"/>
        <v>46204</v>
      </c>
      <c r="N1140">
        <f t="shared" ca="1" si="35"/>
        <v>1</v>
      </c>
    </row>
    <row r="1141" spans="1:14" x14ac:dyDescent="0.3">
      <c r="A1141" t="s">
        <v>3417</v>
      </c>
      <c r="B1141" t="s">
        <v>3418</v>
      </c>
      <c r="C1141" t="s">
        <v>64</v>
      </c>
      <c r="D1141" t="s">
        <v>56</v>
      </c>
      <c r="E1141" t="s">
        <v>30</v>
      </c>
      <c r="F1141">
        <v>21.42</v>
      </c>
      <c r="G1141" s="1">
        <v>45887</v>
      </c>
      <c r="H1141" s="1">
        <v>43289</v>
      </c>
      <c r="I1141" t="s">
        <v>3419</v>
      </c>
      <c r="J1141" t="s">
        <v>75</v>
      </c>
      <c r="K1141">
        <v>1</v>
      </c>
      <c r="L1141" t="s">
        <v>27</v>
      </c>
      <c r="M1141" s="1">
        <f t="shared" ca="1" si="34"/>
        <v>46204</v>
      </c>
      <c r="N1141">
        <f t="shared" ca="1" si="35"/>
        <v>1</v>
      </c>
    </row>
    <row r="1142" spans="1:14" x14ac:dyDescent="0.3">
      <c r="A1142" t="s">
        <v>3420</v>
      </c>
      <c r="B1142" t="s">
        <v>3421</v>
      </c>
      <c r="C1142" t="s">
        <v>15</v>
      </c>
      <c r="D1142" t="s">
        <v>73</v>
      </c>
      <c r="E1142" t="s">
        <v>17</v>
      </c>
      <c r="F1142">
        <v>26.01</v>
      </c>
      <c r="G1142" s="1">
        <v>45742</v>
      </c>
      <c r="H1142" s="1">
        <v>44883</v>
      </c>
      <c r="I1142" t="s">
        <v>3422</v>
      </c>
      <c r="J1142" t="s">
        <v>94</v>
      </c>
      <c r="K1142">
        <v>5</v>
      </c>
      <c r="L1142" t="s">
        <v>27</v>
      </c>
      <c r="M1142" s="1">
        <f t="shared" ca="1" si="34"/>
        <v>46204</v>
      </c>
      <c r="N1142">
        <f t="shared" ca="1" si="35"/>
        <v>1</v>
      </c>
    </row>
    <row r="1143" spans="1:14" x14ac:dyDescent="0.3">
      <c r="A1143" t="s">
        <v>3423</v>
      </c>
      <c r="B1143" t="s">
        <v>3424</v>
      </c>
      <c r="C1143" t="s">
        <v>60</v>
      </c>
      <c r="D1143" t="s">
        <v>16</v>
      </c>
      <c r="E1143" t="s">
        <v>24</v>
      </c>
      <c r="F1143">
        <v>1.1000000000000001</v>
      </c>
      <c r="G1143" s="1">
        <v>45844</v>
      </c>
      <c r="H1143" s="1">
        <v>44589</v>
      </c>
      <c r="I1143" t="s">
        <v>3425</v>
      </c>
      <c r="J1143" t="s">
        <v>94</v>
      </c>
      <c r="K1143">
        <v>4</v>
      </c>
      <c r="L1143" t="s">
        <v>27</v>
      </c>
      <c r="M1143" s="1">
        <f t="shared" ca="1" si="34"/>
        <v>46204</v>
      </c>
      <c r="N1143">
        <f t="shared" ca="1" si="35"/>
        <v>1</v>
      </c>
    </row>
    <row r="1144" spans="1:14" x14ac:dyDescent="0.3">
      <c r="A1144" t="s">
        <v>3426</v>
      </c>
      <c r="B1144" t="s">
        <v>3427</v>
      </c>
      <c r="C1144" t="s">
        <v>64</v>
      </c>
      <c r="D1144" t="s">
        <v>35</v>
      </c>
      <c r="E1144" t="s">
        <v>30</v>
      </c>
      <c r="F1144">
        <v>17.7</v>
      </c>
      <c r="G1144" s="1">
        <v>45924</v>
      </c>
      <c r="H1144" s="1">
        <v>44830</v>
      </c>
      <c r="I1144" t="s">
        <v>3428</v>
      </c>
      <c r="J1144" t="s">
        <v>26</v>
      </c>
      <c r="K1144">
        <v>5</v>
      </c>
      <c r="L1144" t="s">
        <v>20</v>
      </c>
      <c r="M1144" s="1">
        <f t="shared" ca="1" si="34"/>
        <v>46204</v>
      </c>
      <c r="N1144">
        <f t="shared" ca="1" si="35"/>
        <v>1</v>
      </c>
    </row>
    <row r="1145" spans="1:14" x14ac:dyDescent="0.3">
      <c r="A1145" t="s">
        <v>3429</v>
      </c>
      <c r="B1145" t="s">
        <v>3430</v>
      </c>
      <c r="C1145" t="s">
        <v>23</v>
      </c>
      <c r="D1145" t="s">
        <v>73</v>
      </c>
      <c r="E1145" t="s">
        <v>52</v>
      </c>
      <c r="F1145">
        <v>5.19</v>
      </c>
      <c r="G1145" s="1">
        <v>45806</v>
      </c>
      <c r="H1145" s="1">
        <v>44356</v>
      </c>
      <c r="I1145" t="s">
        <v>3431</v>
      </c>
      <c r="J1145" t="s">
        <v>26</v>
      </c>
      <c r="K1145">
        <v>5</v>
      </c>
      <c r="L1145" t="s">
        <v>27</v>
      </c>
      <c r="M1145" s="1">
        <f t="shared" ca="1" si="34"/>
        <v>46204</v>
      </c>
      <c r="N1145">
        <f t="shared" ca="1" si="35"/>
        <v>1</v>
      </c>
    </row>
    <row r="1146" spans="1:14" x14ac:dyDescent="0.3">
      <c r="A1146" t="s">
        <v>3432</v>
      </c>
      <c r="B1146" t="s">
        <v>3433</v>
      </c>
      <c r="C1146" t="s">
        <v>60</v>
      </c>
      <c r="D1146" t="s">
        <v>73</v>
      </c>
      <c r="E1146" t="s">
        <v>24</v>
      </c>
      <c r="F1146">
        <v>20.04</v>
      </c>
      <c r="G1146" s="1">
        <v>45766</v>
      </c>
      <c r="H1146" s="1">
        <v>44896</v>
      </c>
      <c r="I1146" t="s">
        <v>3434</v>
      </c>
      <c r="J1146" t="s">
        <v>49</v>
      </c>
      <c r="K1146">
        <v>4</v>
      </c>
      <c r="L1146" t="s">
        <v>27</v>
      </c>
      <c r="M1146" s="1">
        <f t="shared" ca="1" si="34"/>
        <v>46204</v>
      </c>
      <c r="N1146">
        <f t="shared" ca="1" si="35"/>
        <v>1</v>
      </c>
    </row>
    <row r="1147" spans="1:14" x14ac:dyDescent="0.3">
      <c r="A1147" t="s">
        <v>3435</v>
      </c>
      <c r="B1147" t="s">
        <v>3436</v>
      </c>
      <c r="C1147" t="s">
        <v>47</v>
      </c>
      <c r="D1147" t="s">
        <v>40</v>
      </c>
      <c r="E1147" t="s">
        <v>52</v>
      </c>
      <c r="F1147">
        <v>4.5</v>
      </c>
      <c r="G1147" s="1">
        <v>46039</v>
      </c>
      <c r="H1147" s="1">
        <v>43734</v>
      </c>
      <c r="I1147" t="s">
        <v>3437</v>
      </c>
      <c r="J1147" t="s">
        <v>75</v>
      </c>
      <c r="K1147">
        <v>2</v>
      </c>
      <c r="L1147" t="s">
        <v>20</v>
      </c>
      <c r="M1147" s="1">
        <f t="shared" ca="1" si="34"/>
        <v>46204</v>
      </c>
      <c r="N1147">
        <f t="shared" ca="1" si="35"/>
        <v>1</v>
      </c>
    </row>
    <row r="1148" spans="1:14" x14ac:dyDescent="0.3">
      <c r="A1148" t="s">
        <v>3438</v>
      </c>
      <c r="B1148" t="s">
        <v>3439</v>
      </c>
      <c r="C1148" t="s">
        <v>23</v>
      </c>
      <c r="D1148" t="s">
        <v>56</v>
      </c>
      <c r="E1148" t="s">
        <v>30</v>
      </c>
      <c r="F1148">
        <v>7.27</v>
      </c>
      <c r="G1148" s="1">
        <v>45770</v>
      </c>
      <c r="H1148" s="1">
        <v>44176</v>
      </c>
      <c r="I1148" t="s">
        <v>3440</v>
      </c>
      <c r="J1148" t="s">
        <v>49</v>
      </c>
      <c r="K1148">
        <v>5</v>
      </c>
      <c r="L1148" t="s">
        <v>27</v>
      </c>
      <c r="M1148" s="1">
        <f t="shared" ca="1" si="34"/>
        <v>46204</v>
      </c>
      <c r="N1148">
        <f t="shared" ca="1" si="35"/>
        <v>1</v>
      </c>
    </row>
    <row r="1149" spans="1:14" x14ac:dyDescent="0.3">
      <c r="A1149" t="s">
        <v>3441</v>
      </c>
      <c r="B1149" t="s">
        <v>3442</v>
      </c>
      <c r="C1149" t="s">
        <v>64</v>
      </c>
      <c r="D1149" t="s">
        <v>40</v>
      </c>
      <c r="E1149" t="s">
        <v>52</v>
      </c>
      <c r="F1149">
        <v>5.0199999999999996</v>
      </c>
      <c r="G1149" s="1">
        <v>45772</v>
      </c>
      <c r="H1149" s="1">
        <v>45279</v>
      </c>
      <c r="I1149" t="s">
        <v>3443</v>
      </c>
      <c r="J1149" t="s">
        <v>94</v>
      </c>
      <c r="K1149">
        <v>2</v>
      </c>
      <c r="L1149" t="s">
        <v>27</v>
      </c>
      <c r="M1149" s="1">
        <f t="shared" ca="1" si="34"/>
        <v>46204</v>
      </c>
      <c r="N1149">
        <f t="shared" ca="1" si="35"/>
        <v>1</v>
      </c>
    </row>
    <row r="1150" spans="1:14" x14ac:dyDescent="0.3">
      <c r="A1150" t="s">
        <v>3444</v>
      </c>
      <c r="B1150" t="s">
        <v>3445</v>
      </c>
      <c r="C1150" t="s">
        <v>23</v>
      </c>
      <c r="D1150" t="s">
        <v>73</v>
      </c>
      <c r="E1150" t="s">
        <v>52</v>
      </c>
      <c r="F1150">
        <v>28.91</v>
      </c>
      <c r="G1150" s="1">
        <v>46012</v>
      </c>
      <c r="H1150" s="1">
        <v>44873</v>
      </c>
      <c r="I1150" t="s">
        <v>3446</v>
      </c>
      <c r="J1150" t="s">
        <v>26</v>
      </c>
      <c r="K1150">
        <v>2</v>
      </c>
      <c r="L1150" t="s">
        <v>27</v>
      </c>
      <c r="M1150" s="1">
        <f t="shared" ca="1" si="34"/>
        <v>46204</v>
      </c>
      <c r="N1150">
        <f t="shared" ca="1" si="35"/>
        <v>1</v>
      </c>
    </row>
    <row r="1151" spans="1:14" x14ac:dyDescent="0.3">
      <c r="A1151" t="s">
        <v>3447</v>
      </c>
      <c r="B1151" t="s">
        <v>3448</v>
      </c>
      <c r="C1151" t="s">
        <v>124</v>
      </c>
      <c r="D1151" t="s">
        <v>73</v>
      </c>
      <c r="E1151" t="s">
        <v>24</v>
      </c>
      <c r="F1151">
        <v>35.1</v>
      </c>
      <c r="G1151" s="1">
        <v>45855</v>
      </c>
      <c r="H1151" s="1">
        <v>42693</v>
      </c>
      <c r="I1151" t="s">
        <v>3449</v>
      </c>
      <c r="J1151" t="s">
        <v>75</v>
      </c>
      <c r="K1151">
        <v>2</v>
      </c>
      <c r="L1151" t="s">
        <v>20</v>
      </c>
      <c r="M1151" s="1">
        <f t="shared" ca="1" si="34"/>
        <v>46204</v>
      </c>
      <c r="N1151">
        <f t="shared" ca="1" si="35"/>
        <v>1</v>
      </c>
    </row>
    <row r="1152" spans="1:14" x14ac:dyDescent="0.3">
      <c r="A1152" t="s">
        <v>3450</v>
      </c>
      <c r="B1152" t="s">
        <v>3451</v>
      </c>
      <c r="C1152" t="s">
        <v>15</v>
      </c>
      <c r="D1152" t="s">
        <v>35</v>
      </c>
      <c r="E1152" t="s">
        <v>52</v>
      </c>
      <c r="F1152">
        <v>16.62</v>
      </c>
      <c r="G1152" s="1">
        <v>45853</v>
      </c>
      <c r="H1152" s="1">
        <v>44101</v>
      </c>
      <c r="I1152" t="s">
        <v>3452</v>
      </c>
      <c r="J1152" t="s">
        <v>66</v>
      </c>
      <c r="K1152">
        <v>4</v>
      </c>
      <c r="L1152" t="s">
        <v>20</v>
      </c>
      <c r="M1152" s="1">
        <f t="shared" ca="1" si="34"/>
        <v>46204</v>
      </c>
      <c r="N1152">
        <f t="shared" ca="1" si="35"/>
        <v>1</v>
      </c>
    </row>
    <row r="1153" spans="1:14" x14ac:dyDescent="0.3">
      <c r="A1153" t="s">
        <v>3453</v>
      </c>
      <c r="B1153" t="s">
        <v>2734</v>
      </c>
      <c r="C1153" t="s">
        <v>64</v>
      </c>
      <c r="D1153" t="s">
        <v>69</v>
      </c>
      <c r="E1153" t="s">
        <v>24</v>
      </c>
      <c r="F1153">
        <v>23.73</v>
      </c>
      <c r="G1153" s="1">
        <v>45806</v>
      </c>
      <c r="H1153" s="1">
        <v>45155</v>
      </c>
      <c r="I1153" t="s">
        <v>3454</v>
      </c>
      <c r="J1153" t="s">
        <v>26</v>
      </c>
      <c r="K1153">
        <v>4</v>
      </c>
      <c r="L1153" t="s">
        <v>27</v>
      </c>
      <c r="M1153" s="1">
        <f t="shared" ca="1" si="34"/>
        <v>46204</v>
      </c>
      <c r="N1153">
        <f t="shared" ca="1" si="35"/>
        <v>1</v>
      </c>
    </row>
    <row r="1154" spans="1:14" x14ac:dyDescent="0.3">
      <c r="A1154" t="s">
        <v>3455</v>
      </c>
      <c r="B1154" t="s">
        <v>3456</v>
      </c>
      <c r="C1154" t="s">
        <v>23</v>
      </c>
      <c r="D1154" t="s">
        <v>35</v>
      </c>
      <c r="E1154" t="s">
        <v>17</v>
      </c>
      <c r="F1154">
        <v>11.61</v>
      </c>
      <c r="G1154" s="1">
        <v>45888</v>
      </c>
      <c r="H1154" s="1">
        <v>43720</v>
      </c>
      <c r="I1154" t="s">
        <v>3457</v>
      </c>
      <c r="J1154" t="s">
        <v>49</v>
      </c>
      <c r="K1154">
        <v>1</v>
      </c>
      <c r="L1154" t="s">
        <v>27</v>
      </c>
      <c r="M1154" s="1">
        <f t="shared" ca="1" si="34"/>
        <v>46204</v>
      </c>
      <c r="N1154">
        <f t="shared" ca="1" si="35"/>
        <v>1</v>
      </c>
    </row>
    <row r="1155" spans="1:14" x14ac:dyDescent="0.3">
      <c r="A1155" t="s">
        <v>3458</v>
      </c>
      <c r="B1155" t="s">
        <v>3459</v>
      </c>
      <c r="C1155" t="s">
        <v>15</v>
      </c>
      <c r="D1155" t="s">
        <v>35</v>
      </c>
      <c r="E1155" t="s">
        <v>52</v>
      </c>
      <c r="F1155">
        <v>8.9600000000000009</v>
      </c>
      <c r="G1155" s="1">
        <v>45918</v>
      </c>
      <c r="H1155" s="1">
        <v>42437</v>
      </c>
      <c r="I1155" t="s">
        <v>3460</v>
      </c>
      <c r="J1155" t="s">
        <v>94</v>
      </c>
      <c r="K1155">
        <v>5</v>
      </c>
      <c r="L1155" t="s">
        <v>27</v>
      </c>
      <c r="M1155" s="1">
        <f t="shared" ref="M1155:M1218" ca="1" si="36">TODAY()</f>
        <v>46204</v>
      </c>
      <c r="N1155">
        <f t="shared" ref="N1155:N1218" ca="1" si="37">IF(G1155&lt;M1155,1,0)</f>
        <v>1</v>
      </c>
    </row>
    <row r="1156" spans="1:14" x14ac:dyDescent="0.3">
      <c r="A1156" t="s">
        <v>3461</v>
      </c>
      <c r="B1156" t="s">
        <v>3462</v>
      </c>
      <c r="C1156" t="s">
        <v>47</v>
      </c>
      <c r="D1156" t="s">
        <v>56</v>
      </c>
      <c r="E1156" t="s">
        <v>30</v>
      </c>
      <c r="F1156">
        <v>17.309999999999999</v>
      </c>
      <c r="G1156" s="1">
        <v>45844</v>
      </c>
      <c r="H1156" s="1">
        <v>43921</v>
      </c>
      <c r="I1156" t="s">
        <v>226</v>
      </c>
      <c r="J1156" t="s">
        <v>37</v>
      </c>
      <c r="K1156">
        <v>2</v>
      </c>
      <c r="L1156" t="s">
        <v>27</v>
      </c>
      <c r="M1156" s="1">
        <f t="shared" ca="1" si="36"/>
        <v>46204</v>
      </c>
      <c r="N1156">
        <f t="shared" ca="1" si="37"/>
        <v>1</v>
      </c>
    </row>
    <row r="1157" spans="1:14" x14ac:dyDescent="0.3">
      <c r="A1157" t="s">
        <v>3463</v>
      </c>
      <c r="B1157" t="s">
        <v>3464</v>
      </c>
      <c r="C1157" t="s">
        <v>15</v>
      </c>
      <c r="D1157" t="s">
        <v>73</v>
      </c>
      <c r="E1157" t="s">
        <v>17</v>
      </c>
      <c r="F1157">
        <v>31.87</v>
      </c>
      <c r="G1157" s="1">
        <v>45917</v>
      </c>
      <c r="H1157" s="1">
        <v>42536</v>
      </c>
      <c r="I1157" t="s">
        <v>3465</v>
      </c>
      <c r="J1157" t="s">
        <v>26</v>
      </c>
      <c r="K1157">
        <v>5</v>
      </c>
      <c r="L1157" t="s">
        <v>27</v>
      </c>
      <c r="M1157" s="1">
        <f t="shared" ca="1" si="36"/>
        <v>46204</v>
      </c>
      <c r="N1157">
        <f t="shared" ca="1" si="37"/>
        <v>1</v>
      </c>
    </row>
    <row r="1158" spans="1:14" x14ac:dyDescent="0.3">
      <c r="A1158" t="s">
        <v>3466</v>
      </c>
      <c r="B1158" t="s">
        <v>3467</v>
      </c>
      <c r="C1158" t="s">
        <v>60</v>
      </c>
      <c r="D1158" t="s">
        <v>69</v>
      </c>
      <c r="E1158" t="s">
        <v>17</v>
      </c>
      <c r="F1158">
        <v>22.78</v>
      </c>
      <c r="G1158" s="1">
        <v>45963</v>
      </c>
      <c r="H1158" s="1">
        <v>44842</v>
      </c>
      <c r="I1158" t="s">
        <v>3468</v>
      </c>
      <c r="J1158" t="s">
        <v>19</v>
      </c>
      <c r="K1158">
        <v>1</v>
      </c>
      <c r="L1158" t="s">
        <v>20</v>
      </c>
      <c r="M1158" s="1">
        <f t="shared" ca="1" si="36"/>
        <v>46204</v>
      </c>
      <c r="N1158">
        <f t="shared" ca="1" si="37"/>
        <v>1</v>
      </c>
    </row>
    <row r="1159" spans="1:14" x14ac:dyDescent="0.3">
      <c r="A1159" t="s">
        <v>3469</v>
      </c>
      <c r="B1159" t="s">
        <v>3470</v>
      </c>
      <c r="C1159" t="s">
        <v>64</v>
      </c>
      <c r="D1159" t="s">
        <v>40</v>
      </c>
      <c r="E1159" t="s">
        <v>17</v>
      </c>
      <c r="F1159">
        <v>16.88</v>
      </c>
      <c r="G1159" s="1">
        <v>45919</v>
      </c>
      <c r="H1159" s="1">
        <v>45428</v>
      </c>
      <c r="I1159" t="s">
        <v>3471</v>
      </c>
      <c r="J1159" t="s">
        <v>19</v>
      </c>
      <c r="K1159">
        <v>1</v>
      </c>
      <c r="L1159" t="s">
        <v>20</v>
      </c>
      <c r="M1159" s="1">
        <f t="shared" ca="1" si="36"/>
        <v>46204</v>
      </c>
      <c r="N1159">
        <f t="shared" ca="1" si="37"/>
        <v>1</v>
      </c>
    </row>
    <row r="1160" spans="1:14" x14ac:dyDescent="0.3">
      <c r="A1160" t="s">
        <v>3472</v>
      </c>
      <c r="B1160" t="s">
        <v>3473</v>
      </c>
      <c r="C1160" t="s">
        <v>60</v>
      </c>
      <c r="D1160" t="s">
        <v>40</v>
      </c>
      <c r="E1160" t="s">
        <v>17</v>
      </c>
      <c r="F1160">
        <v>8.17</v>
      </c>
      <c r="G1160" s="1">
        <v>46025</v>
      </c>
      <c r="H1160" s="1">
        <v>42589</v>
      </c>
      <c r="I1160" t="s">
        <v>3474</v>
      </c>
      <c r="J1160" t="s">
        <v>66</v>
      </c>
      <c r="K1160">
        <v>2</v>
      </c>
      <c r="L1160" t="s">
        <v>27</v>
      </c>
      <c r="M1160" s="1">
        <f t="shared" ca="1" si="36"/>
        <v>46204</v>
      </c>
      <c r="N1160">
        <f t="shared" ca="1" si="37"/>
        <v>1</v>
      </c>
    </row>
    <row r="1161" spans="1:14" x14ac:dyDescent="0.3">
      <c r="A1161" t="s">
        <v>3475</v>
      </c>
      <c r="B1161" t="s">
        <v>3476</v>
      </c>
      <c r="C1161" t="s">
        <v>124</v>
      </c>
      <c r="D1161" t="s">
        <v>69</v>
      </c>
      <c r="E1161" t="s">
        <v>52</v>
      </c>
      <c r="F1161">
        <v>22.34</v>
      </c>
      <c r="G1161" s="1">
        <v>45945</v>
      </c>
      <c r="H1161" s="1">
        <v>44116</v>
      </c>
      <c r="I1161" t="s">
        <v>3477</v>
      </c>
      <c r="J1161" t="s">
        <v>94</v>
      </c>
      <c r="K1161">
        <v>3</v>
      </c>
      <c r="L1161" t="s">
        <v>20</v>
      </c>
      <c r="M1161" s="1">
        <f t="shared" ca="1" si="36"/>
        <v>46204</v>
      </c>
      <c r="N1161">
        <f t="shared" ca="1" si="37"/>
        <v>1</v>
      </c>
    </row>
    <row r="1162" spans="1:14" x14ac:dyDescent="0.3">
      <c r="A1162" t="s">
        <v>3478</v>
      </c>
      <c r="B1162" t="s">
        <v>3479</v>
      </c>
      <c r="C1162" t="s">
        <v>23</v>
      </c>
      <c r="D1162" t="s">
        <v>69</v>
      </c>
      <c r="E1162" t="s">
        <v>30</v>
      </c>
      <c r="F1162">
        <v>34.299999999999997</v>
      </c>
      <c r="G1162" s="1">
        <v>46026</v>
      </c>
      <c r="H1162" s="1">
        <v>42781</v>
      </c>
      <c r="I1162" t="s">
        <v>3480</v>
      </c>
      <c r="J1162" t="s">
        <v>66</v>
      </c>
      <c r="K1162">
        <v>1</v>
      </c>
      <c r="L1162" t="s">
        <v>27</v>
      </c>
      <c r="M1162" s="1">
        <f t="shared" ca="1" si="36"/>
        <v>46204</v>
      </c>
      <c r="N1162">
        <f t="shared" ca="1" si="37"/>
        <v>1</v>
      </c>
    </row>
    <row r="1163" spans="1:14" x14ac:dyDescent="0.3">
      <c r="A1163" t="s">
        <v>3481</v>
      </c>
      <c r="B1163" t="s">
        <v>3482</v>
      </c>
      <c r="C1163" t="s">
        <v>124</v>
      </c>
      <c r="D1163" t="s">
        <v>73</v>
      </c>
      <c r="E1163" t="s">
        <v>52</v>
      </c>
      <c r="F1163">
        <v>11.35</v>
      </c>
      <c r="G1163" s="1">
        <v>45756</v>
      </c>
      <c r="H1163" s="1">
        <v>44077</v>
      </c>
      <c r="I1163" t="s">
        <v>3483</v>
      </c>
      <c r="J1163" t="s">
        <v>49</v>
      </c>
      <c r="K1163">
        <v>3</v>
      </c>
      <c r="L1163" t="s">
        <v>20</v>
      </c>
      <c r="M1163" s="1">
        <f t="shared" ca="1" si="36"/>
        <v>46204</v>
      </c>
      <c r="N1163">
        <f t="shared" ca="1" si="37"/>
        <v>1</v>
      </c>
    </row>
    <row r="1164" spans="1:14" x14ac:dyDescent="0.3">
      <c r="A1164" t="s">
        <v>3484</v>
      </c>
      <c r="B1164" t="s">
        <v>3485</v>
      </c>
      <c r="C1164" t="s">
        <v>34</v>
      </c>
      <c r="D1164" t="s">
        <v>69</v>
      </c>
      <c r="E1164" t="s">
        <v>30</v>
      </c>
      <c r="F1164">
        <v>5.78</v>
      </c>
      <c r="G1164" s="1">
        <v>45787</v>
      </c>
      <c r="H1164" s="1">
        <v>43375</v>
      </c>
      <c r="I1164" t="s">
        <v>3486</v>
      </c>
      <c r="J1164" t="s">
        <v>49</v>
      </c>
      <c r="K1164">
        <v>2</v>
      </c>
      <c r="L1164" t="s">
        <v>27</v>
      </c>
      <c r="M1164" s="1">
        <f t="shared" ca="1" si="36"/>
        <v>46204</v>
      </c>
      <c r="N1164">
        <f t="shared" ca="1" si="37"/>
        <v>1</v>
      </c>
    </row>
    <row r="1165" spans="1:14" x14ac:dyDescent="0.3">
      <c r="A1165" t="s">
        <v>3487</v>
      </c>
      <c r="B1165" t="s">
        <v>3488</v>
      </c>
      <c r="C1165" t="s">
        <v>60</v>
      </c>
      <c r="D1165" t="s">
        <v>16</v>
      </c>
      <c r="E1165" t="s">
        <v>52</v>
      </c>
      <c r="F1165">
        <v>22.25</v>
      </c>
      <c r="G1165" s="1">
        <v>45894</v>
      </c>
      <c r="H1165" s="1">
        <v>44970</v>
      </c>
      <c r="I1165" t="s">
        <v>3489</v>
      </c>
      <c r="J1165" t="s">
        <v>19</v>
      </c>
      <c r="K1165">
        <v>5</v>
      </c>
      <c r="L1165" t="s">
        <v>20</v>
      </c>
      <c r="M1165" s="1">
        <f t="shared" ca="1" si="36"/>
        <v>46204</v>
      </c>
      <c r="N1165">
        <f t="shared" ca="1" si="37"/>
        <v>1</v>
      </c>
    </row>
    <row r="1166" spans="1:14" x14ac:dyDescent="0.3">
      <c r="A1166" t="s">
        <v>3490</v>
      </c>
      <c r="B1166" t="s">
        <v>3491</v>
      </c>
      <c r="C1166" t="s">
        <v>15</v>
      </c>
      <c r="D1166" t="s">
        <v>69</v>
      </c>
      <c r="E1166" t="s">
        <v>52</v>
      </c>
      <c r="F1166">
        <v>38.409999999999997</v>
      </c>
      <c r="G1166" s="1">
        <v>45863</v>
      </c>
      <c r="H1166" s="1">
        <v>45439</v>
      </c>
      <c r="I1166" t="s">
        <v>3492</v>
      </c>
      <c r="J1166" t="s">
        <v>94</v>
      </c>
      <c r="K1166">
        <v>1</v>
      </c>
      <c r="L1166" t="s">
        <v>20</v>
      </c>
      <c r="M1166" s="1">
        <f t="shared" ca="1" si="36"/>
        <v>46204</v>
      </c>
      <c r="N1166">
        <f t="shared" ca="1" si="37"/>
        <v>1</v>
      </c>
    </row>
    <row r="1167" spans="1:14" x14ac:dyDescent="0.3">
      <c r="A1167" t="s">
        <v>3493</v>
      </c>
      <c r="B1167" t="s">
        <v>3494</v>
      </c>
      <c r="C1167" t="s">
        <v>23</v>
      </c>
      <c r="D1167" t="s">
        <v>56</v>
      </c>
      <c r="E1167" t="s">
        <v>52</v>
      </c>
      <c r="F1167">
        <v>23.28</v>
      </c>
      <c r="G1167" s="1">
        <v>45980</v>
      </c>
      <c r="H1167" s="1">
        <v>43359</v>
      </c>
      <c r="I1167" t="s">
        <v>3495</v>
      </c>
      <c r="J1167" t="s">
        <v>75</v>
      </c>
      <c r="K1167">
        <v>3</v>
      </c>
      <c r="L1167" t="s">
        <v>27</v>
      </c>
      <c r="M1167" s="1">
        <f t="shared" ca="1" si="36"/>
        <v>46204</v>
      </c>
      <c r="N1167">
        <f t="shared" ca="1" si="37"/>
        <v>1</v>
      </c>
    </row>
    <row r="1168" spans="1:14" x14ac:dyDescent="0.3">
      <c r="A1168" t="s">
        <v>3496</v>
      </c>
      <c r="B1168" t="s">
        <v>3497</v>
      </c>
      <c r="C1168" t="s">
        <v>34</v>
      </c>
      <c r="D1168" t="s">
        <v>40</v>
      </c>
      <c r="E1168" t="s">
        <v>30</v>
      </c>
      <c r="F1168">
        <v>8.77</v>
      </c>
      <c r="G1168" s="1">
        <v>45761</v>
      </c>
      <c r="H1168" s="1">
        <v>44745</v>
      </c>
      <c r="I1168" t="s">
        <v>3498</v>
      </c>
      <c r="J1168" t="s">
        <v>94</v>
      </c>
      <c r="K1168">
        <v>1</v>
      </c>
      <c r="L1168" t="s">
        <v>27</v>
      </c>
      <c r="M1168" s="1">
        <f t="shared" ca="1" si="36"/>
        <v>46204</v>
      </c>
      <c r="N1168">
        <f t="shared" ca="1" si="37"/>
        <v>1</v>
      </c>
    </row>
    <row r="1169" spans="1:14" x14ac:dyDescent="0.3">
      <c r="A1169" t="s">
        <v>3499</v>
      </c>
      <c r="B1169" t="s">
        <v>3500</v>
      </c>
      <c r="C1169" t="s">
        <v>15</v>
      </c>
      <c r="D1169" t="s">
        <v>40</v>
      </c>
      <c r="E1169" t="s">
        <v>17</v>
      </c>
      <c r="F1169">
        <v>34.24</v>
      </c>
      <c r="G1169" s="1">
        <v>45967</v>
      </c>
      <c r="H1169" s="1">
        <v>44758</v>
      </c>
      <c r="I1169" t="s">
        <v>3501</v>
      </c>
      <c r="J1169" t="s">
        <v>94</v>
      </c>
      <c r="K1169">
        <v>5</v>
      </c>
      <c r="L1169" t="s">
        <v>20</v>
      </c>
      <c r="M1169" s="1">
        <f t="shared" ca="1" si="36"/>
        <v>46204</v>
      </c>
      <c r="N1169">
        <f t="shared" ca="1" si="37"/>
        <v>1</v>
      </c>
    </row>
    <row r="1170" spans="1:14" x14ac:dyDescent="0.3">
      <c r="A1170" t="s">
        <v>3502</v>
      </c>
      <c r="B1170" t="s">
        <v>3503</v>
      </c>
      <c r="C1170" t="s">
        <v>124</v>
      </c>
      <c r="D1170" t="s">
        <v>73</v>
      </c>
      <c r="E1170" t="s">
        <v>17</v>
      </c>
      <c r="F1170">
        <v>23.62</v>
      </c>
      <c r="G1170" s="1">
        <v>45727</v>
      </c>
      <c r="H1170" s="1">
        <v>42818</v>
      </c>
      <c r="I1170" t="s">
        <v>3504</v>
      </c>
      <c r="J1170" t="s">
        <v>49</v>
      </c>
      <c r="K1170">
        <v>5</v>
      </c>
      <c r="L1170" t="s">
        <v>27</v>
      </c>
      <c r="M1170" s="1">
        <f t="shared" ca="1" si="36"/>
        <v>46204</v>
      </c>
      <c r="N1170">
        <f t="shared" ca="1" si="37"/>
        <v>1</v>
      </c>
    </row>
    <row r="1171" spans="1:14" x14ac:dyDescent="0.3">
      <c r="A1171" t="s">
        <v>3505</v>
      </c>
      <c r="B1171" t="s">
        <v>3506</v>
      </c>
      <c r="C1171" t="s">
        <v>124</v>
      </c>
      <c r="D1171" t="s">
        <v>35</v>
      </c>
      <c r="E1171" t="s">
        <v>30</v>
      </c>
      <c r="F1171">
        <v>37.46</v>
      </c>
      <c r="G1171" s="1">
        <v>45898</v>
      </c>
      <c r="H1171" s="1">
        <v>45023</v>
      </c>
      <c r="I1171" t="s">
        <v>3507</v>
      </c>
      <c r="J1171" t="s">
        <v>19</v>
      </c>
      <c r="K1171">
        <v>2</v>
      </c>
      <c r="L1171" t="s">
        <v>27</v>
      </c>
      <c r="M1171" s="1">
        <f t="shared" ca="1" si="36"/>
        <v>46204</v>
      </c>
      <c r="N1171">
        <f t="shared" ca="1" si="37"/>
        <v>1</v>
      </c>
    </row>
    <row r="1172" spans="1:14" x14ac:dyDescent="0.3">
      <c r="A1172" t="s">
        <v>3508</v>
      </c>
      <c r="B1172" t="s">
        <v>3509</v>
      </c>
      <c r="C1172" t="s">
        <v>47</v>
      </c>
      <c r="D1172" t="s">
        <v>73</v>
      </c>
      <c r="E1172" t="s">
        <v>24</v>
      </c>
      <c r="F1172">
        <v>29.14</v>
      </c>
      <c r="G1172" s="1">
        <v>45715</v>
      </c>
      <c r="H1172" s="1">
        <v>44245</v>
      </c>
      <c r="I1172" t="s">
        <v>3510</v>
      </c>
      <c r="J1172" t="s">
        <v>94</v>
      </c>
      <c r="K1172">
        <v>3</v>
      </c>
      <c r="L1172" t="s">
        <v>27</v>
      </c>
      <c r="M1172" s="1">
        <f t="shared" ca="1" si="36"/>
        <v>46204</v>
      </c>
      <c r="N1172">
        <f t="shared" ca="1" si="37"/>
        <v>1</v>
      </c>
    </row>
    <row r="1173" spans="1:14" x14ac:dyDescent="0.3">
      <c r="A1173" t="s">
        <v>3511</v>
      </c>
      <c r="B1173" t="s">
        <v>3512</v>
      </c>
      <c r="C1173" t="s">
        <v>47</v>
      </c>
      <c r="D1173" t="s">
        <v>73</v>
      </c>
      <c r="E1173" t="s">
        <v>30</v>
      </c>
      <c r="F1173">
        <v>19.489999999999998</v>
      </c>
      <c r="G1173" s="1">
        <v>46058</v>
      </c>
      <c r="H1173" s="1">
        <v>42342</v>
      </c>
      <c r="I1173" t="s">
        <v>3513</v>
      </c>
      <c r="J1173" t="s">
        <v>19</v>
      </c>
      <c r="K1173">
        <v>1</v>
      </c>
      <c r="L1173" t="s">
        <v>27</v>
      </c>
      <c r="M1173" s="1">
        <f t="shared" ca="1" si="36"/>
        <v>46204</v>
      </c>
      <c r="N1173">
        <f t="shared" ca="1" si="37"/>
        <v>1</v>
      </c>
    </row>
    <row r="1174" spans="1:14" x14ac:dyDescent="0.3">
      <c r="A1174" t="s">
        <v>3514</v>
      </c>
      <c r="B1174" t="s">
        <v>3515</v>
      </c>
      <c r="C1174" t="s">
        <v>47</v>
      </c>
      <c r="D1174" t="s">
        <v>73</v>
      </c>
      <c r="E1174" t="s">
        <v>24</v>
      </c>
      <c r="F1174">
        <v>12.53</v>
      </c>
      <c r="G1174" s="1">
        <v>45731</v>
      </c>
      <c r="H1174" s="1">
        <v>43270</v>
      </c>
      <c r="I1174" t="s">
        <v>3516</v>
      </c>
      <c r="J1174" t="s">
        <v>26</v>
      </c>
      <c r="K1174">
        <v>2</v>
      </c>
      <c r="L1174" t="s">
        <v>27</v>
      </c>
      <c r="M1174" s="1">
        <f t="shared" ca="1" si="36"/>
        <v>46204</v>
      </c>
      <c r="N1174">
        <f t="shared" ca="1" si="37"/>
        <v>1</v>
      </c>
    </row>
    <row r="1175" spans="1:14" x14ac:dyDescent="0.3">
      <c r="A1175" t="s">
        <v>3517</v>
      </c>
      <c r="B1175" t="s">
        <v>3518</v>
      </c>
      <c r="C1175" t="s">
        <v>23</v>
      </c>
      <c r="D1175" t="s">
        <v>56</v>
      </c>
      <c r="E1175" t="s">
        <v>30</v>
      </c>
      <c r="F1175">
        <v>11.47</v>
      </c>
      <c r="G1175" s="1">
        <v>46029</v>
      </c>
      <c r="H1175" s="1">
        <v>44691</v>
      </c>
      <c r="I1175" t="s">
        <v>3519</v>
      </c>
      <c r="J1175" t="s">
        <v>49</v>
      </c>
      <c r="K1175">
        <v>1</v>
      </c>
      <c r="L1175" t="s">
        <v>20</v>
      </c>
      <c r="M1175" s="1">
        <f t="shared" ca="1" si="36"/>
        <v>46204</v>
      </c>
      <c r="N1175">
        <f t="shared" ca="1" si="37"/>
        <v>1</v>
      </c>
    </row>
    <row r="1176" spans="1:14" x14ac:dyDescent="0.3">
      <c r="A1176" t="s">
        <v>3520</v>
      </c>
      <c r="B1176" t="s">
        <v>3521</v>
      </c>
      <c r="C1176" t="s">
        <v>124</v>
      </c>
      <c r="D1176" t="s">
        <v>35</v>
      </c>
      <c r="E1176" t="s">
        <v>52</v>
      </c>
      <c r="F1176">
        <v>24.85</v>
      </c>
      <c r="G1176" s="1">
        <v>45821</v>
      </c>
      <c r="H1176" s="1">
        <v>42486</v>
      </c>
      <c r="I1176" t="s">
        <v>3522</v>
      </c>
      <c r="J1176" t="s">
        <v>49</v>
      </c>
      <c r="K1176">
        <v>5</v>
      </c>
      <c r="L1176" t="s">
        <v>27</v>
      </c>
      <c r="M1176" s="1">
        <f t="shared" ca="1" si="36"/>
        <v>46204</v>
      </c>
      <c r="N1176">
        <f t="shared" ca="1" si="37"/>
        <v>1</v>
      </c>
    </row>
    <row r="1177" spans="1:14" x14ac:dyDescent="0.3">
      <c r="A1177" t="s">
        <v>3523</v>
      </c>
      <c r="B1177" t="s">
        <v>3524</v>
      </c>
      <c r="C1177" t="s">
        <v>23</v>
      </c>
      <c r="D1177" t="s">
        <v>56</v>
      </c>
      <c r="E1177" t="s">
        <v>30</v>
      </c>
      <c r="F1177">
        <v>12.34</v>
      </c>
      <c r="G1177" s="1">
        <v>45806</v>
      </c>
      <c r="H1177" s="1">
        <v>42248</v>
      </c>
      <c r="I1177" t="s">
        <v>3525</v>
      </c>
      <c r="J1177" t="s">
        <v>49</v>
      </c>
      <c r="K1177">
        <v>1</v>
      </c>
      <c r="L1177" t="s">
        <v>27</v>
      </c>
      <c r="M1177" s="1">
        <f t="shared" ca="1" si="36"/>
        <v>46204</v>
      </c>
      <c r="N1177">
        <f t="shared" ca="1" si="37"/>
        <v>1</v>
      </c>
    </row>
    <row r="1178" spans="1:14" x14ac:dyDescent="0.3">
      <c r="A1178" t="s">
        <v>3526</v>
      </c>
      <c r="B1178" t="s">
        <v>3527</v>
      </c>
      <c r="C1178" t="s">
        <v>60</v>
      </c>
      <c r="D1178" t="s">
        <v>16</v>
      </c>
      <c r="E1178" t="s">
        <v>17</v>
      </c>
      <c r="F1178">
        <v>31.6</v>
      </c>
      <c r="G1178" s="1">
        <v>45804</v>
      </c>
      <c r="H1178" s="1">
        <v>43650</v>
      </c>
      <c r="I1178" t="s">
        <v>3528</v>
      </c>
      <c r="J1178" t="s">
        <v>66</v>
      </c>
      <c r="K1178">
        <v>3</v>
      </c>
      <c r="L1178" t="s">
        <v>27</v>
      </c>
      <c r="M1178" s="1">
        <f t="shared" ca="1" si="36"/>
        <v>46204</v>
      </c>
      <c r="N1178">
        <f t="shared" ca="1" si="37"/>
        <v>1</v>
      </c>
    </row>
    <row r="1179" spans="1:14" x14ac:dyDescent="0.3">
      <c r="A1179" t="s">
        <v>3529</v>
      </c>
      <c r="B1179" t="s">
        <v>3530</v>
      </c>
      <c r="C1179" t="s">
        <v>34</v>
      </c>
      <c r="D1179" t="s">
        <v>73</v>
      </c>
      <c r="E1179" t="s">
        <v>24</v>
      </c>
      <c r="F1179">
        <v>15.75</v>
      </c>
      <c r="G1179" s="1">
        <v>46016</v>
      </c>
      <c r="H1179" s="1">
        <v>44745</v>
      </c>
      <c r="I1179" t="s">
        <v>3531</v>
      </c>
      <c r="J1179" t="s">
        <v>94</v>
      </c>
      <c r="K1179">
        <v>3</v>
      </c>
      <c r="L1179" t="s">
        <v>20</v>
      </c>
      <c r="M1179" s="1">
        <f t="shared" ca="1" si="36"/>
        <v>46204</v>
      </c>
      <c r="N1179">
        <f t="shared" ca="1" si="37"/>
        <v>1</v>
      </c>
    </row>
    <row r="1180" spans="1:14" x14ac:dyDescent="0.3">
      <c r="A1180" t="s">
        <v>3532</v>
      </c>
      <c r="B1180" t="s">
        <v>3533</v>
      </c>
      <c r="C1180" t="s">
        <v>64</v>
      </c>
      <c r="D1180" t="s">
        <v>40</v>
      </c>
      <c r="E1180" t="s">
        <v>30</v>
      </c>
      <c r="F1180">
        <v>37.39</v>
      </c>
      <c r="G1180" s="1">
        <v>46060</v>
      </c>
      <c r="H1180" s="1">
        <v>44270</v>
      </c>
      <c r="I1180" t="s">
        <v>3534</v>
      </c>
      <c r="J1180" t="s">
        <v>94</v>
      </c>
      <c r="K1180">
        <v>3</v>
      </c>
      <c r="L1180" t="s">
        <v>20</v>
      </c>
      <c r="M1180" s="1">
        <f t="shared" ca="1" si="36"/>
        <v>46204</v>
      </c>
      <c r="N1180">
        <f t="shared" ca="1" si="37"/>
        <v>1</v>
      </c>
    </row>
    <row r="1181" spans="1:14" x14ac:dyDescent="0.3">
      <c r="A1181" t="s">
        <v>3535</v>
      </c>
      <c r="B1181" t="s">
        <v>3536</v>
      </c>
      <c r="C1181" t="s">
        <v>34</v>
      </c>
      <c r="D1181" t="s">
        <v>40</v>
      </c>
      <c r="E1181" t="s">
        <v>24</v>
      </c>
      <c r="F1181">
        <v>25.29</v>
      </c>
      <c r="G1181" s="1">
        <v>45793</v>
      </c>
      <c r="H1181" s="1">
        <v>44529</v>
      </c>
      <c r="I1181" t="s">
        <v>3537</v>
      </c>
      <c r="J1181" t="s">
        <v>19</v>
      </c>
      <c r="K1181">
        <v>1</v>
      </c>
      <c r="L1181" t="s">
        <v>20</v>
      </c>
      <c r="M1181" s="1">
        <f t="shared" ca="1" si="36"/>
        <v>46204</v>
      </c>
      <c r="N1181">
        <f t="shared" ca="1" si="37"/>
        <v>1</v>
      </c>
    </row>
    <row r="1182" spans="1:14" x14ac:dyDescent="0.3">
      <c r="A1182" t="s">
        <v>3538</v>
      </c>
      <c r="B1182" t="s">
        <v>3539</v>
      </c>
      <c r="C1182" t="s">
        <v>47</v>
      </c>
      <c r="D1182" t="s">
        <v>56</v>
      </c>
      <c r="E1182" t="s">
        <v>17</v>
      </c>
      <c r="F1182">
        <v>7.54</v>
      </c>
      <c r="G1182" s="1">
        <v>45773</v>
      </c>
      <c r="H1182" s="1">
        <v>42321</v>
      </c>
      <c r="I1182" t="s">
        <v>3540</v>
      </c>
      <c r="J1182" t="s">
        <v>75</v>
      </c>
      <c r="K1182">
        <v>5</v>
      </c>
      <c r="L1182" t="s">
        <v>20</v>
      </c>
      <c r="M1182" s="1">
        <f t="shared" ca="1" si="36"/>
        <v>46204</v>
      </c>
      <c r="N1182">
        <f t="shared" ca="1" si="37"/>
        <v>1</v>
      </c>
    </row>
    <row r="1183" spans="1:14" x14ac:dyDescent="0.3">
      <c r="A1183" t="s">
        <v>3541</v>
      </c>
      <c r="B1183" t="s">
        <v>3542</v>
      </c>
      <c r="C1183" t="s">
        <v>47</v>
      </c>
      <c r="D1183" t="s">
        <v>69</v>
      </c>
      <c r="E1183" t="s">
        <v>52</v>
      </c>
      <c r="F1183">
        <v>21.98</v>
      </c>
      <c r="G1183" s="1">
        <v>45836</v>
      </c>
      <c r="H1183" s="1">
        <v>42254</v>
      </c>
      <c r="I1183" t="s">
        <v>3543</v>
      </c>
      <c r="J1183" t="s">
        <v>37</v>
      </c>
      <c r="K1183">
        <v>1</v>
      </c>
      <c r="L1183" t="s">
        <v>20</v>
      </c>
      <c r="M1183" s="1">
        <f t="shared" ca="1" si="36"/>
        <v>46204</v>
      </c>
      <c r="N1183">
        <f t="shared" ca="1" si="37"/>
        <v>1</v>
      </c>
    </row>
    <row r="1184" spans="1:14" x14ac:dyDescent="0.3">
      <c r="A1184" t="s">
        <v>3544</v>
      </c>
      <c r="B1184" t="s">
        <v>3545</v>
      </c>
      <c r="C1184" t="s">
        <v>124</v>
      </c>
      <c r="D1184" t="s">
        <v>35</v>
      </c>
      <c r="E1184" t="s">
        <v>24</v>
      </c>
      <c r="F1184">
        <v>18.11</v>
      </c>
      <c r="G1184" s="1">
        <v>45848</v>
      </c>
      <c r="H1184" s="1">
        <v>43750</v>
      </c>
      <c r="I1184" t="s">
        <v>3546</v>
      </c>
      <c r="J1184" t="s">
        <v>26</v>
      </c>
      <c r="K1184">
        <v>4</v>
      </c>
      <c r="L1184" t="s">
        <v>27</v>
      </c>
      <c r="M1184" s="1">
        <f t="shared" ca="1" si="36"/>
        <v>46204</v>
      </c>
      <c r="N1184">
        <f t="shared" ca="1" si="37"/>
        <v>1</v>
      </c>
    </row>
    <row r="1185" spans="1:14" x14ac:dyDescent="0.3">
      <c r="A1185" t="s">
        <v>3547</v>
      </c>
      <c r="B1185" t="s">
        <v>3548</v>
      </c>
      <c r="C1185" t="s">
        <v>124</v>
      </c>
      <c r="D1185" t="s">
        <v>16</v>
      </c>
      <c r="E1185" t="s">
        <v>17</v>
      </c>
      <c r="F1185">
        <v>20.350000000000001</v>
      </c>
      <c r="G1185" s="1">
        <v>45795</v>
      </c>
      <c r="H1185" s="1">
        <v>43665</v>
      </c>
      <c r="I1185" t="s">
        <v>3549</v>
      </c>
      <c r="J1185" t="s">
        <v>94</v>
      </c>
      <c r="K1185">
        <v>1</v>
      </c>
      <c r="L1185" t="s">
        <v>27</v>
      </c>
      <c r="M1185" s="1">
        <f t="shared" ca="1" si="36"/>
        <v>46204</v>
      </c>
      <c r="N1185">
        <f t="shared" ca="1" si="37"/>
        <v>1</v>
      </c>
    </row>
    <row r="1186" spans="1:14" x14ac:dyDescent="0.3">
      <c r="A1186" t="s">
        <v>3550</v>
      </c>
      <c r="B1186" t="s">
        <v>3551</v>
      </c>
      <c r="C1186" t="s">
        <v>60</v>
      </c>
      <c r="D1186" t="s">
        <v>73</v>
      </c>
      <c r="E1186" t="s">
        <v>52</v>
      </c>
      <c r="F1186">
        <v>17.37</v>
      </c>
      <c r="G1186" s="1">
        <v>46020</v>
      </c>
      <c r="H1186" s="1">
        <v>43930</v>
      </c>
      <c r="I1186" t="s">
        <v>3552</v>
      </c>
      <c r="J1186" t="s">
        <v>66</v>
      </c>
      <c r="K1186">
        <v>5</v>
      </c>
      <c r="L1186" t="s">
        <v>27</v>
      </c>
      <c r="M1186" s="1">
        <f t="shared" ca="1" si="36"/>
        <v>46204</v>
      </c>
      <c r="N1186">
        <f t="shared" ca="1" si="37"/>
        <v>1</v>
      </c>
    </row>
    <row r="1187" spans="1:14" x14ac:dyDescent="0.3">
      <c r="A1187" t="s">
        <v>3553</v>
      </c>
      <c r="B1187" t="s">
        <v>3554</v>
      </c>
      <c r="C1187" t="s">
        <v>64</v>
      </c>
      <c r="D1187" t="s">
        <v>56</v>
      </c>
      <c r="E1187" t="s">
        <v>52</v>
      </c>
      <c r="F1187">
        <v>36.049999999999997</v>
      </c>
      <c r="G1187" s="1">
        <v>45959</v>
      </c>
      <c r="H1187" s="1">
        <v>43977</v>
      </c>
      <c r="I1187" t="s">
        <v>3555</v>
      </c>
      <c r="J1187" t="s">
        <v>75</v>
      </c>
      <c r="K1187">
        <v>2</v>
      </c>
      <c r="L1187" t="s">
        <v>27</v>
      </c>
      <c r="M1187" s="1">
        <f t="shared" ca="1" si="36"/>
        <v>46204</v>
      </c>
      <c r="N1187">
        <f t="shared" ca="1" si="37"/>
        <v>1</v>
      </c>
    </row>
    <row r="1188" spans="1:14" x14ac:dyDescent="0.3">
      <c r="A1188" t="s">
        <v>3556</v>
      </c>
      <c r="B1188" t="s">
        <v>3557</v>
      </c>
      <c r="C1188" t="s">
        <v>124</v>
      </c>
      <c r="D1188" t="s">
        <v>69</v>
      </c>
      <c r="E1188" t="s">
        <v>24</v>
      </c>
      <c r="F1188">
        <v>18.75</v>
      </c>
      <c r="G1188" s="1">
        <v>46021</v>
      </c>
      <c r="H1188" s="1">
        <v>44517</v>
      </c>
      <c r="I1188" t="s">
        <v>3558</v>
      </c>
      <c r="J1188" t="s">
        <v>37</v>
      </c>
      <c r="K1188">
        <v>5</v>
      </c>
      <c r="L1188" t="s">
        <v>20</v>
      </c>
      <c r="M1188" s="1">
        <f t="shared" ca="1" si="36"/>
        <v>46204</v>
      </c>
      <c r="N1188">
        <f t="shared" ca="1" si="37"/>
        <v>1</v>
      </c>
    </row>
    <row r="1189" spans="1:14" x14ac:dyDescent="0.3">
      <c r="A1189" t="s">
        <v>3559</v>
      </c>
      <c r="B1189" t="s">
        <v>3560</v>
      </c>
      <c r="C1189" t="s">
        <v>47</v>
      </c>
      <c r="D1189" t="s">
        <v>40</v>
      </c>
      <c r="E1189" t="s">
        <v>52</v>
      </c>
      <c r="F1189">
        <v>17.670000000000002</v>
      </c>
      <c r="G1189" s="1">
        <v>45775</v>
      </c>
      <c r="H1189" s="1">
        <v>44183</v>
      </c>
      <c r="I1189" t="s">
        <v>3561</v>
      </c>
      <c r="J1189" t="s">
        <v>75</v>
      </c>
      <c r="K1189">
        <v>3</v>
      </c>
      <c r="L1189" t="s">
        <v>27</v>
      </c>
      <c r="M1189" s="1">
        <f t="shared" ca="1" si="36"/>
        <v>46204</v>
      </c>
      <c r="N1189">
        <f t="shared" ca="1" si="37"/>
        <v>1</v>
      </c>
    </row>
    <row r="1190" spans="1:14" x14ac:dyDescent="0.3">
      <c r="A1190" t="s">
        <v>3562</v>
      </c>
      <c r="B1190" t="s">
        <v>3563</v>
      </c>
      <c r="C1190" t="s">
        <v>64</v>
      </c>
      <c r="D1190" t="s">
        <v>73</v>
      </c>
      <c r="E1190" t="s">
        <v>30</v>
      </c>
      <c r="F1190">
        <v>19.010000000000002</v>
      </c>
      <c r="G1190" s="1">
        <v>46033</v>
      </c>
      <c r="H1190" s="1">
        <v>44865</v>
      </c>
      <c r="I1190" t="s">
        <v>3564</v>
      </c>
      <c r="J1190" t="s">
        <v>19</v>
      </c>
      <c r="K1190">
        <v>1</v>
      </c>
      <c r="L1190" t="s">
        <v>20</v>
      </c>
      <c r="M1190" s="1">
        <f t="shared" ca="1" si="36"/>
        <v>46204</v>
      </c>
      <c r="N1190">
        <f t="shared" ca="1" si="37"/>
        <v>1</v>
      </c>
    </row>
    <row r="1191" spans="1:14" x14ac:dyDescent="0.3">
      <c r="A1191" t="s">
        <v>3565</v>
      </c>
      <c r="B1191" t="s">
        <v>3566</v>
      </c>
      <c r="C1191" t="s">
        <v>23</v>
      </c>
      <c r="D1191" t="s">
        <v>40</v>
      </c>
      <c r="E1191" t="s">
        <v>30</v>
      </c>
      <c r="F1191">
        <v>9.33</v>
      </c>
      <c r="G1191" s="1">
        <v>45804</v>
      </c>
      <c r="H1191" s="1">
        <v>43898</v>
      </c>
      <c r="I1191" t="s">
        <v>3567</v>
      </c>
      <c r="J1191" t="s">
        <v>66</v>
      </c>
      <c r="K1191">
        <v>2</v>
      </c>
      <c r="L1191" t="s">
        <v>27</v>
      </c>
      <c r="M1191" s="1">
        <f t="shared" ca="1" si="36"/>
        <v>46204</v>
      </c>
      <c r="N1191">
        <f t="shared" ca="1" si="37"/>
        <v>1</v>
      </c>
    </row>
    <row r="1192" spans="1:14" x14ac:dyDescent="0.3">
      <c r="A1192" t="s">
        <v>3568</v>
      </c>
      <c r="B1192" t="s">
        <v>3569</v>
      </c>
      <c r="C1192" t="s">
        <v>34</v>
      </c>
      <c r="D1192" t="s">
        <v>40</v>
      </c>
      <c r="E1192" t="s">
        <v>17</v>
      </c>
      <c r="F1192">
        <v>36.299999999999997</v>
      </c>
      <c r="G1192" s="1">
        <v>45886</v>
      </c>
      <c r="H1192" s="1">
        <v>43386</v>
      </c>
      <c r="I1192" t="s">
        <v>3570</v>
      </c>
      <c r="J1192" t="s">
        <v>26</v>
      </c>
      <c r="K1192">
        <v>4</v>
      </c>
      <c r="L1192" t="s">
        <v>27</v>
      </c>
      <c r="M1192" s="1">
        <f t="shared" ca="1" si="36"/>
        <v>46204</v>
      </c>
      <c r="N1192">
        <f t="shared" ca="1" si="37"/>
        <v>1</v>
      </c>
    </row>
    <row r="1193" spans="1:14" x14ac:dyDescent="0.3">
      <c r="A1193" t="s">
        <v>3571</v>
      </c>
      <c r="B1193" t="s">
        <v>3572</v>
      </c>
      <c r="C1193" t="s">
        <v>23</v>
      </c>
      <c r="D1193" t="s">
        <v>16</v>
      </c>
      <c r="E1193" t="s">
        <v>30</v>
      </c>
      <c r="F1193">
        <v>29.2</v>
      </c>
      <c r="G1193" s="1">
        <v>45968</v>
      </c>
      <c r="H1193" s="1">
        <v>42419</v>
      </c>
      <c r="I1193" t="s">
        <v>3573</v>
      </c>
      <c r="J1193" t="s">
        <v>49</v>
      </c>
      <c r="K1193">
        <v>5</v>
      </c>
      <c r="L1193" t="s">
        <v>20</v>
      </c>
      <c r="M1193" s="1">
        <f t="shared" ca="1" si="36"/>
        <v>46204</v>
      </c>
      <c r="N1193">
        <f t="shared" ca="1" si="37"/>
        <v>1</v>
      </c>
    </row>
    <row r="1194" spans="1:14" x14ac:dyDescent="0.3">
      <c r="A1194" t="s">
        <v>3574</v>
      </c>
      <c r="B1194" t="s">
        <v>3575</v>
      </c>
      <c r="C1194" t="s">
        <v>60</v>
      </c>
      <c r="D1194" t="s">
        <v>69</v>
      </c>
      <c r="E1194" t="s">
        <v>52</v>
      </c>
      <c r="F1194">
        <v>28.73</v>
      </c>
      <c r="G1194" s="1">
        <v>45977</v>
      </c>
      <c r="H1194" s="1">
        <v>42572</v>
      </c>
      <c r="I1194" t="s">
        <v>3576</v>
      </c>
      <c r="J1194" t="s">
        <v>75</v>
      </c>
      <c r="K1194">
        <v>5</v>
      </c>
      <c r="L1194" t="s">
        <v>20</v>
      </c>
      <c r="M1194" s="1">
        <f t="shared" ca="1" si="36"/>
        <v>46204</v>
      </c>
      <c r="N1194">
        <f t="shared" ca="1" si="37"/>
        <v>1</v>
      </c>
    </row>
    <row r="1195" spans="1:14" x14ac:dyDescent="0.3">
      <c r="A1195" t="s">
        <v>3577</v>
      </c>
      <c r="B1195" t="s">
        <v>3578</v>
      </c>
      <c r="C1195" t="s">
        <v>124</v>
      </c>
      <c r="D1195" t="s">
        <v>69</v>
      </c>
      <c r="E1195" t="s">
        <v>30</v>
      </c>
      <c r="F1195">
        <v>18.34</v>
      </c>
      <c r="G1195" s="1">
        <v>45932</v>
      </c>
      <c r="H1195" s="1">
        <v>44166</v>
      </c>
      <c r="I1195" t="s">
        <v>3579</v>
      </c>
      <c r="J1195" t="s">
        <v>49</v>
      </c>
      <c r="K1195">
        <v>2</v>
      </c>
      <c r="L1195" t="s">
        <v>20</v>
      </c>
      <c r="M1195" s="1">
        <f t="shared" ca="1" si="36"/>
        <v>46204</v>
      </c>
      <c r="N1195">
        <f t="shared" ca="1" si="37"/>
        <v>1</v>
      </c>
    </row>
    <row r="1196" spans="1:14" x14ac:dyDescent="0.3">
      <c r="A1196" t="s">
        <v>3580</v>
      </c>
      <c r="B1196" t="s">
        <v>3581</v>
      </c>
      <c r="C1196" t="s">
        <v>60</v>
      </c>
      <c r="D1196" t="s">
        <v>16</v>
      </c>
      <c r="E1196" t="s">
        <v>17</v>
      </c>
      <c r="F1196">
        <v>39.94</v>
      </c>
      <c r="G1196" s="1">
        <v>45746</v>
      </c>
      <c r="H1196" s="1">
        <v>45372</v>
      </c>
      <c r="I1196" t="s">
        <v>3582</v>
      </c>
      <c r="J1196" t="s">
        <v>19</v>
      </c>
      <c r="K1196">
        <v>3</v>
      </c>
      <c r="L1196" t="s">
        <v>20</v>
      </c>
      <c r="M1196" s="1">
        <f t="shared" ca="1" si="36"/>
        <v>46204</v>
      </c>
      <c r="N1196">
        <f t="shared" ca="1" si="37"/>
        <v>1</v>
      </c>
    </row>
    <row r="1197" spans="1:14" x14ac:dyDescent="0.3">
      <c r="A1197" t="s">
        <v>3583</v>
      </c>
      <c r="B1197" t="s">
        <v>3584</v>
      </c>
      <c r="C1197" t="s">
        <v>47</v>
      </c>
      <c r="D1197" t="s">
        <v>35</v>
      </c>
      <c r="E1197" t="s">
        <v>17</v>
      </c>
      <c r="F1197">
        <v>6</v>
      </c>
      <c r="G1197" s="1">
        <v>45758</v>
      </c>
      <c r="H1197" s="1">
        <v>42425</v>
      </c>
      <c r="I1197" t="s">
        <v>3585</v>
      </c>
      <c r="J1197" t="s">
        <v>75</v>
      </c>
      <c r="K1197">
        <v>2</v>
      </c>
      <c r="L1197" t="s">
        <v>27</v>
      </c>
      <c r="M1197" s="1">
        <f t="shared" ca="1" si="36"/>
        <v>46204</v>
      </c>
      <c r="N1197">
        <f t="shared" ca="1" si="37"/>
        <v>1</v>
      </c>
    </row>
    <row r="1198" spans="1:14" x14ac:dyDescent="0.3">
      <c r="A1198" t="s">
        <v>3586</v>
      </c>
      <c r="B1198" t="s">
        <v>3587</v>
      </c>
      <c r="C1198" t="s">
        <v>124</v>
      </c>
      <c r="D1198" t="s">
        <v>16</v>
      </c>
      <c r="E1198" t="s">
        <v>30</v>
      </c>
      <c r="F1198">
        <v>12.17</v>
      </c>
      <c r="G1198" s="1">
        <v>45789</v>
      </c>
      <c r="H1198" s="1">
        <v>44490</v>
      </c>
      <c r="I1198" t="s">
        <v>3588</v>
      </c>
      <c r="J1198" t="s">
        <v>94</v>
      </c>
      <c r="K1198">
        <v>4</v>
      </c>
      <c r="L1198" t="s">
        <v>27</v>
      </c>
      <c r="M1198" s="1">
        <f t="shared" ca="1" si="36"/>
        <v>46204</v>
      </c>
      <c r="N1198">
        <f t="shared" ca="1" si="37"/>
        <v>1</v>
      </c>
    </row>
    <row r="1199" spans="1:14" x14ac:dyDescent="0.3">
      <c r="A1199" t="s">
        <v>3589</v>
      </c>
      <c r="B1199" t="s">
        <v>3590</v>
      </c>
      <c r="C1199" t="s">
        <v>64</v>
      </c>
      <c r="D1199" t="s">
        <v>73</v>
      </c>
      <c r="E1199" t="s">
        <v>24</v>
      </c>
      <c r="F1199">
        <v>38.18</v>
      </c>
      <c r="G1199" s="1">
        <v>45876</v>
      </c>
      <c r="H1199" s="1">
        <v>44036</v>
      </c>
      <c r="I1199" t="s">
        <v>3591</v>
      </c>
      <c r="J1199" t="s">
        <v>94</v>
      </c>
      <c r="K1199">
        <v>3</v>
      </c>
      <c r="L1199" t="s">
        <v>27</v>
      </c>
      <c r="M1199" s="1">
        <f t="shared" ca="1" si="36"/>
        <v>46204</v>
      </c>
      <c r="N1199">
        <f t="shared" ca="1" si="37"/>
        <v>1</v>
      </c>
    </row>
    <row r="1200" spans="1:14" x14ac:dyDescent="0.3">
      <c r="A1200" t="s">
        <v>3592</v>
      </c>
      <c r="B1200" t="s">
        <v>3593</v>
      </c>
      <c r="C1200" t="s">
        <v>47</v>
      </c>
      <c r="D1200" t="s">
        <v>69</v>
      </c>
      <c r="E1200" t="s">
        <v>30</v>
      </c>
      <c r="F1200">
        <v>11.39</v>
      </c>
      <c r="G1200" s="1">
        <v>45983</v>
      </c>
      <c r="H1200" s="1">
        <v>42599</v>
      </c>
      <c r="I1200" t="s">
        <v>3594</v>
      </c>
      <c r="J1200" t="s">
        <v>26</v>
      </c>
      <c r="K1200">
        <v>5</v>
      </c>
      <c r="L1200" t="s">
        <v>27</v>
      </c>
      <c r="M1200" s="1">
        <f t="shared" ca="1" si="36"/>
        <v>46204</v>
      </c>
      <c r="N1200">
        <f t="shared" ca="1" si="37"/>
        <v>1</v>
      </c>
    </row>
    <row r="1201" spans="1:14" x14ac:dyDescent="0.3">
      <c r="A1201" t="s">
        <v>3595</v>
      </c>
      <c r="B1201" t="s">
        <v>3596</v>
      </c>
      <c r="C1201" t="s">
        <v>34</v>
      </c>
      <c r="D1201" t="s">
        <v>73</v>
      </c>
      <c r="E1201" t="s">
        <v>30</v>
      </c>
      <c r="F1201">
        <v>13.64</v>
      </c>
      <c r="G1201" s="1">
        <v>45921</v>
      </c>
      <c r="H1201" s="1">
        <v>44114</v>
      </c>
      <c r="I1201" t="s">
        <v>3597</v>
      </c>
      <c r="J1201" t="s">
        <v>37</v>
      </c>
      <c r="K1201">
        <v>3</v>
      </c>
      <c r="L1201" t="s">
        <v>27</v>
      </c>
      <c r="M1201" s="1">
        <f t="shared" ca="1" si="36"/>
        <v>46204</v>
      </c>
      <c r="N1201">
        <f t="shared" ca="1" si="37"/>
        <v>1</v>
      </c>
    </row>
    <row r="1202" spans="1:14" x14ac:dyDescent="0.3">
      <c r="A1202" t="s">
        <v>3598</v>
      </c>
      <c r="B1202" t="s">
        <v>3599</v>
      </c>
      <c r="C1202" t="s">
        <v>23</v>
      </c>
      <c r="D1202" t="s">
        <v>35</v>
      </c>
      <c r="E1202" t="s">
        <v>52</v>
      </c>
      <c r="F1202">
        <v>14.22</v>
      </c>
      <c r="G1202" s="1">
        <v>45939</v>
      </c>
      <c r="H1202" s="1">
        <v>44175</v>
      </c>
      <c r="I1202" t="s">
        <v>3600</v>
      </c>
      <c r="J1202" t="s">
        <v>49</v>
      </c>
      <c r="K1202">
        <v>4</v>
      </c>
      <c r="L1202" t="s">
        <v>27</v>
      </c>
      <c r="M1202" s="1">
        <f t="shared" ca="1" si="36"/>
        <v>46204</v>
      </c>
      <c r="N1202">
        <f t="shared" ca="1" si="37"/>
        <v>1</v>
      </c>
    </row>
    <row r="1203" spans="1:14" x14ac:dyDescent="0.3">
      <c r="A1203" t="s">
        <v>3601</v>
      </c>
      <c r="B1203" t="s">
        <v>3602</v>
      </c>
      <c r="C1203" t="s">
        <v>124</v>
      </c>
      <c r="D1203" t="s">
        <v>73</v>
      </c>
      <c r="E1203" t="s">
        <v>24</v>
      </c>
      <c r="F1203">
        <v>15.19</v>
      </c>
      <c r="G1203" s="1">
        <v>45983</v>
      </c>
      <c r="H1203" s="1">
        <v>42447</v>
      </c>
      <c r="I1203" t="s">
        <v>3603</v>
      </c>
      <c r="J1203" t="s">
        <v>37</v>
      </c>
      <c r="K1203">
        <v>1</v>
      </c>
      <c r="L1203" t="s">
        <v>20</v>
      </c>
      <c r="M1203" s="1">
        <f t="shared" ca="1" si="36"/>
        <v>46204</v>
      </c>
      <c r="N1203">
        <f t="shared" ca="1" si="37"/>
        <v>1</v>
      </c>
    </row>
    <row r="1204" spans="1:14" x14ac:dyDescent="0.3">
      <c r="A1204" t="s">
        <v>3604</v>
      </c>
      <c r="B1204" t="s">
        <v>3605</v>
      </c>
      <c r="C1204" t="s">
        <v>34</v>
      </c>
      <c r="D1204" t="s">
        <v>73</v>
      </c>
      <c r="E1204" t="s">
        <v>24</v>
      </c>
      <c r="F1204">
        <v>8.8000000000000007</v>
      </c>
      <c r="G1204" s="1">
        <v>46031</v>
      </c>
      <c r="H1204" s="1">
        <v>44589</v>
      </c>
      <c r="I1204" t="s">
        <v>3606</v>
      </c>
      <c r="J1204" t="s">
        <v>75</v>
      </c>
      <c r="K1204">
        <v>4</v>
      </c>
      <c r="L1204" t="s">
        <v>20</v>
      </c>
      <c r="M1204" s="1">
        <f t="shared" ca="1" si="36"/>
        <v>46204</v>
      </c>
      <c r="N1204">
        <f t="shared" ca="1" si="37"/>
        <v>1</v>
      </c>
    </row>
    <row r="1205" spans="1:14" x14ac:dyDescent="0.3">
      <c r="A1205" t="s">
        <v>3607</v>
      </c>
      <c r="B1205" t="s">
        <v>3608</v>
      </c>
      <c r="C1205" t="s">
        <v>34</v>
      </c>
      <c r="D1205" t="s">
        <v>69</v>
      </c>
      <c r="E1205" t="s">
        <v>17</v>
      </c>
      <c r="F1205">
        <v>12.61</v>
      </c>
      <c r="G1205" s="1">
        <v>45911</v>
      </c>
      <c r="H1205" s="1">
        <v>43486</v>
      </c>
      <c r="I1205" t="s">
        <v>3609</v>
      </c>
      <c r="J1205" t="s">
        <v>49</v>
      </c>
      <c r="K1205">
        <v>2</v>
      </c>
      <c r="L1205" t="s">
        <v>27</v>
      </c>
      <c r="M1205" s="1">
        <f t="shared" ca="1" si="36"/>
        <v>46204</v>
      </c>
      <c r="N1205">
        <f t="shared" ca="1" si="37"/>
        <v>1</v>
      </c>
    </row>
    <row r="1206" spans="1:14" x14ac:dyDescent="0.3">
      <c r="A1206" t="s">
        <v>3610</v>
      </c>
      <c r="B1206" t="s">
        <v>3611</v>
      </c>
      <c r="C1206" t="s">
        <v>47</v>
      </c>
      <c r="D1206" t="s">
        <v>35</v>
      </c>
      <c r="E1206" t="s">
        <v>30</v>
      </c>
      <c r="F1206">
        <v>2.56</v>
      </c>
      <c r="G1206" s="1">
        <v>45799</v>
      </c>
      <c r="H1206" s="1">
        <v>42555</v>
      </c>
      <c r="I1206" t="s">
        <v>3612</v>
      </c>
      <c r="J1206" t="s">
        <v>49</v>
      </c>
      <c r="K1206">
        <v>4</v>
      </c>
      <c r="L1206" t="s">
        <v>27</v>
      </c>
      <c r="M1206" s="1">
        <f t="shared" ca="1" si="36"/>
        <v>46204</v>
      </c>
      <c r="N1206">
        <f t="shared" ca="1" si="37"/>
        <v>1</v>
      </c>
    </row>
    <row r="1207" spans="1:14" x14ac:dyDescent="0.3">
      <c r="A1207" t="s">
        <v>3613</v>
      </c>
      <c r="B1207" t="s">
        <v>3614</v>
      </c>
      <c r="C1207" t="s">
        <v>23</v>
      </c>
      <c r="D1207" t="s">
        <v>56</v>
      </c>
      <c r="E1207" t="s">
        <v>52</v>
      </c>
      <c r="F1207">
        <v>35.71</v>
      </c>
      <c r="G1207" s="1">
        <v>46057</v>
      </c>
      <c r="H1207" s="1">
        <v>44676</v>
      </c>
      <c r="I1207" t="s">
        <v>3615</v>
      </c>
      <c r="J1207" t="s">
        <v>26</v>
      </c>
      <c r="K1207">
        <v>1</v>
      </c>
      <c r="L1207" t="s">
        <v>20</v>
      </c>
      <c r="M1207" s="1">
        <f t="shared" ca="1" si="36"/>
        <v>46204</v>
      </c>
      <c r="N1207">
        <f t="shared" ca="1" si="37"/>
        <v>1</v>
      </c>
    </row>
    <row r="1208" spans="1:14" x14ac:dyDescent="0.3">
      <c r="A1208" t="s">
        <v>3616</v>
      </c>
      <c r="B1208" t="s">
        <v>3617</v>
      </c>
      <c r="C1208" t="s">
        <v>124</v>
      </c>
      <c r="D1208" t="s">
        <v>73</v>
      </c>
      <c r="E1208" t="s">
        <v>17</v>
      </c>
      <c r="F1208">
        <v>35.03</v>
      </c>
      <c r="G1208" s="1">
        <v>45794</v>
      </c>
      <c r="H1208" s="1">
        <v>43236</v>
      </c>
      <c r="I1208" t="s">
        <v>3618</v>
      </c>
      <c r="J1208" t="s">
        <v>94</v>
      </c>
      <c r="K1208">
        <v>3</v>
      </c>
      <c r="L1208" t="s">
        <v>20</v>
      </c>
      <c r="M1208" s="1">
        <f t="shared" ca="1" si="36"/>
        <v>46204</v>
      </c>
      <c r="N1208">
        <f t="shared" ca="1" si="37"/>
        <v>1</v>
      </c>
    </row>
    <row r="1209" spans="1:14" x14ac:dyDescent="0.3">
      <c r="A1209" t="s">
        <v>3619</v>
      </c>
      <c r="B1209" t="s">
        <v>3620</v>
      </c>
      <c r="C1209" t="s">
        <v>64</v>
      </c>
      <c r="D1209" t="s">
        <v>35</v>
      </c>
      <c r="E1209" t="s">
        <v>24</v>
      </c>
      <c r="F1209">
        <v>27.18</v>
      </c>
      <c r="G1209" s="1">
        <v>45907</v>
      </c>
      <c r="H1209" s="1">
        <v>42352</v>
      </c>
      <c r="I1209" t="s">
        <v>3621</v>
      </c>
      <c r="J1209" t="s">
        <v>66</v>
      </c>
      <c r="K1209">
        <v>2</v>
      </c>
      <c r="L1209" t="s">
        <v>20</v>
      </c>
      <c r="M1209" s="1">
        <f t="shared" ca="1" si="36"/>
        <v>46204</v>
      </c>
      <c r="N1209">
        <f t="shared" ca="1" si="37"/>
        <v>1</v>
      </c>
    </row>
    <row r="1210" spans="1:14" x14ac:dyDescent="0.3">
      <c r="A1210" t="s">
        <v>3622</v>
      </c>
      <c r="B1210" t="s">
        <v>3623</v>
      </c>
      <c r="C1210" t="s">
        <v>23</v>
      </c>
      <c r="D1210" t="s">
        <v>56</v>
      </c>
      <c r="E1210" t="s">
        <v>52</v>
      </c>
      <c r="F1210">
        <v>20.12</v>
      </c>
      <c r="G1210" s="1">
        <v>46057</v>
      </c>
      <c r="H1210" s="1">
        <v>42440</v>
      </c>
      <c r="I1210" t="s">
        <v>3624</v>
      </c>
      <c r="J1210" t="s">
        <v>37</v>
      </c>
      <c r="K1210">
        <v>5</v>
      </c>
      <c r="L1210" t="s">
        <v>20</v>
      </c>
      <c r="M1210" s="1">
        <f t="shared" ca="1" si="36"/>
        <v>46204</v>
      </c>
      <c r="N1210">
        <f t="shared" ca="1" si="37"/>
        <v>1</v>
      </c>
    </row>
    <row r="1211" spans="1:14" x14ac:dyDescent="0.3">
      <c r="A1211" t="s">
        <v>3625</v>
      </c>
      <c r="B1211" t="s">
        <v>3626</v>
      </c>
      <c r="C1211" t="s">
        <v>23</v>
      </c>
      <c r="D1211" t="s">
        <v>40</v>
      </c>
      <c r="E1211" t="s">
        <v>17</v>
      </c>
      <c r="F1211">
        <v>24.36</v>
      </c>
      <c r="G1211" s="1">
        <v>45953</v>
      </c>
      <c r="H1211" s="1">
        <v>44822</v>
      </c>
      <c r="I1211" t="s">
        <v>3627</v>
      </c>
      <c r="J1211" t="s">
        <v>49</v>
      </c>
      <c r="K1211">
        <v>1</v>
      </c>
      <c r="L1211" t="s">
        <v>20</v>
      </c>
      <c r="M1211" s="1">
        <f t="shared" ca="1" si="36"/>
        <v>46204</v>
      </c>
      <c r="N1211">
        <f t="shared" ca="1" si="37"/>
        <v>1</v>
      </c>
    </row>
    <row r="1212" spans="1:14" x14ac:dyDescent="0.3">
      <c r="A1212" t="s">
        <v>3628</v>
      </c>
      <c r="B1212" t="s">
        <v>3629</v>
      </c>
      <c r="C1212" t="s">
        <v>47</v>
      </c>
      <c r="D1212" t="s">
        <v>69</v>
      </c>
      <c r="E1212" t="s">
        <v>17</v>
      </c>
      <c r="F1212">
        <v>5.62</v>
      </c>
      <c r="G1212" s="1">
        <v>45778</v>
      </c>
      <c r="H1212" s="1">
        <v>43142</v>
      </c>
      <c r="I1212" t="s">
        <v>3630</v>
      </c>
      <c r="J1212" t="s">
        <v>19</v>
      </c>
      <c r="K1212">
        <v>4</v>
      </c>
      <c r="L1212" t="s">
        <v>27</v>
      </c>
      <c r="M1212" s="1">
        <f t="shared" ca="1" si="36"/>
        <v>46204</v>
      </c>
      <c r="N1212">
        <f t="shared" ca="1" si="37"/>
        <v>1</v>
      </c>
    </row>
    <row r="1213" spans="1:14" x14ac:dyDescent="0.3">
      <c r="A1213" t="s">
        <v>3631</v>
      </c>
      <c r="B1213" t="s">
        <v>3632</v>
      </c>
      <c r="C1213" t="s">
        <v>124</v>
      </c>
      <c r="D1213" t="s">
        <v>73</v>
      </c>
      <c r="E1213" t="s">
        <v>24</v>
      </c>
      <c r="F1213">
        <v>3.74</v>
      </c>
      <c r="G1213" s="1">
        <v>45943</v>
      </c>
      <c r="H1213" s="1">
        <v>43309</v>
      </c>
      <c r="I1213" t="s">
        <v>1100</v>
      </c>
      <c r="J1213" t="s">
        <v>26</v>
      </c>
      <c r="K1213">
        <v>3</v>
      </c>
      <c r="L1213" t="s">
        <v>20</v>
      </c>
      <c r="M1213" s="1">
        <f t="shared" ca="1" si="36"/>
        <v>46204</v>
      </c>
      <c r="N1213">
        <f t="shared" ca="1" si="37"/>
        <v>1</v>
      </c>
    </row>
    <row r="1214" spans="1:14" x14ac:dyDescent="0.3">
      <c r="A1214" t="s">
        <v>3633</v>
      </c>
      <c r="B1214" t="s">
        <v>3634</v>
      </c>
      <c r="C1214" t="s">
        <v>64</v>
      </c>
      <c r="D1214" t="s">
        <v>73</v>
      </c>
      <c r="E1214" t="s">
        <v>24</v>
      </c>
      <c r="F1214">
        <v>13.7</v>
      </c>
      <c r="G1214" s="1">
        <v>45705</v>
      </c>
      <c r="H1214" s="1">
        <v>42343</v>
      </c>
      <c r="I1214" t="s">
        <v>3635</v>
      </c>
      <c r="J1214" t="s">
        <v>19</v>
      </c>
      <c r="K1214">
        <v>5</v>
      </c>
      <c r="L1214" t="s">
        <v>20</v>
      </c>
      <c r="M1214" s="1">
        <f t="shared" ca="1" si="36"/>
        <v>46204</v>
      </c>
      <c r="N1214">
        <f t="shared" ca="1" si="37"/>
        <v>1</v>
      </c>
    </row>
    <row r="1215" spans="1:14" x14ac:dyDescent="0.3">
      <c r="A1215" t="s">
        <v>3636</v>
      </c>
      <c r="B1215" t="s">
        <v>3637</v>
      </c>
      <c r="C1215" t="s">
        <v>23</v>
      </c>
      <c r="D1215" t="s">
        <v>40</v>
      </c>
      <c r="E1215" t="s">
        <v>52</v>
      </c>
      <c r="F1215">
        <v>34.72</v>
      </c>
      <c r="G1215" s="1">
        <v>45998</v>
      </c>
      <c r="H1215" s="1">
        <v>44224</v>
      </c>
      <c r="I1215" t="s">
        <v>3638</v>
      </c>
      <c r="J1215" t="s">
        <v>94</v>
      </c>
      <c r="K1215">
        <v>1</v>
      </c>
      <c r="L1215" t="s">
        <v>27</v>
      </c>
      <c r="M1215" s="1">
        <f t="shared" ca="1" si="36"/>
        <v>46204</v>
      </c>
      <c r="N1215">
        <f t="shared" ca="1" si="37"/>
        <v>1</v>
      </c>
    </row>
    <row r="1216" spans="1:14" x14ac:dyDescent="0.3">
      <c r="A1216" t="s">
        <v>3639</v>
      </c>
      <c r="B1216" t="s">
        <v>3640</v>
      </c>
      <c r="C1216" t="s">
        <v>34</v>
      </c>
      <c r="D1216" t="s">
        <v>69</v>
      </c>
      <c r="E1216" t="s">
        <v>30</v>
      </c>
      <c r="F1216">
        <v>29.46</v>
      </c>
      <c r="G1216" s="1">
        <v>46063</v>
      </c>
      <c r="H1216" s="1">
        <v>44752</v>
      </c>
      <c r="I1216" t="s">
        <v>3641</v>
      </c>
      <c r="J1216" t="s">
        <v>94</v>
      </c>
      <c r="K1216">
        <v>3</v>
      </c>
      <c r="L1216" t="s">
        <v>27</v>
      </c>
      <c r="M1216" s="1">
        <f t="shared" ca="1" si="36"/>
        <v>46204</v>
      </c>
      <c r="N1216">
        <f t="shared" ca="1" si="37"/>
        <v>1</v>
      </c>
    </row>
    <row r="1217" spans="1:14" x14ac:dyDescent="0.3">
      <c r="A1217" t="s">
        <v>3642</v>
      </c>
      <c r="B1217" t="s">
        <v>3643</v>
      </c>
      <c r="C1217" t="s">
        <v>34</v>
      </c>
      <c r="D1217" t="s">
        <v>69</v>
      </c>
      <c r="E1217" t="s">
        <v>52</v>
      </c>
      <c r="F1217">
        <v>21.02</v>
      </c>
      <c r="G1217" s="1">
        <v>45852</v>
      </c>
      <c r="H1217" s="1">
        <v>42296</v>
      </c>
      <c r="I1217" t="s">
        <v>3644</v>
      </c>
      <c r="J1217" t="s">
        <v>37</v>
      </c>
      <c r="K1217">
        <v>1</v>
      </c>
      <c r="L1217" t="s">
        <v>27</v>
      </c>
      <c r="M1217" s="1">
        <f t="shared" ca="1" si="36"/>
        <v>46204</v>
      </c>
      <c r="N1217">
        <f t="shared" ca="1" si="37"/>
        <v>1</v>
      </c>
    </row>
    <row r="1218" spans="1:14" x14ac:dyDescent="0.3">
      <c r="A1218" t="s">
        <v>3645</v>
      </c>
      <c r="B1218" t="s">
        <v>3646</v>
      </c>
      <c r="C1218" t="s">
        <v>60</v>
      </c>
      <c r="D1218" t="s">
        <v>73</v>
      </c>
      <c r="E1218" t="s">
        <v>24</v>
      </c>
      <c r="F1218">
        <v>21.51</v>
      </c>
      <c r="G1218" s="1">
        <v>45938</v>
      </c>
      <c r="H1218" s="1">
        <v>44284</v>
      </c>
      <c r="I1218" t="s">
        <v>3647</v>
      </c>
      <c r="J1218" t="s">
        <v>75</v>
      </c>
      <c r="K1218">
        <v>4</v>
      </c>
      <c r="L1218" t="s">
        <v>20</v>
      </c>
      <c r="M1218" s="1">
        <f t="shared" ca="1" si="36"/>
        <v>46204</v>
      </c>
      <c r="N1218">
        <f t="shared" ca="1" si="37"/>
        <v>1</v>
      </c>
    </row>
    <row r="1219" spans="1:14" x14ac:dyDescent="0.3">
      <c r="A1219" t="s">
        <v>3648</v>
      </c>
      <c r="B1219" t="s">
        <v>3649</v>
      </c>
      <c r="C1219" t="s">
        <v>60</v>
      </c>
      <c r="D1219" t="s">
        <v>69</v>
      </c>
      <c r="E1219" t="s">
        <v>17</v>
      </c>
      <c r="F1219">
        <v>23.25</v>
      </c>
      <c r="G1219" s="1">
        <v>46022</v>
      </c>
      <c r="H1219" s="1">
        <v>45410</v>
      </c>
      <c r="I1219" t="s">
        <v>3650</v>
      </c>
      <c r="J1219" t="s">
        <v>19</v>
      </c>
      <c r="K1219">
        <v>3</v>
      </c>
      <c r="L1219" t="s">
        <v>27</v>
      </c>
      <c r="M1219" s="1">
        <f t="shared" ref="M1219:M1282" ca="1" si="38">TODAY()</f>
        <v>46204</v>
      </c>
      <c r="N1219">
        <f t="shared" ref="N1219:N1282" ca="1" si="39">IF(G1219&lt;M1219,1,0)</f>
        <v>1</v>
      </c>
    </row>
    <row r="1220" spans="1:14" x14ac:dyDescent="0.3">
      <c r="A1220" t="s">
        <v>3651</v>
      </c>
      <c r="B1220" t="s">
        <v>3652</v>
      </c>
      <c r="C1220" t="s">
        <v>64</v>
      </c>
      <c r="D1220" t="s">
        <v>56</v>
      </c>
      <c r="E1220" t="s">
        <v>30</v>
      </c>
      <c r="F1220">
        <v>35.94</v>
      </c>
      <c r="G1220" s="1">
        <v>46007</v>
      </c>
      <c r="H1220" s="1">
        <v>42475</v>
      </c>
      <c r="I1220" t="s">
        <v>3653</v>
      </c>
      <c r="J1220" t="s">
        <v>66</v>
      </c>
      <c r="K1220">
        <v>2</v>
      </c>
      <c r="L1220" t="s">
        <v>27</v>
      </c>
      <c r="M1220" s="1">
        <f t="shared" ca="1" si="38"/>
        <v>46204</v>
      </c>
      <c r="N1220">
        <f t="shared" ca="1" si="39"/>
        <v>1</v>
      </c>
    </row>
    <row r="1221" spans="1:14" x14ac:dyDescent="0.3">
      <c r="A1221" t="s">
        <v>3654</v>
      </c>
      <c r="B1221" t="s">
        <v>3655</v>
      </c>
      <c r="C1221" t="s">
        <v>34</v>
      </c>
      <c r="D1221" t="s">
        <v>16</v>
      </c>
      <c r="E1221" t="s">
        <v>24</v>
      </c>
      <c r="F1221">
        <v>14.85</v>
      </c>
      <c r="G1221" s="1">
        <v>45844</v>
      </c>
      <c r="H1221" s="1">
        <v>44437</v>
      </c>
      <c r="I1221" t="s">
        <v>3656</v>
      </c>
      <c r="J1221" t="s">
        <v>94</v>
      </c>
      <c r="K1221">
        <v>2</v>
      </c>
      <c r="L1221" t="s">
        <v>27</v>
      </c>
      <c r="M1221" s="1">
        <f t="shared" ca="1" si="38"/>
        <v>46204</v>
      </c>
      <c r="N1221">
        <f t="shared" ca="1" si="39"/>
        <v>1</v>
      </c>
    </row>
    <row r="1222" spans="1:14" x14ac:dyDescent="0.3">
      <c r="A1222" t="s">
        <v>3657</v>
      </c>
      <c r="B1222" t="s">
        <v>3658</v>
      </c>
      <c r="C1222" t="s">
        <v>60</v>
      </c>
      <c r="D1222" t="s">
        <v>40</v>
      </c>
      <c r="E1222" t="s">
        <v>24</v>
      </c>
      <c r="F1222">
        <v>1.07</v>
      </c>
      <c r="G1222" s="1">
        <v>45823</v>
      </c>
      <c r="H1222" s="1">
        <v>45296</v>
      </c>
      <c r="I1222" t="s">
        <v>3659</v>
      </c>
      <c r="J1222" t="s">
        <v>19</v>
      </c>
      <c r="K1222">
        <v>3</v>
      </c>
      <c r="L1222" t="s">
        <v>20</v>
      </c>
      <c r="M1222" s="1">
        <f t="shared" ca="1" si="38"/>
        <v>46204</v>
      </c>
      <c r="N1222">
        <f t="shared" ca="1" si="39"/>
        <v>1</v>
      </c>
    </row>
    <row r="1223" spans="1:14" x14ac:dyDescent="0.3">
      <c r="A1223" t="s">
        <v>3660</v>
      </c>
      <c r="B1223" t="s">
        <v>3661</v>
      </c>
      <c r="C1223" t="s">
        <v>15</v>
      </c>
      <c r="D1223" t="s">
        <v>69</v>
      </c>
      <c r="E1223" t="s">
        <v>17</v>
      </c>
      <c r="F1223">
        <v>39.08</v>
      </c>
      <c r="G1223" s="1">
        <v>45713</v>
      </c>
      <c r="H1223" s="1">
        <v>44431</v>
      </c>
      <c r="I1223" t="s">
        <v>3662</v>
      </c>
      <c r="J1223" t="s">
        <v>19</v>
      </c>
      <c r="K1223">
        <v>1</v>
      </c>
      <c r="L1223" t="s">
        <v>20</v>
      </c>
      <c r="M1223" s="1">
        <f t="shared" ca="1" si="38"/>
        <v>46204</v>
      </c>
      <c r="N1223">
        <f t="shared" ca="1" si="39"/>
        <v>1</v>
      </c>
    </row>
    <row r="1224" spans="1:14" x14ac:dyDescent="0.3">
      <c r="A1224" t="s">
        <v>3663</v>
      </c>
      <c r="B1224" t="s">
        <v>3664</v>
      </c>
      <c r="C1224" t="s">
        <v>34</v>
      </c>
      <c r="D1224" t="s">
        <v>16</v>
      </c>
      <c r="E1224" t="s">
        <v>17</v>
      </c>
      <c r="F1224">
        <v>13</v>
      </c>
      <c r="G1224" s="1">
        <v>45875</v>
      </c>
      <c r="H1224" s="1">
        <v>44043</v>
      </c>
      <c r="I1224" t="s">
        <v>3665</v>
      </c>
      <c r="J1224" t="s">
        <v>37</v>
      </c>
      <c r="K1224">
        <v>3</v>
      </c>
      <c r="L1224" t="s">
        <v>20</v>
      </c>
      <c r="M1224" s="1">
        <f t="shared" ca="1" si="38"/>
        <v>46204</v>
      </c>
      <c r="N1224">
        <f t="shared" ca="1" si="39"/>
        <v>1</v>
      </c>
    </row>
    <row r="1225" spans="1:14" x14ac:dyDescent="0.3">
      <c r="A1225" t="s">
        <v>3666</v>
      </c>
      <c r="B1225" t="s">
        <v>3667</v>
      </c>
      <c r="C1225" t="s">
        <v>15</v>
      </c>
      <c r="D1225" t="s">
        <v>73</v>
      </c>
      <c r="E1225" t="s">
        <v>52</v>
      </c>
      <c r="F1225">
        <v>17.5</v>
      </c>
      <c r="G1225" s="1">
        <v>45989</v>
      </c>
      <c r="H1225" s="1">
        <v>43751</v>
      </c>
      <c r="I1225" t="s">
        <v>3668</v>
      </c>
      <c r="J1225" t="s">
        <v>75</v>
      </c>
      <c r="K1225">
        <v>5</v>
      </c>
      <c r="L1225" t="s">
        <v>27</v>
      </c>
      <c r="M1225" s="1">
        <f t="shared" ca="1" si="38"/>
        <v>46204</v>
      </c>
      <c r="N1225">
        <f t="shared" ca="1" si="39"/>
        <v>1</v>
      </c>
    </row>
    <row r="1226" spans="1:14" x14ac:dyDescent="0.3">
      <c r="A1226" t="s">
        <v>3669</v>
      </c>
      <c r="B1226" t="s">
        <v>3670</v>
      </c>
      <c r="C1226" t="s">
        <v>15</v>
      </c>
      <c r="D1226" t="s">
        <v>16</v>
      </c>
      <c r="E1226" t="s">
        <v>17</v>
      </c>
      <c r="F1226">
        <v>3.94</v>
      </c>
      <c r="G1226" s="1">
        <v>45770</v>
      </c>
      <c r="H1226" s="1">
        <v>43771</v>
      </c>
      <c r="I1226" t="s">
        <v>3671</v>
      </c>
      <c r="J1226" t="s">
        <v>75</v>
      </c>
      <c r="K1226">
        <v>1</v>
      </c>
      <c r="L1226" t="s">
        <v>27</v>
      </c>
      <c r="M1226" s="1">
        <f t="shared" ca="1" si="38"/>
        <v>46204</v>
      </c>
      <c r="N1226">
        <f t="shared" ca="1" si="39"/>
        <v>1</v>
      </c>
    </row>
    <row r="1227" spans="1:14" x14ac:dyDescent="0.3">
      <c r="A1227" t="s">
        <v>3672</v>
      </c>
      <c r="B1227" t="s">
        <v>3673</v>
      </c>
      <c r="C1227" t="s">
        <v>15</v>
      </c>
      <c r="D1227" t="s">
        <v>40</v>
      </c>
      <c r="E1227" t="s">
        <v>17</v>
      </c>
      <c r="F1227">
        <v>11.61</v>
      </c>
      <c r="G1227" s="1">
        <v>45824</v>
      </c>
      <c r="H1227" s="1">
        <v>44601</v>
      </c>
      <c r="I1227" t="s">
        <v>3674</v>
      </c>
      <c r="J1227" t="s">
        <v>66</v>
      </c>
      <c r="K1227">
        <v>4</v>
      </c>
      <c r="L1227" t="s">
        <v>20</v>
      </c>
      <c r="M1227" s="1">
        <f t="shared" ca="1" si="38"/>
        <v>46204</v>
      </c>
      <c r="N1227">
        <f t="shared" ca="1" si="39"/>
        <v>1</v>
      </c>
    </row>
    <row r="1228" spans="1:14" x14ac:dyDescent="0.3">
      <c r="A1228" t="s">
        <v>3675</v>
      </c>
      <c r="B1228" t="s">
        <v>3676</v>
      </c>
      <c r="C1228" t="s">
        <v>64</v>
      </c>
      <c r="D1228" t="s">
        <v>56</v>
      </c>
      <c r="E1228" t="s">
        <v>17</v>
      </c>
      <c r="F1228">
        <v>39.78</v>
      </c>
      <c r="G1228" s="1">
        <v>46060</v>
      </c>
      <c r="H1228" s="1">
        <v>44570</v>
      </c>
      <c r="I1228" t="s">
        <v>3677</v>
      </c>
      <c r="J1228" t="s">
        <v>75</v>
      </c>
      <c r="K1228">
        <v>3</v>
      </c>
      <c r="L1228" t="s">
        <v>27</v>
      </c>
      <c r="M1228" s="1">
        <f t="shared" ca="1" si="38"/>
        <v>46204</v>
      </c>
      <c r="N1228">
        <f t="shared" ca="1" si="39"/>
        <v>1</v>
      </c>
    </row>
    <row r="1229" spans="1:14" x14ac:dyDescent="0.3">
      <c r="A1229" t="s">
        <v>3678</v>
      </c>
      <c r="B1229" t="s">
        <v>3679</v>
      </c>
      <c r="C1229" t="s">
        <v>47</v>
      </c>
      <c r="D1229" t="s">
        <v>40</v>
      </c>
      <c r="E1229" t="s">
        <v>24</v>
      </c>
      <c r="F1229">
        <v>36.54</v>
      </c>
      <c r="G1229" s="1">
        <v>46015</v>
      </c>
      <c r="H1229" s="1">
        <v>42375</v>
      </c>
      <c r="I1229" t="s">
        <v>3680</v>
      </c>
      <c r="J1229" t="s">
        <v>49</v>
      </c>
      <c r="K1229">
        <v>2</v>
      </c>
      <c r="L1229" t="s">
        <v>27</v>
      </c>
      <c r="M1229" s="1">
        <f t="shared" ca="1" si="38"/>
        <v>46204</v>
      </c>
      <c r="N1229">
        <f t="shared" ca="1" si="39"/>
        <v>1</v>
      </c>
    </row>
    <row r="1230" spans="1:14" x14ac:dyDescent="0.3">
      <c r="A1230" t="s">
        <v>3681</v>
      </c>
      <c r="B1230" t="s">
        <v>3682</v>
      </c>
      <c r="C1230" t="s">
        <v>64</v>
      </c>
      <c r="D1230" t="s">
        <v>56</v>
      </c>
      <c r="E1230" t="s">
        <v>52</v>
      </c>
      <c r="F1230">
        <v>31.63</v>
      </c>
      <c r="G1230" s="1">
        <v>46013</v>
      </c>
      <c r="H1230" s="1">
        <v>44778</v>
      </c>
      <c r="I1230" t="s">
        <v>3683</v>
      </c>
      <c r="J1230" t="s">
        <v>75</v>
      </c>
      <c r="K1230">
        <v>3</v>
      </c>
      <c r="L1230" t="s">
        <v>27</v>
      </c>
      <c r="M1230" s="1">
        <f t="shared" ca="1" si="38"/>
        <v>46204</v>
      </c>
      <c r="N1230">
        <f t="shared" ca="1" si="39"/>
        <v>1</v>
      </c>
    </row>
    <row r="1231" spans="1:14" x14ac:dyDescent="0.3">
      <c r="A1231" t="s">
        <v>3684</v>
      </c>
      <c r="B1231" t="s">
        <v>3685</v>
      </c>
      <c r="C1231" t="s">
        <v>124</v>
      </c>
      <c r="D1231" t="s">
        <v>73</v>
      </c>
      <c r="E1231" t="s">
        <v>17</v>
      </c>
      <c r="F1231">
        <v>25.98</v>
      </c>
      <c r="G1231" s="1">
        <v>45785</v>
      </c>
      <c r="H1231" s="1">
        <v>43587</v>
      </c>
      <c r="I1231" t="s">
        <v>3686</v>
      </c>
      <c r="J1231" t="s">
        <v>94</v>
      </c>
      <c r="K1231">
        <v>5</v>
      </c>
      <c r="L1231" t="s">
        <v>20</v>
      </c>
      <c r="M1231" s="1">
        <f t="shared" ca="1" si="38"/>
        <v>46204</v>
      </c>
      <c r="N1231">
        <f t="shared" ca="1" si="39"/>
        <v>1</v>
      </c>
    </row>
    <row r="1232" spans="1:14" x14ac:dyDescent="0.3">
      <c r="A1232" t="s">
        <v>3687</v>
      </c>
      <c r="B1232" t="s">
        <v>3688</v>
      </c>
      <c r="C1232" t="s">
        <v>60</v>
      </c>
      <c r="D1232" t="s">
        <v>56</v>
      </c>
      <c r="E1232" t="s">
        <v>17</v>
      </c>
      <c r="F1232">
        <v>23.94</v>
      </c>
      <c r="G1232" s="1">
        <v>45813</v>
      </c>
      <c r="H1232" s="1">
        <v>44241</v>
      </c>
      <c r="I1232" t="s">
        <v>3689</v>
      </c>
      <c r="J1232" t="s">
        <v>19</v>
      </c>
      <c r="K1232">
        <v>2</v>
      </c>
      <c r="L1232" t="s">
        <v>20</v>
      </c>
      <c r="M1232" s="1">
        <f t="shared" ca="1" si="38"/>
        <v>46204</v>
      </c>
      <c r="N1232">
        <f t="shared" ca="1" si="39"/>
        <v>1</v>
      </c>
    </row>
    <row r="1233" spans="1:14" x14ac:dyDescent="0.3">
      <c r="A1233" t="s">
        <v>3690</v>
      </c>
      <c r="B1233" t="s">
        <v>3691</v>
      </c>
      <c r="C1233" t="s">
        <v>60</v>
      </c>
      <c r="D1233" t="s">
        <v>56</v>
      </c>
      <c r="E1233" t="s">
        <v>17</v>
      </c>
      <c r="F1233">
        <v>2.5</v>
      </c>
      <c r="G1233" s="1">
        <v>45900</v>
      </c>
      <c r="H1233" s="1">
        <v>45309</v>
      </c>
      <c r="I1233" t="s">
        <v>3692</v>
      </c>
      <c r="J1233" t="s">
        <v>37</v>
      </c>
      <c r="K1233">
        <v>3</v>
      </c>
      <c r="L1233" t="s">
        <v>27</v>
      </c>
      <c r="M1233" s="1">
        <f t="shared" ca="1" si="38"/>
        <v>46204</v>
      </c>
      <c r="N1233">
        <f t="shared" ca="1" si="39"/>
        <v>1</v>
      </c>
    </row>
    <row r="1234" spans="1:14" x14ac:dyDescent="0.3">
      <c r="A1234" t="s">
        <v>3693</v>
      </c>
      <c r="B1234" t="s">
        <v>3694</v>
      </c>
      <c r="C1234" t="s">
        <v>60</v>
      </c>
      <c r="D1234" t="s">
        <v>16</v>
      </c>
      <c r="E1234" t="s">
        <v>24</v>
      </c>
      <c r="F1234">
        <v>27.25</v>
      </c>
      <c r="G1234" s="1">
        <v>46039</v>
      </c>
      <c r="H1234" s="1">
        <v>42968</v>
      </c>
      <c r="I1234" t="s">
        <v>3695</v>
      </c>
      <c r="J1234" t="s">
        <v>19</v>
      </c>
      <c r="K1234">
        <v>3</v>
      </c>
      <c r="L1234" t="s">
        <v>20</v>
      </c>
      <c r="M1234" s="1">
        <f t="shared" ca="1" si="38"/>
        <v>46204</v>
      </c>
      <c r="N1234">
        <f t="shared" ca="1" si="39"/>
        <v>1</v>
      </c>
    </row>
    <row r="1235" spans="1:14" x14ac:dyDescent="0.3">
      <c r="A1235" t="s">
        <v>3696</v>
      </c>
      <c r="B1235" t="s">
        <v>3697</v>
      </c>
      <c r="C1235" t="s">
        <v>15</v>
      </c>
      <c r="D1235" t="s">
        <v>56</v>
      </c>
      <c r="E1235" t="s">
        <v>30</v>
      </c>
      <c r="F1235">
        <v>32.119999999999997</v>
      </c>
      <c r="G1235" s="1">
        <v>46002</v>
      </c>
      <c r="H1235" s="1">
        <v>44219</v>
      </c>
      <c r="I1235" t="s">
        <v>3698</v>
      </c>
      <c r="J1235" t="s">
        <v>75</v>
      </c>
      <c r="K1235">
        <v>1</v>
      </c>
      <c r="L1235" t="s">
        <v>27</v>
      </c>
      <c r="M1235" s="1">
        <f t="shared" ca="1" si="38"/>
        <v>46204</v>
      </c>
      <c r="N1235">
        <f t="shared" ca="1" si="39"/>
        <v>1</v>
      </c>
    </row>
    <row r="1236" spans="1:14" x14ac:dyDescent="0.3">
      <c r="A1236" t="s">
        <v>3699</v>
      </c>
      <c r="B1236" t="s">
        <v>3700</v>
      </c>
      <c r="C1236" t="s">
        <v>15</v>
      </c>
      <c r="D1236" t="s">
        <v>16</v>
      </c>
      <c r="E1236" t="s">
        <v>24</v>
      </c>
      <c r="F1236">
        <v>22.9</v>
      </c>
      <c r="G1236" s="1">
        <v>45857</v>
      </c>
      <c r="H1236" s="1">
        <v>45357</v>
      </c>
      <c r="I1236" t="s">
        <v>3701</v>
      </c>
      <c r="J1236" t="s">
        <v>94</v>
      </c>
      <c r="K1236">
        <v>5</v>
      </c>
      <c r="L1236" t="s">
        <v>27</v>
      </c>
      <c r="M1236" s="1">
        <f t="shared" ca="1" si="38"/>
        <v>46204</v>
      </c>
      <c r="N1236">
        <f t="shared" ca="1" si="39"/>
        <v>1</v>
      </c>
    </row>
    <row r="1237" spans="1:14" x14ac:dyDescent="0.3">
      <c r="A1237" t="s">
        <v>3702</v>
      </c>
      <c r="B1237" t="s">
        <v>3703</v>
      </c>
      <c r="C1237" t="s">
        <v>23</v>
      </c>
      <c r="D1237" t="s">
        <v>40</v>
      </c>
      <c r="E1237" t="s">
        <v>17</v>
      </c>
      <c r="F1237">
        <v>18.079999999999998</v>
      </c>
      <c r="G1237" s="1">
        <v>45793</v>
      </c>
      <c r="H1237" s="1">
        <v>42507</v>
      </c>
      <c r="I1237" t="s">
        <v>1844</v>
      </c>
      <c r="J1237" t="s">
        <v>19</v>
      </c>
      <c r="K1237">
        <v>5</v>
      </c>
      <c r="L1237" t="s">
        <v>27</v>
      </c>
      <c r="M1237" s="1">
        <f t="shared" ca="1" si="38"/>
        <v>46204</v>
      </c>
      <c r="N1237">
        <f t="shared" ca="1" si="39"/>
        <v>1</v>
      </c>
    </row>
    <row r="1238" spans="1:14" x14ac:dyDescent="0.3">
      <c r="A1238" t="s">
        <v>3704</v>
      </c>
      <c r="B1238" t="s">
        <v>3705</v>
      </c>
      <c r="C1238" t="s">
        <v>15</v>
      </c>
      <c r="D1238" t="s">
        <v>56</v>
      </c>
      <c r="E1238" t="s">
        <v>52</v>
      </c>
      <c r="F1238">
        <v>37.65</v>
      </c>
      <c r="G1238" s="1">
        <v>45892</v>
      </c>
      <c r="H1238" s="1">
        <v>44335</v>
      </c>
      <c r="I1238" t="s">
        <v>3706</v>
      </c>
      <c r="J1238" t="s">
        <v>37</v>
      </c>
      <c r="K1238">
        <v>4</v>
      </c>
      <c r="L1238" t="s">
        <v>27</v>
      </c>
      <c r="M1238" s="1">
        <f t="shared" ca="1" si="38"/>
        <v>46204</v>
      </c>
      <c r="N1238">
        <f t="shared" ca="1" si="39"/>
        <v>1</v>
      </c>
    </row>
    <row r="1239" spans="1:14" x14ac:dyDescent="0.3">
      <c r="A1239" t="s">
        <v>3707</v>
      </c>
      <c r="B1239" t="s">
        <v>3708</v>
      </c>
      <c r="C1239" t="s">
        <v>34</v>
      </c>
      <c r="D1239" t="s">
        <v>40</v>
      </c>
      <c r="E1239" t="s">
        <v>52</v>
      </c>
      <c r="F1239">
        <v>18.600000000000001</v>
      </c>
      <c r="G1239" s="1">
        <v>45821</v>
      </c>
      <c r="H1239" s="1">
        <v>43565</v>
      </c>
      <c r="I1239" t="s">
        <v>3709</v>
      </c>
      <c r="J1239" t="s">
        <v>19</v>
      </c>
      <c r="K1239">
        <v>1</v>
      </c>
      <c r="L1239" t="s">
        <v>20</v>
      </c>
      <c r="M1239" s="1">
        <f t="shared" ca="1" si="38"/>
        <v>46204</v>
      </c>
      <c r="N1239">
        <f t="shared" ca="1" si="39"/>
        <v>1</v>
      </c>
    </row>
    <row r="1240" spans="1:14" x14ac:dyDescent="0.3">
      <c r="A1240" t="s">
        <v>3710</v>
      </c>
      <c r="B1240" t="s">
        <v>3711</v>
      </c>
      <c r="C1240" t="s">
        <v>47</v>
      </c>
      <c r="D1240" t="s">
        <v>56</v>
      </c>
      <c r="E1240" t="s">
        <v>24</v>
      </c>
      <c r="F1240">
        <v>2.89</v>
      </c>
      <c r="G1240" s="1">
        <v>45766</v>
      </c>
      <c r="H1240" s="1">
        <v>44476</v>
      </c>
      <c r="I1240" t="s">
        <v>3712</v>
      </c>
      <c r="J1240" t="s">
        <v>49</v>
      </c>
      <c r="K1240">
        <v>1</v>
      </c>
      <c r="L1240" t="s">
        <v>20</v>
      </c>
      <c r="M1240" s="1">
        <f t="shared" ca="1" si="38"/>
        <v>46204</v>
      </c>
      <c r="N1240">
        <f t="shared" ca="1" si="39"/>
        <v>1</v>
      </c>
    </row>
    <row r="1241" spans="1:14" x14ac:dyDescent="0.3">
      <c r="A1241" t="s">
        <v>3713</v>
      </c>
      <c r="B1241" t="s">
        <v>3714</v>
      </c>
      <c r="C1241" t="s">
        <v>15</v>
      </c>
      <c r="D1241" t="s">
        <v>40</v>
      </c>
      <c r="E1241" t="s">
        <v>52</v>
      </c>
      <c r="F1241">
        <v>35.590000000000003</v>
      </c>
      <c r="G1241" s="1">
        <v>45887</v>
      </c>
      <c r="H1241" s="1">
        <v>44512</v>
      </c>
      <c r="I1241" t="s">
        <v>3715</v>
      </c>
      <c r="J1241" t="s">
        <v>26</v>
      </c>
      <c r="K1241">
        <v>5</v>
      </c>
      <c r="L1241" t="s">
        <v>20</v>
      </c>
      <c r="M1241" s="1">
        <f t="shared" ca="1" si="38"/>
        <v>46204</v>
      </c>
      <c r="N1241">
        <f t="shared" ca="1" si="39"/>
        <v>1</v>
      </c>
    </row>
    <row r="1242" spans="1:14" x14ac:dyDescent="0.3">
      <c r="A1242" t="s">
        <v>3716</v>
      </c>
      <c r="B1242" t="s">
        <v>3717</v>
      </c>
      <c r="C1242" t="s">
        <v>34</v>
      </c>
      <c r="D1242" t="s">
        <v>56</v>
      </c>
      <c r="E1242" t="s">
        <v>17</v>
      </c>
      <c r="F1242">
        <v>11.75</v>
      </c>
      <c r="G1242" s="1">
        <v>45835</v>
      </c>
      <c r="H1242" s="1">
        <v>44572</v>
      </c>
      <c r="I1242" t="s">
        <v>3718</v>
      </c>
      <c r="J1242" t="s">
        <v>94</v>
      </c>
      <c r="K1242">
        <v>1</v>
      </c>
      <c r="L1242" t="s">
        <v>20</v>
      </c>
      <c r="M1242" s="1">
        <f t="shared" ca="1" si="38"/>
        <v>46204</v>
      </c>
      <c r="N1242">
        <f t="shared" ca="1" si="39"/>
        <v>1</v>
      </c>
    </row>
    <row r="1243" spans="1:14" x14ac:dyDescent="0.3">
      <c r="A1243" t="s">
        <v>3719</v>
      </c>
      <c r="B1243" t="s">
        <v>3720</v>
      </c>
      <c r="C1243" t="s">
        <v>15</v>
      </c>
      <c r="D1243" t="s">
        <v>56</v>
      </c>
      <c r="E1243" t="s">
        <v>30</v>
      </c>
      <c r="F1243">
        <v>24.71</v>
      </c>
      <c r="G1243" s="1">
        <v>45975</v>
      </c>
      <c r="H1243" s="1">
        <v>43706</v>
      </c>
      <c r="I1243" t="s">
        <v>3721</v>
      </c>
      <c r="J1243" t="s">
        <v>19</v>
      </c>
      <c r="K1243">
        <v>2</v>
      </c>
      <c r="L1243" t="s">
        <v>20</v>
      </c>
      <c r="M1243" s="1">
        <f t="shared" ca="1" si="38"/>
        <v>46204</v>
      </c>
      <c r="N1243">
        <f t="shared" ca="1" si="39"/>
        <v>1</v>
      </c>
    </row>
    <row r="1244" spans="1:14" x14ac:dyDescent="0.3">
      <c r="A1244" t="s">
        <v>3722</v>
      </c>
      <c r="B1244" t="s">
        <v>3723</v>
      </c>
      <c r="C1244" t="s">
        <v>124</v>
      </c>
      <c r="D1244" t="s">
        <v>56</v>
      </c>
      <c r="E1244" t="s">
        <v>24</v>
      </c>
      <c r="F1244">
        <v>38.69</v>
      </c>
      <c r="G1244" s="1">
        <v>45946</v>
      </c>
      <c r="H1244" s="1">
        <v>44721</v>
      </c>
      <c r="I1244" t="s">
        <v>3724</v>
      </c>
      <c r="J1244" t="s">
        <v>94</v>
      </c>
      <c r="K1244">
        <v>2</v>
      </c>
      <c r="L1244" t="s">
        <v>27</v>
      </c>
      <c r="M1244" s="1">
        <f t="shared" ca="1" si="38"/>
        <v>46204</v>
      </c>
      <c r="N1244">
        <f t="shared" ca="1" si="39"/>
        <v>1</v>
      </c>
    </row>
    <row r="1245" spans="1:14" x14ac:dyDescent="0.3">
      <c r="A1245" t="s">
        <v>3725</v>
      </c>
      <c r="B1245" t="s">
        <v>3726</v>
      </c>
      <c r="C1245" t="s">
        <v>34</v>
      </c>
      <c r="D1245" t="s">
        <v>73</v>
      </c>
      <c r="E1245" t="s">
        <v>52</v>
      </c>
      <c r="F1245">
        <v>3.82</v>
      </c>
      <c r="G1245" s="1">
        <v>45713</v>
      </c>
      <c r="H1245" s="1">
        <v>42278</v>
      </c>
      <c r="I1245" t="s">
        <v>3727</v>
      </c>
      <c r="J1245" t="s">
        <v>66</v>
      </c>
      <c r="K1245">
        <v>5</v>
      </c>
      <c r="L1245" t="s">
        <v>27</v>
      </c>
      <c r="M1245" s="1">
        <f t="shared" ca="1" si="38"/>
        <v>46204</v>
      </c>
      <c r="N1245">
        <f t="shared" ca="1" si="39"/>
        <v>1</v>
      </c>
    </row>
    <row r="1246" spans="1:14" x14ac:dyDescent="0.3">
      <c r="A1246" t="s">
        <v>3728</v>
      </c>
      <c r="B1246" t="s">
        <v>3729</v>
      </c>
      <c r="C1246" t="s">
        <v>60</v>
      </c>
      <c r="D1246" t="s">
        <v>73</v>
      </c>
      <c r="E1246" t="s">
        <v>30</v>
      </c>
      <c r="F1246">
        <v>4.54</v>
      </c>
      <c r="G1246" s="1">
        <v>46014</v>
      </c>
      <c r="H1246" s="1">
        <v>43628</v>
      </c>
      <c r="I1246" t="s">
        <v>3730</v>
      </c>
      <c r="J1246" t="s">
        <v>26</v>
      </c>
      <c r="K1246">
        <v>5</v>
      </c>
      <c r="L1246" t="s">
        <v>27</v>
      </c>
      <c r="M1246" s="1">
        <f t="shared" ca="1" si="38"/>
        <v>46204</v>
      </c>
      <c r="N1246">
        <f t="shared" ca="1" si="39"/>
        <v>1</v>
      </c>
    </row>
    <row r="1247" spans="1:14" x14ac:dyDescent="0.3">
      <c r="A1247" t="s">
        <v>3731</v>
      </c>
      <c r="B1247" t="s">
        <v>3732</v>
      </c>
      <c r="C1247" t="s">
        <v>34</v>
      </c>
      <c r="D1247" t="s">
        <v>16</v>
      </c>
      <c r="E1247" t="s">
        <v>17</v>
      </c>
      <c r="F1247">
        <v>27.41</v>
      </c>
      <c r="G1247" s="1">
        <v>45750</v>
      </c>
      <c r="H1247" s="1">
        <v>45395</v>
      </c>
      <c r="I1247" t="s">
        <v>3733</v>
      </c>
      <c r="J1247" t="s">
        <v>75</v>
      </c>
      <c r="K1247">
        <v>2</v>
      </c>
      <c r="L1247" t="s">
        <v>27</v>
      </c>
      <c r="M1247" s="1">
        <f t="shared" ca="1" si="38"/>
        <v>46204</v>
      </c>
      <c r="N1247">
        <f t="shared" ca="1" si="39"/>
        <v>1</v>
      </c>
    </row>
    <row r="1248" spans="1:14" x14ac:dyDescent="0.3">
      <c r="A1248" t="s">
        <v>3734</v>
      </c>
      <c r="B1248" t="s">
        <v>3735</v>
      </c>
      <c r="C1248" t="s">
        <v>23</v>
      </c>
      <c r="D1248" t="s">
        <v>16</v>
      </c>
      <c r="E1248" t="s">
        <v>52</v>
      </c>
      <c r="F1248">
        <v>22.27</v>
      </c>
      <c r="G1248" s="1">
        <v>45876</v>
      </c>
      <c r="H1248" s="1">
        <v>44684</v>
      </c>
      <c r="I1248" t="s">
        <v>3736</v>
      </c>
      <c r="J1248" t="s">
        <v>19</v>
      </c>
      <c r="K1248">
        <v>1</v>
      </c>
      <c r="L1248" t="s">
        <v>27</v>
      </c>
      <c r="M1248" s="1">
        <f t="shared" ca="1" si="38"/>
        <v>46204</v>
      </c>
      <c r="N1248">
        <f t="shared" ca="1" si="39"/>
        <v>1</v>
      </c>
    </row>
    <row r="1249" spans="1:14" x14ac:dyDescent="0.3">
      <c r="A1249" t="s">
        <v>3737</v>
      </c>
      <c r="B1249" t="s">
        <v>3738</v>
      </c>
      <c r="C1249" t="s">
        <v>15</v>
      </c>
      <c r="D1249" t="s">
        <v>73</v>
      </c>
      <c r="E1249" t="s">
        <v>24</v>
      </c>
      <c r="F1249">
        <v>23.08</v>
      </c>
      <c r="G1249" s="1">
        <v>45891</v>
      </c>
      <c r="H1249" s="1">
        <v>43014</v>
      </c>
      <c r="I1249" t="s">
        <v>3739</v>
      </c>
      <c r="J1249" t="s">
        <v>37</v>
      </c>
      <c r="K1249">
        <v>1</v>
      </c>
      <c r="L1249" t="s">
        <v>27</v>
      </c>
      <c r="M1249" s="1">
        <f t="shared" ca="1" si="38"/>
        <v>46204</v>
      </c>
      <c r="N1249">
        <f t="shared" ca="1" si="39"/>
        <v>1</v>
      </c>
    </row>
    <row r="1250" spans="1:14" x14ac:dyDescent="0.3">
      <c r="A1250" t="s">
        <v>3740</v>
      </c>
      <c r="B1250" t="s">
        <v>3741</v>
      </c>
      <c r="C1250" t="s">
        <v>15</v>
      </c>
      <c r="D1250" t="s">
        <v>73</v>
      </c>
      <c r="E1250" t="s">
        <v>30</v>
      </c>
      <c r="F1250">
        <v>27.22</v>
      </c>
      <c r="G1250" s="1">
        <v>45792</v>
      </c>
      <c r="H1250" s="1">
        <v>45506</v>
      </c>
      <c r="I1250" t="s">
        <v>3742</v>
      </c>
      <c r="J1250" t="s">
        <v>49</v>
      </c>
      <c r="K1250">
        <v>1</v>
      </c>
      <c r="L1250" t="s">
        <v>20</v>
      </c>
      <c r="M1250" s="1">
        <f t="shared" ca="1" si="38"/>
        <v>46204</v>
      </c>
      <c r="N1250">
        <f t="shared" ca="1" si="39"/>
        <v>1</v>
      </c>
    </row>
    <row r="1251" spans="1:14" x14ac:dyDescent="0.3">
      <c r="A1251" t="s">
        <v>3743</v>
      </c>
      <c r="B1251" t="s">
        <v>3744</v>
      </c>
      <c r="C1251" t="s">
        <v>64</v>
      </c>
      <c r="D1251" t="s">
        <v>69</v>
      </c>
      <c r="E1251" t="s">
        <v>17</v>
      </c>
      <c r="F1251">
        <v>33.450000000000003</v>
      </c>
      <c r="G1251" s="1">
        <v>45870</v>
      </c>
      <c r="H1251" s="1">
        <v>43312</v>
      </c>
      <c r="I1251" t="s">
        <v>3745</v>
      </c>
      <c r="J1251" t="s">
        <v>26</v>
      </c>
      <c r="K1251">
        <v>1</v>
      </c>
      <c r="L1251" t="s">
        <v>27</v>
      </c>
      <c r="M1251" s="1">
        <f t="shared" ca="1" si="38"/>
        <v>46204</v>
      </c>
      <c r="N1251">
        <f t="shared" ca="1" si="39"/>
        <v>1</v>
      </c>
    </row>
    <row r="1252" spans="1:14" x14ac:dyDescent="0.3">
      <c r="A1252" t="s">
        <v>3746</v>
      </c>
      <c r="B1252" t="s">
        <v>805</v>
      </c>
      <c r="C1252" t="s">
        <v>124</v>
      </c>
      <c r="D1252" t="s">
        <v>56</v>
      </c>
      <c r="E1252" t="s">
        <v>30</v>
      </c>
      <c r="F1252">
        <v>23.76</v>
      </c>
      <c r="G1252" s="1">
        <v>45966</v>
      </c>
      <c r="H1252" s="1">
        <v>45241</v>
      </c>
      <c r="I1252" t="s">
        <v>3747</v>
      </c>
      <c r="J1252" t="s">
        <v>66</v>
      </c>
      <c r="K1252">
        <v>4</v>
      </c>
      <c r="L1252" t="s">
        <v>27</v>
      </c>
      <c r="M1252" s="1">
        <f t="shared" ca="1" si="38"/>
        <v>46204</v>
      </c>
      <c r="N1252">
        <f t="shared" ca="1" si="39"/>
        <v>1</v>
      </c>
    </row>
    <row r="1253" spans="1:14" x14ac:dyDescent="0.3">
      <c r="A1253" t="s">
        <v>3748</v>
      </c>
      <c r="B1253" t="s">
        <v>3749</v>
      </c>
      <c r="C1253" t="s">
        <v>124</v>
      </c>
      <c r="D1253" t="s">
        <v>73</v>
      </c>
      <c r="E1253" t="s">
        <v>30</v>
      </c>
      <c r="F1253">
        <v>12.25</v>
      </c>
      <c r="G1253" s="1">
        <v>45801</v>
      </c>
      <c r="H1253" s="1">
        <v>45092</v>
      </c>
      <c r="I1253" t="s">
        <v>3750</v>
      </c>
      <c r="J1253" t="s">
        <v>26</v>
      </c>
      <c r="K1253">
        <v>4</v>
      </c>
      <c r="L1253" t="s">
        <v>20</v>
      </c>
      <c r="M1253" s="1">
        <f t="shared" ca="1" si="38"/>
        <v>46204</v>
      </c>
      <c r="N1253">
        <f t="shared" ca="1" si="39"/>
        <v>1</v>
      </c>
    </row>
    <row r="1254" spans="1:14" x14ac:dyDescent="0.3">
      <c r="A1254" t="s">
        <v>3751</v>
      </c>
      <c r="B1254" t="s">
        <v>3752</v>
      </c>
      <c r="C1254" t="s">
        <v>124</v>
      </c>
      <c r="D1254" t="s">
        <v>40</v>
      </c>
      <c r="E1254" t="s">
        <v>24</v>
      </c>
      <c r="F1254">
        <v>33.53</v>
      </c>
      <c r="G1254" s="1">
        <v>45886</v>
      </c>
      <c r="H1254" s="1">
        <v>43180</v>
      </c>
      <c r="I1254" t="s">
        <v>3753</v>
      </c>
      <c r="J1254" t="s">
        <v>19</v>
      </c>
      <c r="K1254">
        <v>1</v>
      </c>
      <c r="L1254" t="s">
        <v>27</v>
      </c>
      <c r="M1254" s="1">
        <f t="shared" ca="1" si="38"/>
        <v>46204</v>
      </c>
      <c r="N1254">
        <f t="shared" ca="1" si="39"/>
        <v>1</v>
      </c>
    </row>
    <row r="1255" spans="1:14" x14ac:dyDescent="0.3">
      <c r="A1255" t="s">
        <v>3754</v>
      </c>
      <c r="B1255" t="s">
        <v>3755</v>
      </c>
      <c r="C1255" t="s">
        <v>34</v>
      </c>
      <c r="D1255" t="s">
        <v>73</v>
      </c>
      <c r="E1255" t="s">
        <v>30</v>
      </c>
      <c r="F1255">
        <v>21.88</v>
      </c>
      <c r="G1255" s="1">
        <v>45832</v>
      </c>
      <c r="H1255" s="1">
        <v>42473</v>
      </c>
      <c r="I1255" t="s">
        <v>3756</v>
      </c>
      <c r="J1255" t="s">
        <v>49</v>
      </c>
      <c r="K1255">
        <v>1</v>
      </c>
      <c r="L1255" t="s">
        <v>20</v>
      </c>
      <c r="M1255" s="1">
        <f t="shared" ca="1" si="38"/>
        <v>46204</v>
      </c>
      <c r="N1255">
        <f t="shared" ca="1" si="39"/>
        <v>1</v>
      </c>
    </row>
    <row r="1256" spans="1:14" x14ac:dyDescent="0.3">
      <c r="A1256" t="s">
        <v>3757</v>
      </c>
      <c r="B1256" t="s">
        <v>3758</v>
      </c>
      <c r="C1256" t="s">
        <v>124</v>
      </c>
      <c r="D1256" t="s">
        <v>16</v>
      </c>
      <c r="E1256" t="s">
        <v>52</v>
      </c>
      <c r="F1256">
        <v>36.130000000000003</v>
      </c>
      <c r="G1256" s="1">
        <v>45920</v>
      </c>
      <c r="H1256" s="1">
        <v>45212</v>
      </c>
      <c r="I1256" t="s">
        <v>3759</v>
      </c>
      <c r="J1256" t="s">
        <v>37</v>
      </c>
      <c r="K1256">
        <v>3</v>
      </c>
      <c r="L1256" t="s">
        <v>20</v>
      </c>
      <c r="M1256" s="1">
        <f t="shared" ca="1" si="38"/>
        <v>46204</v>
      </c>
      <c r="N1256">
        <f t="shared" ca="1" si="39"/>
        <v>1</v>
      </c>
    </row>
    <row r="1257" spans="1:14" x14ac:dyDescent="0.3">
      <c r="A1257" t="s">
        <v>3760</v>
      </c>
      <c r="B1257" t="s">
        <v>3761</v>
      </c>
      <c r="C1257" t="s">
        <v>15</v>
      </c>
      <c r="D1257" t="s">
        <v>73</v>
      </c>
      <c r="E1257" t="s">
        <v>24</v>
      </c>
      <c r="F1257">
        <v>28.97</v>
      </c>
      <c r="G1257" s="1">
        <v>45986</v>
      </c>
      <c r="H1257" s="1">
        <v>43422</v>
      </c>
      <c r="I1257" t="s">
        <v>3762</v>
      </c>
      <c r="J1257" t="s">
        <v>49</v>
      </c>
      <c r="K1257">
        <v>2</v>
      </c>
      <c r="L1257" t="s">
        <v>20</v>
      </c>
      <c r="M1257" s="1">
        <f t="shared" ca="1" si="38"/>
        <v>46204</v>
      </c>
      <c r="N1257">
        <f t="shared" ca="1" si="39"/>
        <v>1</v>
      </c>
    </row>
    <row r="1258" spans="1:14" x14ac:dyDescent="0.3">
      <c r="A1258" t="s">
        <v>3763</v>
      </c>
      <c r="B1258" t="s">
        <v>3764</v>
      </c>
      <c r="C1258" t="s">
        <v>124</v>
      </c>
      <c r="D1258" t="s">
        <v>35</v>
      </c>
      <c r="E1258" t="s">
        <v>52</v>
      </c>
      <c r="F1258">
        <v>14.35</v>
      </c>
      <c r="G1258" s="1">
        <v>45745</v>
      </c>
      <c r="H1258" s="1">
        <v>42509</v>
      </c>
      <c r="I1258" t="s">
        <v>3765</v>
      </c>
      <c r="J1258" t="s">
        <v>49</v>
      </c>
      <c r="K1258">
        <v>3</v>
      </c>
      <c r="L1258" t="s">
        <v>20</v>
      </c>
      <c r="M1258" s="1">
        <f t="shared" ca="1" si="38"/>
        <v>46204</v>
      </c>
      <c r="N1258">
        <f t="shared" ca="1" si="39"/>
        <v>1</v>
      </c>
    </row>
    <row r="1259" spans="1:14" x14ac:dyDescent="0.3">
      <c r="A1259" t="s">
        <v>3766</v>
      </c>
      <c r="B1259" t="s">
        <v>3767</v>
      </c>
      <c r="C1259" t="s">
        <v>60</v>
      </c>
      <c r="D1259" t="s">
        <v>56</v>
      </c>
      <c r="E1259" t="s">
        <v>52</v>
      </c>
      <c r="F1259">
        <v>39.770000000000003</v>
      </c>
      <c r="G1259" s="1">
        <v>46061</v>
      </c>
      <c r="H1259" s="1">
        <v>42936</v>
      </c>
      <c r="I1259" t="s">
        <v>3768</v>
      </c>
      <c r="J1259" t="s">
        <v>66</v>
      </c>
      <c r="K1259">
        <v>3</v>
      </c>
      <c r="L1259" t="s">
        <v>20</v>
      </c>
      <c r="M1259" s="1">
        <f t="shared" ca="1" si="38"/>
        <v>46204</v>
      </c>
      <c r="N1259">
        <f t="shared" ca="1" si="39"/>
        <v>1</v>
      </c>
    </row>
    <row r="1260" spans="1:14" x14ac:dyDescent="0.3">
      <c r="A1260" t="s">
        <v>3769</v>
      </c>
      <c r="B1260" t="s">
        <v>3770</v>
      </c>
      <c r="C1260" t="s">
        <v>64</v>
      </c>
      <c r="D1260" t="s">
        <v>35</v>
      </c>
      <c r="E1260" t="s">
        <v>24</v>
      </c>
      <c r="F1260">
        <v>4.26</v>
      </c>
      <c r="G1260" s="1">
        <v>45910</v>
      </c>
      <c r="H1260" s="1">
        <v>42903</v>
      </c>
      <c r="I1260" t="s">
        <v>3771</v>
      </c>
      <c r="J1260" t="s">
        <v>66</v>
      </c>
      <c r="K1260">
        <v>3</v>
      </c>
      <c r="L1260" t="s">
        <v>27</v>
      </c>
      <c r="M1260" s="1">
        <f t="shared" ca="1" si="38"/>
        <v>46204</v>
      </c>
      <c r="N1260">
        <f t="shared" ca="1" si="39"/>
        <v>1</v>
      </c>
    </row>
    <row r="1261" spans="1:14" x14ac:dyDescent="0.3">
      <c r="A1261" t="s">
        <v>3772</v>
      </c>
      <c r="B1261" t="s">
        <v>3773</v>
      </c>
      <c r="C1261" t="s">
        <v>47</v>
      </c>
      <c r="D1261" t="s">
        <v>56</v>
      </c>
      <c r="E1261" t="s">
        <v>17</v>
      </c>
      <c r="F1261">
        <v>13.13</v>
      </c>
      <c r="G1261" s="1">
        <v>45713</v>
      </c>
      <c r="H1261" s="1">
        <v>43918</v>
      </c>
      <c r="I1261" t="s">
        <v>3774</v>
      </c>
      <c r="J1261" t="s">
        <v>94</v>
      </c>
      <c r="K1261">
        <v>5</v>
      </c>
      <c r="L1261" t="s">
        <v>27</v>
      </c>
      <c r="M1261" s="1">
        <f t="shared" ca="1" si="38"/>
        <v>46204</v>
      </c>
      <c r="N1261">
        <f t="shared" ca="1" si="39"/>
        <v>1</v>
      </c>
    </row>
    <row r="1262" spans="1:14" x14ac:dyDescent="0.3">
      <c r="A1262" t="s">
        <v>3775</v>
      </c>
      <c r="B1262" t="s">
        <v>3776</v>
      </c>
      <c r="C1262" t="s">
        <v>64</v>
      </c>
      <c r="D1262" t="s">
        <v>56</v>
      </c>
      <c r="E1262" t="s">
        <v>24</v>
      </c>
      <c r="F1262">
        <v>16.89</v>
      </c>
      <c r="G1262" s="1">
        <v>45876</v>
      </c>
      <c r="H1262" s="1">
        <v>44108</v>
      </c>
      <c r="I1262" t="s">
        <v>3777</v>
      </c>
      <c r="J1262" t="s">
        <v>26</v>
      </c>
      <c r="K1262">
        <v>3</v>
      </c>
      <c r="L1262" t="s">
        <v>27</v>
      </c>
      <c r="M1262" s="1">
        <f t="shared" ca="1" si="38"/>
        <v>46204</v>
      </c>
      <c r="N1262">
        <f t="shared" ca="1" si="39"/>
        <v>1</v>
      </c>
    </row>
    <row r="1263" spans="1:14" x14ac:dyDescent="0.3">
      <c r="A1263" t="s">
        <v>3778</v>
      </c>
      <c r="B1263" t="s">
        <v>3779</v>
      </c>
      <c r="C1263" t="s">
        <v>47</v>
      </c>
      <c r="D1263" t="s">
        <v>69</v>
      </c>
      <c r="E1263" t="s">
        <v>24</v>
      </c>
      <c r="F1263">
        <v>29.04</v>
      </c>
      <c r="G1263" s="1">
        <v>45764</v>
      </c>
      <c r="H1263" s="1">
        <v>42723</v>
      </c>
      <c r="I1263" t="s">
        <v>3780</v>
      </c>
      <c r="J1263" t="s">
        <v>26</v>
      </c>
      <c r="K1263">
        <v>4</v>
      </c>
      <c r="L1263" t="s">
        <v>27</v>
      </c>
      <c r="M1263" s="1">
        <f t="shared" ca="1" si="38"/>
        <v>46204</v>
      </c>
      <c r="N1263">
        <f t="shared" ca="1" si="39"/>
        <v>1</v>
      </c>
    </row>
    <row r="1264" spans="1:14" x14ac:dyDescent="0.3">
      <c r="A1264" t="s">
        <v>3781</v>
      </c>
      <c r="B1264" t="s">
        <v>3782</v>
      </c>
      <c r="C1264" t="s">
        <v>23</v>
      </c>
      <c r="D1264" t="s">
        <v>35</v>
      </c>
      <c r="E1264" t="s">
        <v>24</v>
      </c>
      <c r="F1264">
        <v>4.66</v>
      </c>
      <c r="G1264" s="1">
        <v>45935</v>
      </c>
      <c r="H1264" s="1">
        <v>44330</v>
      </c>
      <c r="I1264" t="s">
        <v>3783</v>
      </c>
      <c r="J1264" t="s">
        <v>26</v>
      </c>
      <c r="K1264">
        <v>3</v>
      </c>
      <c r="L1264" t="s">
        <v>20</v>
      </c>
      <c r="M1264" s="1">
        <f t="shared" ca="1" si="38"/>
        <v>46204</v>
      </c>
      <c r="N1264">
        <f t="shared" ca="1" si="39"/>
        <v>1</v>
      </c>
    </row>
    <row r="1265" spans="1:14" x14ac:dyDescent="0.3">
      <c r="A1265" t="s">
        <v>3784</v>
      </c>
      <c r="B1265" t="s">
        <v>3785</v>
      </c>
      <c r="C1265" t="s">
        <v>34</v>
      </c>
      <c r="D1265" t="s">
        <v>69</v>
      </c>
      <c r="E1265" t="s">
        <v>52</v>
      </c>
      <c r="F1265">
        <v>14.06</v>
      </c>
      <c r="G1265" s="1">
        <v>46008</v>
      </c>
      <c r="H1265" s="1">
        <v>43670</v>
      </c>
      <c r="I1265" t="s">
        <v>3786</v>
      </c>
      <c r="J1265" t="s">
        <v>26</v>
      </c>
      <c r="K1265">
        <v>3</v>
      </c>
      <c r="L1265" t="s">
        <v>20</v>
      </c>
      <c r="M1265" s="1">
        <f t="shared" ca="1" si="38"/>
        <v>46204</v>
      </c>
      <c r="N1265">
        <f t="shared" ca="1" si="39"/>
        <v>1</v>
      </c>
    </row>
    <row r="1266" spans="1:14" x14ac:dyDescent="0.3">
      <c r="A1266" t="s">
        <v>3787</v>
      </c>
      <c r="B1266" t="s">
        <v>3788</v>
      </c>
      <c r="C1266" t="s">
        <v>23</v>
      </c>
      <c r="D1266" t="s">
        <v>40</v>
      </c>
      <c r="E1266" t="s">
        <v>30</v>
      </c>
      <c r="F1266">
        <v>25.24</v>
      </c>
      <c r="G1266" s="1">
        <v>46064</v>
      </c>
      <c r="H1266" s="1">
        <v>44653</v>
      </c>
      <c r="I1266" t="s">
        <v>3789</v>
      </c>
      <c r="J1266" t="s">
        <v>19</v>
      </c>
      <c r="K1266">
        <v>5</v>
      </c>
      <c r="L1266" t="s">
        <v>20</v>
      </c>
      <c r="M1266" s="1">
        <f t="shared" ca="1" si="38"/>
        <v>46204</v>
      </c>
      <c r="N1266">
        <f t="shared" ca="1" si="39"/>
        <v>1</v>
      </c>
    </row>
    <row r="1267" spans="1:14" x14ac:dyDescent="0.3">
      <c r="A1267" t="s">
        <v>3790</v>
      </c>
      <c r="B1267" t="s">
        <v>3791</v>
      </c>
      <c r="C1267" t="s">
        <v>23</v>
      </c>
      <c r="D1267" t="s">
        <v>40</v>
      </c>
      <c r="E1267" t="s">
        <v>30</v>
      </c>
      <c r="F1267">
        <v>38.770000000000003</v>
      </c>
      <c r="G1267" s="1">
        <v>45869</v>
      </c>
      <c r="H1267" s="1">
        <v>43518</v>
      </c>
      <c r="I1267" t="s">
        <v>3792</v>
      </c>
      <c r="J1267" t="s">
        <v>94</v>
      </c>
      <c r="K1267">
        <v>4</v>
      </c>
      <c r="L1267" t="s">
        <v>27</v>
      </c>
      <c r="M1267" s="1">
        <f t="shared" ca="1" si="38"/>
        <v>46204</v>
      </c>
      <c r="N1267">
        <f t="shared" ca="1" si="39"/>
        <v>1</v>
      </c>
    </row>
    <row r="1268" spans="1:14" x14ac:dyDescent="0.3">
      <c r="A1268" t="s">
        <v>3793</v>
      </c>
      <c r="B1268" t="s">
        <v>3794</v>
      </c>
      <c r="C1268" t="s">
        <v>34</v>
      </c>
      <c r="D1268" t="s">
        <v>69</v>
      </c>
      <c r="E1268" t="s">
        <v>24</v>
      </c>
      <c r="F1268">
        <v>22.13</v>
      </c>
      <c r="G1268" s="1">
        <v>45762</v>
      </c>
      <c r="H1268" s="1">
        <v>42917</v>
      </c>
      <c r="I1268" t="s">
        <v>3795</v>
      </c>
      <c r="J1268" t="s">
        <v>75</v>
      </c>
      <c r="K1268">
        <v>2</v>
      </c>
      <c r="L1268" t="s">
        <v>20</v>
      </c>
      <c r="M1268" s="1">
        <f t="shared" ca="1" si="38"/>
        <v>46204</v>
      </c>
      <c r="N1268">
        <f t="shared" ca="1" si="39"/>
        <v>1</v>
      </c>
    </row>
    <row r="1269" spans="1:14" x14ac:dyDescent="0.3">
      <c r="A1269" t="s">
        <v>3796</v>
      </c>
      <c r="B1269" t="s">
        <v>3797</v>
      </c>
      <c r="C1269" t="s">
        <v>15</v>
      </c>
      <c r="D1269" t="s">
        <v>40</v>
      </c>
      <c r="E1269" t="s">
        <v>30</v>
      </c>
      <c r="F1269">
        <v>37.049999999999997</v>
      </c>
      <c r="G1269" s="1">
        <v>45949</v>
      </c>
      <c r="H1269" s="1">
        <v>43583</v>
      </c>
      <c r="I1269" t="s">
        <v>3798</v>
      </c>
      <c r="J1269" t="s">
        <v>49</v>
      </c>
      <c r="K1269">
        <v>1</v>
      </c>
      <c r="L1269" t="s">
        <v>20</v>
      </c>
      <c r="M1269" s="1">
        <f t="shared" ca="1" si="38"/>
        <v>46204</v>
      </c>
      <c r="N1269">
        <f t="shared" ca="1" si="39"/>
        <v>1</v>
      </c>
    </row>
    <row r="1270" spans="1:14" x14ac:dyDescent="0.3">
      <c r="A1270" t="s">
        <v>3799</v>
      </c>
      <c r="B1270" t="s">
        <v>3800</v>
      </c>
      <c r="C1270" t="s">
        <v>124</v>
      </c>
      <c r="D1270" t="s">
        <v>69</v>
      </c>
      <c r="E1270" t="s">
        <v>52</v>
      </c>
      <c r="F1270">
        <v>20.25</v>
      </c>
      <c r="G1270" s="1">
        <v>45826</v>
      </c>
      <c r="H1270" s="1">
        <v>43200</v>
      </c>
      <c r="I1270" t="s">
        <v>3801</v>
      </c>
      <c r="J1270" t="s">
        <v>75</v>
      </c>
      <c r="K1270">
        <v>3</v>
      </c>
      <c r="L1270" t="s">
        <v>20</v>
      </c>
      <c r="M1270" s="1">
        <f t="shared" ca="1" si="38"/>
        <v>46204</v>
      </c>
      <c r="N1270">
        <f t="shared" ca="1" si="39"/>
        <v>1</v>
      </c>
    </row>
    <row r="1271" spans="1:14" x14ac:dyDescent="0.3">
      <c r="A1271" t="s">
        <v>3802</v>
      </c>
      <c r="B1271" t="s">
        <v>3803</v>
      </c>
      <c r="C1271" t="s">
        <v>60</v>
      </c>
      <c r="D1271" t="s">
        <v>40</v>
      </c>
      <c r="E1271" t="s">
        <v>52</v>
      </c>
      <c r="F1271">
        <v>13.46</v>
      </c>
      <c r="G1271" s="1">
        <v>45934</v>
      </c>
      <c r="H1271" s="1">
        <v>44226</v>
      </c>
      <c r="I1271" t="s">
        <v>3804</v>
      </c>
      <c r="J1271" t="s">
        <v>37</v>
      </c>
      <c r="K1271">
        <v>4</v>
      </c>
      <c r="L1271" t="s">
        <v>27</v>
      </c>
      <c r="M1271" s="1">
        <f t="shared" ca="1" si="38"/>
        <v>46204</v>
      </c>
      <c r="N1271">
        <f t="shared" ca="1" si="39"/>
        <v>1</v>
      </c>
    </row>
    <row r="1272" spans="1:14" x14ac:dyDescent="0.3">
      <c r="A1272" t="s">
        <v>3805</v>
      </c>
      <c r="B1272" t="s">
        <v>3806</v>
      </c>
      <c r="C1272" t="s">
        <v>34</v>
      </c>
      <c r="D1272" t="s">
        <v>56</v>
      </c>
      <c r="E1272" t="s">
        <v>24</v>
      </c>
      <c r="F1272">
        <v>37.79</v>
      </c>
      <c r="G1272" s="1">
        <v>45794</v>
      </c>
      <c r="H1272" s="1">
        <v>43838</v>
      </c>
      <c r="I1272" t="s">
        <v>3807</v>
      </c>
      <c r="J1272" t="s">
        <v>19</v>
      </c>
      <c r="K1272">
        <v>3</v>
      </c>
      <c r="L1272" t="s">
        <v>27</v>
      </c>
      <c r="M1272" s="1">
        <f t="shared" ca="1" si="38"/>
        <v>46204</v>
      </c>
      <c r="N1272">
        <f t="shared" ca="1" si="39"/>
        <v>1</v>
      </c>
    </row>
    <row r="1273" spans="1:14" x14ac:dyDescent="0.3">
      <c r="A1273" t="s">
        <v>3808</v>
      </c>
      <c r="B1273" t="s">
        <v>3809</v>
      </c>
      <c r="C1273" t="s">
        <v>34</v>
      </c>
      <c r="D1273" t="s">
        <v>16</v>
      </c>
      <c r="E1273" t="s">
        <v>52</v>
      </c>
      <c r="F1273">
        <v>39.78</v>
      </c>
      <c r="G1273" s="1">
        <v>46054</v>
      </c>
      <c r="H1273" s="1">
        <v>44528</v>
      </c>
      <c r="I1273" t="s">
        <v>3810</v>
      </c>
      <c r="J1273" t="s">
        <v>75</v>
      </c>
      <c r="K1273">
        <v>3</v>
      </c>
      <c r="L1273" t="s">
        <v>20</v>
      </c>
      <c r="M1273" s="1">
        <f t="shared" ca="1" si="38"/>
        <v>46204</v>
      </c>
      <c r="N1273">
        <f t="shared" ca="1" si="39"/>
        <v>1</v>
      </c>
    </row>
    <row r="1274" spans="1:14" x14ac:dyDescent="0.3">
      <c r="A1274" t="s">
        <v>3811</v>
      </c>
      <c r="B1274" t="s">
        <v>3812</v>
      </c>
      <c r="C1274" t="s">
        <v>60</v>
      </c>
      <c r="D1274" t="s">
        <v>16</v>
      </c>
      <c r="E1274" t="s">
        <v>24</v>
      </c>
      <c r="F1274">
        <v>21.19</v>
      </c>
      <c r="G1274" s="1">
        <v>45804</v>
      </c>
      <c r="H1274" s="1">
        <v>42837</v>
      </c>
      <c r="I1274" t="s">
        <v>3813</v>
      </c>
      <c r="J1274" t="s">
        <v>75</v>
      </c>
      <c r="K1274">
        <v>1</v>
      </c>
      <c r="L1274" t="s">
        <v>27</v>
      </c>
      <c r="M1274" s="1">
        <f t="shared" ca="1" si="38"/>
        <v>46204</v>
      </c>
      <c r="N1274">
        <f t="shared" ca="1" si="39"/>
        <v>1</v>
      </c>
    </row>
    <row r="1275" spans="1:14" x14ac:dyDescent="0.3">
      <c r="A1275" t="s">
        <v>3814</v>
      </c>
      <c r="B1275" t="s">
        <v>3815</v>
      </c>
      <c r="C1275" t="s">
        <v>64</v>
      </c>
      <c r="D1275" t="s">
        <v>73</v>
      </c>
      <c r="E1275" t="s">
        <v>52</v>
      </c>
      <c r="F1275">
        <v>30.23</v>
      </c>
      <c r="G1275" s="1">
        <v>45816</v>
      </c>
      <c r="H1275" s="1">
        <v>44592</v>
      </c>
      <c r="I1275" t="s">
        <v>3816</v>
      </c>
      <c r="J1275" t="s">
        <v>49</v>
      </c>
      <c r="K1275">
        <v>1</v>
      </c>
      <c r="L1275" t="s">
        <v>20</v>
      </c>
      <c r="M1275" s="1">
        <f t="shared" ca="1" si="38"/>
        <v>46204</v>
      </c>
      <c r="N1275">
        <f t="shared" ca="1" si="39"/>
        <v>1</v>
      </c>
    </row>
    <row r="1276" spans="1:14" x14ac:dyDescent="0.3">
      <c r="A1276" t="s">
        <v>3817</v>
      </c>
      <c r="B1276" t="s">
        <v>3818</v>
      </c>
      <c r="C1276" t="s">
        <v>60</v>
      </c>
      <c r="D1276" t="s">
        <v>40</v>
      </c>
      <c r="E1276" t="s">
        <v>30</v>
      </c>
      <c r="F1276">
        <v>25.24</v>
      </c>
      <c r="G1276" s="1">
        <v>45751</v>
      </c>
      <c r="H1276" s="1">
        <v>42621</v>
      </c>
      <c r="I1276" t="s">
        <v>3819</v>
      </c>
      <c r="J1276" t="s">
        <v>49</v>
      </c>
      <c r="K1276">
        <v>5</v>
      </c>
      <c r="L1276" t="s">
        <v>20</v>
      </c>
      <c r="M1276" s="1">
        <f t="shared" ca="1" si="38"/>
        <v>46204</v>
      </c>
      <c r="N1276">
        <f t="shared" ca="1" si="39"/>
        <v>1</v>
      </c>
    </row>
    <row r="1277" spans="1:14" x14ac:dyDescent="0.3">
      <c r="A1277" t="s">
        <v>3820</v>
      </c>
      <c r="B1277" t="s">
        <v>3821</v>
      </c>
      <c r="C1277" t="s">
        <v>64</v>
      </c>
      <c r="D1277" t="s">
        <v>69</v>
      </c>
      <c r="E1277" t="s">
        <v>30</v>
      </c>
      <c r="F1277">
        <v>24.66</v>
      </c>
      <c r="G1277" s="1">
        <v>45754</v>
      </c>
      <c r="H1277" s="1">
        <v>42799</v>
      </c>
      <c r="I1277" t="s">
        <v>3822</v>
      </c>
      <c r="J1277" t="s">
        <v>37</v>
      </c>
      <c r="K1277">
        <v>4</v>
      </c>
      <c r="L1277" t="s">
        <v>20</v>
      </c>
      <c r="M1277" s="1">
        <f t="shared" ca="1" si="38"/>
        <v>46204</v>
      </c>
      <c r="N1277">
        <f t="shared" ca="1" si="39"/>
        <v>1</v>
      </c>
    </row>
    <row r="1278" spans="1:14" x14ac:dyDescent="0.3">
      <c r="A1278" t="s">
        <v>3823</v>
      </c>
      <c r="B1278" t="s">
        <v>3824</v>
      </c>
      <c r="C1278" t="s">
        <v>23</v>
      </c>
      <c r="D1278" t="s">
        <v>56</v>
      </c>
      <c r="E1278" t="s">
        <v>17</v>
      </c>
      <c r="F1278">
        <v>22.31</v>
      </c>
      <c r="G1278" s="1">
        <v>45951</v>
      </c>
      <c r="H1278" s="1">
        <v>43957</v>
      </c>
      <c r="I1278" t="s">
        <v>3825</v>
      </c>
      <c r="J1278" t="s">
        <v>19</v>
      </c>
      <c r="K1278">
        <v>4</v>
      </c>
      <c r="L1278" t="s">
        <v>27</v>
      </c>
      <c r="M1278" s="1">
        <f t="shared" ca="1" si="38"/>
        <v>46204</v>
      </c>
      <c r="N1278">
        <f t="shared" ca="1" si="39"/>
        <v>1</v>
      </c>
    </row>
    <row r="1279" spans="1:14" x14ac:dyDescent="0.3">
      <c r="A1279" t="s">
        <v>3826</v>
      </c>
      <c r="B1279" t="s">
        <v>3827</v>
      </c>
      <c r="C1279" t="s">
        <v>23</v>
      </c>
      <c r="D1279" t="s">
        <v>40</v>
      </c>
      <c r="E1279" t="s">
        <v>17</v>
      </c>
      <c r="F1279">
        <v>1.44</v>
      </c>
      <c r="G1279" s="1">
        <v>45771</v>
      </c>
      <c r="H1279" s="1">
        <v>43099</v>
      </c>
      <c r="I1279" t="s">
        <v>3828</v>
      </c>
      <c r="J1279" t="s">
        <v>49</v>
      </c>
      <c r="K1279">
        <v>4</v>
      </c>
      <c r="L1279" t="s">
        <v>27</v>
      </c>
      <c r="M1279" s="1">
        <f t="shared" ca="1" si="38"/>
        <v>46204</v>
      </c>
      <c r="N1279">
        <f t="shared" ca="1" si="39"/>
        <v>1</v>
      </c>
    </row>
    <row r="1280" spans="1:14" x14ac:dyDescent="0.3">
      <c r="A1280" t="s">
        <v>3829</v>
      </c>
      <c r="B1280" t="s">
        <v>3830</v>
      </c>
      <c r="C1280" t="s">
        <v>23</v>
      </c>
      <c r="D1280" t="s">
        <v>69</v>
      </c>
      <c r="E1280" t="s">
        <v>17</v>
      </c>
      <c r="F1280">
        <v>30.79</v>
      </c>
      <c r="G1280" s="1">
        <v>46003</v>
      </c>
      <c r="H1280" s="1">
        <v>42484</v>
      </c>
      <c r="I1280" t="s">
        <v>3831</v>
      </c>
      <c r="J1280" t="s">
        <v>66</v>
      </c>
      <c r="K1280">
        <v>2</v>
      </c>
      <c r="L1280" t="s">
        <v>20</v>
      </c>
      <c r="M1280" s="1">
        <f t="shared" ca="1" si="38"/>
        <v>46204</v>
      </c>
      <c r="N1280">
        <f t="shared" ca="1" si="39"/>
        <v>1</v>
      </c>
    </row>
    <row r="1281" spans="1:14" x14ac:dyDescent="0.3">
      <c r="A1281" t="s">
        <v>3832</v>
      </c>
      <c r="B1281" t="s">
        <v>3833</v>
      </c>
      <c r="C1281" t="s">
        <v>47</v>
      </c>
      <c r="D1281" t="s">
        <v>69</v>
      </c>
      <c r="E1281" t="s">
        <v>17</v>
      </c>
      <c r="F1281">
        <v>29.8</v>
      </c>
      <c r="G1281" s="1">
        <v>45873</v>
      </c>
      <c r="H1281" s="1">
        <v>43821</v>
      </c>
      <c r="I1281" t="s">
        <v>3834</v>
      </c>
      <c r="J1281" t="s">
        <v>49</v>
      </c>
      <c r="K1281">
        <v>3</v>
      </c>
      <c r="L1281" t="s">
        <v>27</v>
      </c>
      <c r="M1281" s="1">
        <f t="shared" ca="1" si="38"/>
        <v>46204</v>
      </c>
      <c r="N1281">
        <f t="shared" ca="1" si="39"/>
        <v>1</v>
      </c>
    </row>
    <row r="1282" spans="1:14" x14ac:dyDescent="0.3">
      <c r="A1282" t="s">
        <v>3835</v>
      </c>
      <c r="B1282" t="s">
        <v>3836</v>
      </c>
      <c r="C1282" t="s">
        <v>60</v>
      </c>
      <c r="D1282" t="s">
        <v>56</v>
      </c>
      <c r="E1282" t="s">
        <v>24</v>
      </c>
      <c r="F1282">
        <v>31.97</v>
      </c>
      <c r="G1282" s="1">
        <v>45974</v>
      </c>
      <c r="H1282" s="1">
        <v>44982</v>
      </c>
      <c r="I1282" t="s">
        <v>3837</v>
      </c>
      <c r="J1282" t="s">
        <v>19</v>
      </c>
      <c r="K1282">
        <v>2</v>
      </c>
      <c r="L1282" t="s">
        <v>27</v>
      </c>
      <c r="M1282" s="1">
        <f t="shared" ca="1" si="38"/>
        <v>46204</v>
      </c>
      <c r="N1282">
        <f t="shared" ca="1" si="39"/>
        <v>1</v>
      </c>
    </row>
    <row r="1283" spans="1:14" x14ac:dyDescent="0.3">
      <c r="A1283" t="s">
        <v>3838</v>
      </c>
      <c r="B1283" t="s">
        <v>3839</v>
      </c>
      <c r="C1283" t="s">
        <v>34</v>
      </c>
      <c r="D1283" t="s">
        <v>35</v>
      </c>
      <c r="E1283" t="s">
        <v>52</v>
      </c>
      <c r="F1283">
        <v>29.56</v>
      </c>
      <c r="G1283" s="1">
        <v>45920</v>
      </c>
      <c r="H1283" s="1">
        <v>45450</v>
      </c>
      <c r="I1283" t="s">
        <v>3840</v>
      </c>
      <c r="J1283" t="s">
        <v>75</v>
      </c>
      <c r="K1283">
        <v>5</v>
      </c>
      <c r="L1283" t="s">
        <v>27</v>
      </c>
      <c r="M1283" s="1">
        <f t="shared" ref="M1283:M1346" ca="1" si="40">TODAY()</f>
        <v>46204</v>
      </c>
      <c r="N1283">
        <f t="shared" ref="N1283:N1346" ca="1" si="41">IF(G1283&lt;M1283,1,0)</f>
        <v>1</v>
      </c>
    </row>
    <row r="1284" spans="1:14" x14ac:dyDescent="0.3">
      <c r="A1284" t="s">
        <v>3841</v>
      </c>
      <c r="B1284" t="s">
        <v>3842</v>
      </c>
      <c r="C1284" t="s">
        <v>15</v>
      </c>
      <c r="D1284" t="s">
        <v>73</v>
      </c>
      <c r="E1284" t="s">
        <v>52</v>
      </c>
      <c r="F1284">
        <v>24.1</v>
      </c>
      <c r="G1284" s="1">
        <v>45715</v>
      </c>
      <c r="H1284" s="1">
        <v>44762</v>
      </c>
      <c r="I1284" t="s">
        <v>3843</v>
      </c>
      <c r="J1284" t="s">
        <v>75</v>
      </c>
      <c r="K1284">
        <v>5</v>
      </c>
      <c r="L1284" t="s">
        <v>20</v>
      </c>
      <c r="M1284" s="1">
        <f t="shared" ca="1" si="40"/>
        <v>46204</v>
      </c>
      <c r="N1284">
        <f t="shared" ca="1" si="41"/>
        <v>1</v>
      </c>
    </row>
    <row r="1285" spans="1:14" x14ac:dyDescent="0.3">
      <c r="A1285" t="s">
        <v>3844</v>
      </c>
      <c r="B1285" t="s">
        <v>3845</v>
      </c>
      <c r="C1285" t="s">
        <v>47</v>
      </c>
      <c r="D1285" t="s">
        <v>40</v>
      </c>
      <c r="E1285" t="s">
        <v>24</v>
      </c>
      <c r="F1285">
        <v>9.57</v>
      </c>
      <c r="G1285" s="1">
        <v>45753</v>
      </c>
      <c r="H1285" s="1">
        <v>45299</v>
      </c>
      <c r="I1285" t="s">
        <v>3846</v>
      </c>
      <c r="J1285" t="s">
        <v>19</v>
      </c>
      <c r="K1285">
        <v>5</v>
      </c>
      <c r="L1285" t="s">
        <v>27</v>
      </c>
      <c r="M1285" s="1">
        <f t="shared" ca="1" si="40"/>
        <v>46204</v>
      </c>
      <c r="N1285">
        <f t="shared" ca="1" si="41"/>
        <v>1</v>
      </c>
    </row>
    <row r="1286" spans="1:14" x14ac:dyDescent="0.3">
      <c r="A1286" t="s">
        <v>3847</v>
      </c>
      <c r="B1286" t="s">
        <v>3848</v>
      </c>
      <c r="C1286" t="s">
        <v>23</v>
      </c>
      <c r="D1286" t="s">
        <v>40</v>
      </c>
      <c r="E1286" t="s">
        <v>52</v>
      </c>
      <c r="F1286">
        <v>36.9</v>
      </c>
      <c r="G1286" s="1">
        <v>45883</v>
      </c>
      <c r="H1286" s="1">
        <v>44345</v>
      </c>
      <c r="I1286" t="s">
        <v>3849</v>
      </c>
      <c r="J1286" t="s">
        <v>37</v>
      </c>
      <c r="K1286">
        <v>3</v>
      </c>
      <c r="L1286" t="s">
        <v>20</v>
      </c>
      <c r="M1286" s="1">
        <f t="shared" ca="1" si="40"/>
        <v>46204</v>
      </c>
      <c r="N1286">
        <f t="shared" ca="1" si="41"/>
        <v>1</v>
      </c>
    </row>
    <row r="1287" spans="1:14" x14ac:dyDescent="0.3">
      <c r="A1287" t="s">
        <v>3850</v>
      </c>
      <c r="B1287" t="s">
        <v>3851</v>
      </c>
      <c r="C1287" t="s">
        <v>15</v>
      </c>
      <c r="D1287" t="s">
        <v>56</v>
      </c>
      <c r="E1287" t="s">
        <v>30</v>
      </c>
      <c r="F1287">
        <v>4.18</v>
      </c>
      <c r="G1287" s="1">
        <v>45948</v>
      </c>
      <c r="H1287" s="1">
        <v>43172</v>
      </c>
      <c r="I1287" t="s">
        <v>739</v>
      </c>
      <c r="J1287" t="s">
        <v>66</v>
      </c>
      <c r="K1287">
        <v>5</v>
      </c>
      <c r="L1287" t="s">
        <v>27</v>
      </c>
      <c r="M1287" s="1">
        <f t="shared" ca="1" si="40"/>
        <v>46204</v>
      </c>
      <c r="N1287">
        <f t="shared" ca="1" si="41"/>
        <v>1</v>
      </c>
    </row>
    <row r="1288" spans="1:14" x14ac:dyDescent="0.3">
      <c r="A1288" t="s">
        <v>3852</v>
      </c>
      <c r="B1288" t="s">
        <v>3853</v>
      </c>
      <c r="C1288" t="s">
        <v>60</v>
      </c>
      <c r="D1288" t="s">
        <v>40</v>
      </c>
      <c r="E1288" t="s">
        <v>52</v>
      </c>
      <c r="F1288">
        <v>32.909999999999997</v>
      </c>
      <c r="G1288" s="1">
        <v>45850</v>
      </c>
      <c r="H1288" s="1">
        <v>44578</v>
      </c>
      <c r="I1288" t="s">
        <v>3854</v>
      </c>
      <c r="J1288" t="s">
        <v>19</v>
      </c>
      <c r="K1288">
        <v>4</v>
      </c>
      <c r="L1288" t="s">
        <v>27</v>
      </c>
      <c r="M1288" s="1">
        <f t="shared" ca="1" si="40"/>
        <v>46204</v>
      </c>
      <c r="N1288">
        <f t="shared" ca="1" si="41"/>
        <v>1</v>
      </c>
    </row>
    <row r="1289" spans="1:14" x14ac:dyDescent="0.3">
      <c r="A1289" t="s">
        <v>3855</v>
      </c>
      <c r="B1289" t="s">
        <v>3856</v>
      </c>
      <c r="C1289" t="s">
        <v>15</v>
      </c>
      <c r="D1289" t="s">
        <v>56</v>
      </c>
      <c r="E1289" t="s">
        <v>52</v>
      </c>
      <c r="F1289">
        <v>10.11</v>
      </c>
      <c r="G1289" s="1">
        <v>46058</v>
      </c>
      <c r="H1289" s="1">
        <v>45183</v>
      </c>
      <c r="I1289" t="s">
        <v>1132</v>
      </c>
      <c r="J1289" t="s">
        <v>26</v>
      </c>
      <c r="K1289">
        <v>3</v>
      </c>
      <c r="L1289" t="s">
        <v>27</v>
      </c>
      <c r="M1289" s="1">
        <f t="shared" ca="1" si="40"/>
        <v>46204</v>
      </c>
      <c r="N1289">
        <f t="shared" ca="1" si="41"/>
        <v>1</v>
      </c>
    </row>
    <row r="1290" spans="1:14" x14ac:dyDescent="0.3">
      <c r="A1290" t="s">
        <v>3857</v>
      </c>
      <c r="B1290" t="s">
        <v>3858</v>
      </c>
      <c r="C1290" t="s">
        <v>34</v>
      </c>
      <c r="D1290" t="s">
        <v>56</v>
      </c>
      <c r="E1290" t="s">
        <v>52</v>
      </c>
      <c r="F1290">
        <v>32.020000000000003</v>
      </c>
      <c r="G1290" s="1">
        <v>45870</v>
      </c>
      <c r="H1290" s="1">
        <v>44007</v>
      </c>
      <c r="I1290" t="s">
        <v>3859</v>
      </c>
      <c r="J1290" t="s">
        <v>66</v>
      </c>
      <c r="K1290">
        <v>5</v>
      </c>
      <c r="L1290" t="s">
        <v>20</v>
      </c>
      <c r="M1290" s="1">
        <f t="shared" ca="1" si="40"/>
        <v>46204</v>
      </c>
      <c r="N1290">
        <f t="shared" ca="1" si="41"/>
        <v>1</v>
      </c>
    </row>
    <row r="1291" spans="1:14" x14ac:dyDescent="0.3">
      <c r="A1291" t="s">
        <v>3860</v>
      </c>
      <c r="B1291" t="s">
        <v>3861</v>
      </c>
      <c r="C1291" t="s">
        <v>47</v>
      </c>
      <c r="D1291" t="s">
        <v>69</v>
      </c>
      <c r="E1291" t="s">
        <v>24</v>
      </c>
      <c r="F1291">
        <v>3.52</v>
      </c>
      <c r="G1291" s="1">
        <v>45866</v>
      </c>
      <c r="H1291" s="1">
        <v>43266</v>
      </c>
      <c r="I1291" t="s">
        <v>3862</v>
      </c>
      <c r="J1291" t="s">
        <v>37</v>
      </c>
      <c r="K1291">
        <v>4</v>
      </c>
      <c r="L1291" t="s">
        <v>27</v>
      </c>
      <c r="M1291" s="1">
        <f t="shared" ca="1" si="40"/>
        <v>46204</v>
      </c>
      <c r="N1291">
        <f t="shared" ca="1" si="41"/>
        <v>1</v>
      </c>
    </row>
    <row r="1292" spans="1:14" x14ac:dyDescent="0.3">
      <c r="A1292" t="s">
        <v>3863</v>
      </c>
      <c r="B1292" t="s">
        <v>3864</v>
      </c>
      <c r="C1292" t="s">
        <v>47</v>
      </c>
      <c r="D1292" t="s">
        <v>16</v>
      </c>
      <c r="E1292" t="s">
        <v>17</v>
      </c>
      <c r="F1292">
        <v>28.5</v>
      </c>
      <c r="G1292" s="1">
        <v>45838</v>
      </c>
      <c r="H1292" s="1">
        <v>44651</v>
      </c>
      <c r="I1292" t="s">
        <v>3865</v>
      </c>
      <c r="J1292" t="s">
        <v>75</v>
      </c>
      <c r="K1292">
        <v>5</v>
      </c>
      <c r="L1292" t="s">
        <v>20</v>
      </c>
      <c r="M1292" s="1">
        <f t="shared" ca="1" si="40"/>
        <v>46204</v>
      </c>
      <c r="N1292">
        <f t="shared" ca="1" si="41"/>
        <v>1</v>
      </c>
    </row>
    <row r="1293" spans="1:14" x14ac:dyDescent="0.3">
      <c r="A1293" t="s">
        <v>3866</v>
      </c>
      <c r="B1293" t="s">
        <v>3867</v>
      </c>
      <c r="C1293" t="s">
        <v>60</v>
      </c>
      <c r="D1293" t="s">
        <v>56</v>
      </c>
      <c r="E1293" t="s">
        <v>52</v>
      </c>
      <c r="F1293">
        <v>34.49</v>
      </c>
      <c r="G1293" s="1">
        <v>45807</v>
      </c>
      <c r="H1293" s="1">
        <v>43354</v>
      </c>
      <c r="I1293" t="s">
        <v>3868</v>
      </c>
      <c r="J1293" t="s">
        <v>66</v>
      </c>
      <c r="K1293">
        <v>2</v>
      </c>
      <c r="L1293" t="s">
        <v>20</v>
      </c>
      <c r="M1293" s="1">
        <f t="shared" ca="1" si="40"/>
        <v>46204</v>
      </c>
      <c r="N1293">
        <f t="shared" ca="1" si="41"/>
        <v>1</v>
      </c>
    </row>
    <row r="1294" spans="1:14" x14ac:dyDescent="0.3">
      <c r="A1294" t="s">
        <v>3869</v>
      </c>
      <c r="B1294" t="s">
        <v>3870</v>
      </c>
      <c r="C1294" t="s">
        <v>60</v>
      </c>
      <c r="D1294" t="s">
        <v>35</v>
      </c>
      <c r="E1294" t="s">
        <v>30</v>
      </c>
      <c r="F1294">
        <v>12.98</v>
      </c>
      <c r="G1294" s="1">
        <v>45725</v>
      </c>
      <c r="H1294" s="1">
        <v>45473</v>
      </c>
      <c r="I1294" t="s">
        <v>3871</v>
      </c>
      <c r="J1294" t="s">
        <v>37</v>
      </c>
      <c r="K1294">
        <v>4</v>
      </c>
      <c r="L1294" t="s">
        <v>20</v>
      </c>
      <c r="M1294" s="1">
        <f t="shared" ca="1" si="40"/>
        <v>46204</v>
      </c>
      <c r="N1294">
        <f t="shared" ca="1" si="41"/>
        <v>1</v>
      </c>
    </row>
    <row r="1295" spans="1:14" x14ac:dyDescent="0.3">
      <c r="A1295" t="s">
        <v>3872</v>
      </c>
      <c r="B1295" t="s">
        <v>3873</v>
      </c>
      <c r="C1295" t="s">
        <v>64</v>
      </c>
      <c r="D1295" t="s">
        <v>69</v>
      </c>
      <c r="E1295" t="s">
        <v>24</v>
      </c>
      <c r="F1295">
        <v>25.21</v>
      </c>
      <c r="G1295" s="1">
        <v>45845</v>
      </c>
      <c r="H1295" s="1">
        <v>45396</v>
      </c>
      <c r="I1295" t="s">
        <v>3874</v>
      </c>
      <c r="J1295" t="s">
        <v>75</v>
      </c>
      <c r="K1295">
        <v>5</v>
      </c>
      <c r="L1295" t="s">
        <v>20</v>
      </c>
      <c r="M1295" s="1">
        <f t="shared" ca="1" si="40"/>
        <v>46204</v>
      </c>
      <c r="N1295">
        <f t="shared" ca="1" si="41"/>
        <v>1</v>
      </c>
    </row>
    <row r="1296" spans="1:14" x14ac:dyDescent="0.3">
      <c r="A1296" t="s">
        <v>3875</v>
      </c>
      <c r="B1296" t="s">
        <v>3876</v>
      </c>
      <c r="C1296" t="s">
        <v>15</v>
      </c>
      <c r="D1296" t="s">
        <v>40</v>
      </c>
      <c r="E1296" t="s">
        <v>17</v>
      </c>
      <c r="F1296">
        <v>32.04</v>
      </c>
      <c r="G1296" s="1">
        <v>46062</v>
      </c>
      <c r="H1296" s="1">
        <v>44309</v>
      </c>
      <c r="I1296" t="s">
        <v>3877</v>
      </c>
      <c r="J1296" t="s">
        <v>37</v>
      </c>
      <c r="K1296">
        <v>5</v>
      </c>
      <c r="L1296" t="s">
        <v>27</v>
      </c>
      <c r="M1296" s="1">
        <f t="shared" ca="1" si="40"/>
        <v>46204</v>
      </c>
      <c r="N1296">
        <f t="shared" ca="1" si="41"/>
        <v>1</v>
      </c>
    </row>
    <row r="1297" spans="1:14" x14ac:dyDescent="0.3">
      <c r="A1297" t="s">
        <v>3878</v>
      </c>
      <c r="B1297" t="s">
        <v>3879</v>
      </c>
      <c r="C1297" t="s">
        <v>60</v>
      </c>
      <c r="D1297" t="s">
        <v>35</v>
      </c>
      <c r="E1297" t="s">
        <v>52</v>
      </c>
      <c r="F1297">
        <v>9.65</v>
      </c>
      <c r="G1297" s="1">
        <v>45967</v>
      </c>
      <c r="H1297" s="1">
        <v>43548</v>
      </c>
      <c r="I1297" t="s">
        <v>3880</v>
      </c>
      <c r="J1297" t="s">
        <v>26</v>
      </c>
      <c r="K1297">
        <v>3</v>
      </c>
      <c r="L1297" t="s">
        <v>27</v>
      </c>
      <c r="M1297" s="1">
        <f t="shared" ca="1" si="40"/>
        <v>46204</v>
      </c>
      <c r="N1297">
        <f t="shared" ca="1" si="41"/>
        <v>1</v>
      </c>
    </row>
    <row r="1298" spans="1:14" x14ac:dyDescent="0.3">
      <c r="A1298" t="s">
        <v>3881</v>
      </c>
      <c r="B1298" t="s">
        <v>3882</v>
      </c>
      <c r="C1298" t="s">
        <v>64</v>
      </c>
      <c r="D1298" t="s">
        <v>69</v>
      </c>
      <c r="E1298" t="s">
        <v>30</v>
      </c>
      <c r="F1298">
        <v>13.77</v>
      </c>
      <c r="G1298" s="1">
        <v>46012</v>
      </c>
      <c r="H1298" s="1">
        <v>45294</v>
      </c>
      <c r="I1298" t="s">
        <v>3883</v>
      </c>
      <c r="J1298" t="s">
        <v>37</v>
      </c>
      <c r="K1298">
        <v>2</v>
      </c>
      <c r="L1298" t="s">
        <v>27</v>
      </c>
      <c r="M1298" s="1">
        <f t="shared" ca="1" si="40"/>
        <v>46204</v>
      </c>
      <c r="N1298">
        <f t="shared" ca="1" si="41"/>
        <v>1</v>
      </c>
    </row>
    <row r="1299" spans="1:14" x14ac:dyDescent="0.3">
      <c r="A1299" t="s">
        <v>3884</v>
      </c>
      <c r="B1299" t="s">
        <v>3885</v>
      </c>
      <c r="C1299" t="s">
        <v>124</v>
      </c>
      <c r="D1299" t="s">
        <v>69</v>
      </c>
      <c r="E1299" t="s">
        <v>24</v>
      </c>
      <c r="F1299">
        <v>8.4700000000000006</v>
      </c>
      <c r="G1299" s="1">
        <v>46003</v>
      </c>
      <c r="H1299" s="1">
        <v>43814</v>
      </c>
      <c r="I1299" t="s">
        <v>3886</v>
      </c>
      <c r="J1299" t="s">
        <v>94</v>
      </c>
      <c r="K1299">
        <v>2</v>
      </c>
      <c r="L1299" t="s">
        <v>20</v>
      </c>
      <c r="M1299" s="1">
        <f t="shared" ca="1" si="40"/>
        <v>46204</v>
      </c>
      <c r="N1299">
        <f t="shared" ca="1" si="41"/>
        <v>1</v>
      </c>
    </row>
    <row r="1300" spans="1:14" x14ac:dyDescent="0.3">
      <c r="A1300" t="s">
        <v>3887</v>
      </c>
      <c r="B1300" t="s">
        <v>3888</v>
      </c>
      <c r="C1300" t="s">
        <v>64</v>
      </c>
      <c r="D1300" t="s">
        <v>16</v>
      </c>
      <c r="E1300" t="s">
        <v>17</v>
      </c>
      <c r="F1300">
        <v>21.91</v>
      </c>
      <c r="G1300" s="1">
        <v>45939</v>
      </c>
      <c r="H1300" s="1">
        <v>44607</v>
      </c>
      <c r="I1300" t="s">
        <v>3889</v>
      </c>
      <c r="J1300" t="s">
        <v>94</v>
      </c>
      <c r="K1300">
        <v>1</v>
      </c>
      <c r="L1300" t="s">
        <v>20</v>
      </c>
      <c r="M1300" s="1">
        <f t="shared" ca="1" si="40"/>
        <v>46204</v>
      </c>
      <c r="N1300">
        <f t="shared" ca="1" si="41"/>
        <v>1</v>
      </c>
    </row>
    <row r="1301" spans="1:14" x14ac:dyDescent="0.3">
      <c r="A1301" t="s">
        <v>3890</v>
      </c>
      <c r="B1301" t="s">
        <v>3891</v>
      </c>
      <c r="C1301" t="s">
        <v>60</v>
      </c>
      <c r="D1301" t="s">
        <v>69</v>
      </c>
      <c r="E1301" t="s">
        <v>24</v>
      </c>
      <c r="F1301">
        <v>16.739999999999998</v>
      </c>
      <c r="G1301" s="1">
        <v>45905</v>
      </c>
      <c r="H1301" s="1">
        <v>44103</v>
      </c>
      <c r="I1301" t="s">
        <v>3892</v>
      </c>
      <c r="J1301" t="s">
        <v>94</v>
      </c>
      <c r="K1301">
        <v>2</v>
      </c>
      <c r="L1301" t="s">
        <v>27</v>
      </c>
      <c r="M1301" s="1">
        <f t="shared" ca="1" si="40"/>
        <v>46204</v>
      </c>
      <c r="N1301">
        <f t="shared" ca="1" si="41"/>
        <v>1</v>
      </c>
    </row>
    <row r="1302" spans="1:14" x14ac:dyDescent="0.3">
      <c r="A1302" t="s">
        <v>3893</v>
      </c>
      <c r="B1302" t="s">
        <v>3894</v>
      </c>
      <c r="C1302" t="s">
        <v>60</v>
      </c>
      <c r="D1302" t="s">
        <v>35</v>
      </c>
      <c r="E1302" t="s">
        <v>30</v>
      </c>
      <c r="F1302">
        <v>3.28</v>
      </c>
      <c r="G1302" s="1">
        <v>45732</v>
      </c>
      <c r="H1302" s="1">
        <v>43048</v>
      </c>
      <c r="I1302" t="s">
        <v>865</v>
      </c>
      <c r="J1302" t="s">
        <v>26</v>
      </c>
      <c r="K1302">
        <v>3</v>
      </c>
      <c r="L1302" t="s">
        <v>27</v>
      </c>
      <c r="M1302" s="1">
        <f t="shared" ca="1" si="40"/>
        <v>46204</v>
      </c>
      <c r="N1302">
        <f t="shared" ca="1" si="41"/>
        <v>1</v>
      </c>
    </row>
    <row r="1303" spans="1:14" x14ac:dyDescent="0.3">
      <c r="A1303" t="s">
        <v>3895</v>
      </c>
      <c r="B1303" t="s">
        <v>3896</v>
      </c>
      <c r="C1303" t="s">
        <v>23</v>
      </c>
      <c r="D1303" t="s">
        <v>35</v>
      </c>
      <c r="E1303" t="s">
        <v>17</v>
      </c>
      <c r="F1303">
        <v>31.25</v>
      </c>
      <c r="G1303" s="1">
        <v>45726</v>
      </c>
      <c r="H1303" s="1">
        <v>42680</v>
      </c>
      <c r="I1303" t="s">
        <v>3897</v>
      </c>
      <c r="J1303" t="s">
        <v>37</v>
      </c>
      <c r="K1303">
        <v>4</v>
      </c>
      <c r="L1303" t="s">
        <v>27</v>
      </c>
      <c r="M1303" s="1">
        <f t="shared" ca="1" si="40"/>
        <v>46204</v>
      </c>
      <c r="N1303">
        <f t="shared" ca="1" si="41"/>
        <v>1</v>
      </c>
    </row>
    <row r="1304" spans="1:14" x14ac:dyDescent="0.3">
      <c r="A1304" t="s">
        <v>3898</v>
      </c>
      <c r="B1304" t="s">
        <v>3899</v>
      </c>
      <c r="C1304" t="s">
        <v>64</v>
      </c>
      <c r="D1304" t="s">
        <v>35</v>
      </c>
      <c r="E1304" t="s">
        <v>17</v>
      </c>
      <c r="F1304">
        <v>35.96</v>
      </c>
      <c r="G1304" s="1">
        <v>46013</v>
      </c>
      <c r="H1304" s="1">
        <v>45080</v>
      </c>
      <c r="I1304" t="s">
        <v>3900</v>
      </c>
      <c r="J1304" t="s">
        <v>94</v>
      </c>
      <c r="K1304">
        <v>1</v>
      </c>
      <c r="L1304" t="s">
        <v>27</v>
      </c>
      <c r="M1304" s="1">
        <f t="shared" ca="1" si="40"/>
        <v>46204</v>
      </c>
      <c r="N1304">
        <f t="shared" ca="1" si="41"/>
        <v>1</v>
      </c>
    </row>
    <row r="1305" spans="1:14" x14ac:dyDescent="0.3">
      <c r="A1305" t="s">
        <v>3901</v>
      </c>
      <c r="B1305" t="s">
        <v>2350</v>
      </c>
      <c r="C1305" t="s">
        <v>47</v>
      </c>
      <c r="D1305" t="s">
        <v>16</v>
      </c>
      <c r="E1305" t="s">
        <v>52</v>
      </c>
      <c r="F1305">
        <v>34.57</v>
      </c>
      <c r="G1305" s="1">
        <v>46062</v>
      </c>
      <c r="H1305" s="1">
        <v>42689</v>
      </c>
      <c r="I1305" t="s">
        <v>3902</v>
      </c>
      <c r="J1305" t="s">
        <v>37</v>
      </c>
      <c r="K1305">
        <v>4</v>
      </c>
      <c r="L1305" t="s">
        <v>27</v>
      </c>
      <c r="M1305" s="1">
        <f t="shared" ca="1" si="40"/>
        <v>46204</v>
      </c>
      <c r="N1305">
        <f t="shared" ca="1" si="41"/>
        <v>1</v>
      </c>
    </row>
    <row r="1306" spans="1:14" x14ac:dyDescent="0.3">
      <c r="A1306" t="s">
        <v>3903</v>
      </c>
      <c r="B1306" t="s">
        <v>3786</v>
      </c>
      <c r="C1306" t="s">
        <v>34</v>
      </c>
      <c r="D1306" t="s">
        <v>35</v>
      </c>
      <c r="E1306" t="s">
        <v>24</v>
      </c>
      <c r="F1306">
        <v>2.04</v>
      </c>
      <c r="G1306" s="1">
        <v>45993</v>
      </c>
      <c r="H1306" s="1">
        <v>44159</v>
      </c>
      <c r="I1306" t="s">
        <v>3904</v>
      </c>
      <c r="J1306" t="s">
        <v>26</v>
      </c>
      <c r="K1306">
        <v>1</v>
      </c>
      <c r="L1306" t="s">
        <v>27</v>
      </c>
      <c r="M1306" s="1">
        <f t="shared" ca="1" si="40"/>
        <v>46204</v>
      </c>
      <c r="N1306">
        <f t="shared" ca="1" si="41"/>
        <v>1</v>
      </c>
    </row>
    <row r="1307" spans="1:14" x14ac:dyDescent="0.3">
      <c r="A1307" t="s">
        <v>3905</v>
      </c>
      <c r="B1307" t="s">
        <v>3906</v>
      </c>
      <c r="C1307" t="s">
        <v>60</v>
      </c>
      <c r="D1307" t="s">
        <v>56</v>
      </c>
      <c r="E1307" t="s">
        <v>30</v>
      </c>
      <c r="F1307">
        <v>27.06</v>
      </c>
      <c r="G1307" s="1">
        <v>45732</v>
      </c>
      <c r="H1307" s="1">
        <v>45118</v>
      </c>
      <c r="I1307" t="s">
        <v>3907</v>
      </c>
      <c r="J1307" t="s">
        <v>26</v>
      </c>
      <c r="K1307">
        <v>5</v>
      </c>
      <c r="L1307" t="s">
        <v>20</v>
      </c>
      <c r="M1307" s="1">
        <f t="shared" ca="1" si="40"/>
        <v>46204</v>
      </c>
      <c r="N1307">
        <f t="shared" ca="1" si="41"/>
        <v>1</v>
      </c>
    </row>
    <row r="1308" spans="1:14" x14ac:dyDescent="0.3">
      <c r="A1308" t="s">
        <v>3908</v>
      </c>
      <c r="B1308" t="s">
        <v>3909</v>
      </c>
      <c r="C1308" t="s">
        <v>15</v>
      </c>
      <c r="D1308" t="s">
        <v>69</v>
      </c>
      <c r="E1308" t="s">
        <v>17</v>
      </c>
      <c r="F1308">
        <v>6.62</v>
      </c>
      <c r="G1308" s="1">
        <v>45801</v>
      </c>
      <c r="H1308" s="1">
        <v>45255</v>
      </c>
      <c r="I1308" t="s">
        <v>3910</v>
      </c>
      <c r="J1308" t="s">
        <v>19</v>
      </c>
      <c r="K1308">
        <v>3</v>
      </c>
      <c r="L1308" t="s">
        <v>27</v>
      </c>
      <c r="M1308" s="1">
        <f t="shared" ca="1" si="40"/>
        <v>46204</v>
      </c>
      <c r="N1308">
        <f t="shared" ca="1" si="41"/>
        <v>1</v>
      </c>
    </row>
    <row r="1309" spans="1:14" x14ac:dyDescent="0.3">
      <c r="A1309" t="s">
        <v>3911</v>
      </c>
      <c r="B1309" t="s">
        <v>3912</v>
      </c>
      <c r="C1309" t="s">
        <v>124</v>
      </c>
      <c r="D1309" t="s">
        <v>35</v>
      </c>
      <c r="E1309" t="s">
        <v>24</v>
      </c>
      <c r="F1309">
        <v>12.45</v>
      </c>
      <c r="G1309" s="1">
        <v>45875</v>
      </c>
      <c r="H1309" s="1">
        <v>44749</v>
      </c>
      <c r="I1309" t="s">
        <v>3913</v>
      </c>
      <c r="J1309" t="s">
        <v>37</v>
      </c>
      <c r="K1309">
        <v>4</v>
      </c>
      <c r="L1309" t="s">
        <v>27</v>
      </c>
      <c r="M1309" s="1">
        <f t="shared" ca="1" si="40"/>
        <v>46204</v>
      </c>
      <c r="N1309">
        <f t="shared" ca="1" si="41"/>
        <v>1</v>
      </c>
    </row>
    <row r="1310" spans="1:14" x14ac:dyDescent="0.3">
      <c r="A1310" t="s">
        <v>3914</v>
      </c>
      <c r="B1310" t="s">
        <v>3915</v>
      </c>
      <c r="C1310" t="s">
        <v>60</v>
      </c>
      <c r="D1310" t="s">
        <v>69</v>
      </c>
      <c r="E1310" t="s">
        <v>30</v>
      </c>
      <c r="F1310">
        <v>20.12</v>
      </c>
      <c r="G1310" s="1">
        <v>45878</v>
      </c>
      <c r="H1310" s="1">
        <v>45377</v>
      </c>
      <c r="I1310" t="s">
        <v>3916</v>
      </c>
      <c r="J1310" t="s">
        <v>75</v>
      </c>
      <c r="K1310">
        <v>2</v>
      </c>
      <c r="L1310" t="s">
        <v>27</v>
      </c>
      <c r="M1310" s="1">
        <f t="shared" ca="1" si="40"/>
        <v>46204</v>
      </c>
      <c r="N1310">
        <f t="shared" ca="1" si="41"/>
        <v>1</v>
      </c>
    </row>
    <row r="1311" spans="1:14" x14ac:dyDescent="0.3">
      <c r="A1311" t="s">
        <v>3917</v>
      </c>
      <c r="B1311" t="s">
        <v>3918</v>
      </c>
      <c r="C1311" t="s">
        <v>124</v>
      </c>
      <c r="D1311" t="s">
        <v>16</v>
      </c>
      <c r="E1311" t="s">
        <v>30</v>
      </c>
      <c r="F1311">
        <v>2.0499999999999998</v>
      </c>
      <c r="G1311" s="1">
        <v>45934</v>
      </c>
      <c r="H1311" s="1">
        <v>44226</v>
      </c>
      <c r="I1311" t="s">
        <v>3919</v>
      </c>
      <c r="J1311" t="s">
        <v>19</v>
      </c>
      <c r="K1311">
        <v>4</v>
      </c>
      <c r="L1311" t="s">
        <v>20</v>
      </c>
      <c r="M1311" s="1">
        <f t="shared" ca="1" si="40"/>
        <v>46204</v>
      </c>
      <c r="N1311">
        <f t="shared" ca="1" si="41"/>
        <v>1</v>
      </c>
    </row>
    <row r="1312" spans="1:14" x14ac:dyDescent="0.3">
      <c r="A1312" t="s">
        <v>3920</v>
      </c>
      <c r="B1312" t="s">
        <v>3921</v>
      </c>
      <c r="C1312" t="s">
        <v>47</v>
      </c>
      <c r="D1312" t="s">
        <v>73</v>
      </c>
      <c r="E1312" t="s">
        <v>52</v>
      </c>
      <c r="F1312">
        <v>6.67</v>
      </c>
      <c r="G1312" s="1">
        <v>45920</v>
      </c>
      <c r="H1312" s="1">
        <v>45354</v>
      </c>
      <c r="I1312" t="s">
        <v>3922</v>
      </c>
      <c r="J1312" t="s">
        <v>75</v>
      </c>
      <c r="K1312">
        <v>4</v>
      </c>
      <c r="L1312" t="s">
        <v>27</v>
      </c>
      <c r="M1312" s="1">
        <f t="shared" ca="1" si="40"/>
        <v>46204</v>
      </c>
      <c r="N1312">
        <f t="shared" ca="1" si="41"/>
        <v>1</v>
      </c>
    </row>
    <row r="1313" spans="1:14" x14ac:dyDescent="0.3">
      <c r="A1313" t="s">
        <v>3923</v>
      </c>
      <c r="B1313" t="s">
        <v>3924</v>
      </c>
      <c r="C1313" t="s">
        <v>47</v>
      </c>
      <c r="D1313" t="s">
        <v>16</v>
      </c>
      <c r="E1313" t="s">
        <v>17</v>
      </c>
      <c r="F1313">
        <v>25.56</v>
      </c>
      <c r="G1313" s="1">
        <v>45964</v>
      </c>
      <c r="H1313" s="1">
        <v>44503</v>
      </c>
      <c r="I1313" t="s">
        <v>3925</v>
      </c>
      <c r="J1313" t="s">
        <v>66</v>
      </c>
      <c r="K1313">
        <v>5</v>
      </c>
      <c r="L1313" t="s">
        <v>20</v>
      </c>
      <c r="M1313" s="1">
        <f t="shared" ca="1" si="40"/>
        <v>46204</v>
      </c>
      <c r="N1313">
        <f t="shared" ca="1" si="41"/>
        <v>1</v>
      </c>
    </row>
    <row r="1314" spans="1:14" x14ac:dyDescent="0.3">
      <c r="A1314" t="s">
        <v>3926</v>
      </c>
      <c r="B1314" t="s">
        <v>3927</v>
      </c>
      <c r="C1314" t="s">
        <v>124</v>
      </c>
      <c r="D1314" t="s">
        <v>16</v>
      </c>
      <c r="E1314" t="s">
        <v>52</v>
      </c>
      <c r="F1314">
        <v>11.49</v>
      </c>
      <c r="G1314" s="1">
        <v>45792</v>
      </c>
      <c r="H1314" s="1">
        <v>44200</v>
      </c>
      <c r="I1314" t="s">
        <v>3928</v>
      </c>
      <c r="J1314" t="s">
        <v>94</v>
      </c>
      <c r="K1314">
        <v>5</v>
      </c>
      <c r="L1314" t="s">
        <v>27</v>
      </c>
      <c r="M1314" s="1">
        <f t="shared" ca="1" si="40"/>
        <v>46204</v>
      </c>
      <c r="N1314">
        <f t="shared" ca="1" si="41"/>
        <v>1</v>
      </c>
    </row>
    <row r="1315" spans="1:14" x14ac:dyDescent="0.3">
      <c r="A1315" t="s">
        <v>3929</v>
      </c>
      <c r="B1315" t="s">
        <v>3930</v>
      </c>
      <c r="C1315" t="s">
        <v>47</v>
      </c>
      <c r="D1315" t="s">
        <v>69</v>
      </c>
      <c r="E1315" t="s">
        <v>52</v>
      </c>
      <c r="F1315">
        <v>2.27</v>
      </c>
      <c r="G1315" s="1">
        <v>45896</v>
      </c>
      <c r="H1315" s="1">
        <v>43792</v>
      </c>
      <c r="I1315" t="s">
        <v>3931</v>
      </c>
      <c r="J1315" t="s">
        <v>37</v>
      </c>
      <c r="K1315">
        <v>2</v>
      </c>
      <c r="L1315" t="s">
        <v>20</v>
      </c>
      <c r="M1315" s="1">
        <f t="shared" ca="1" si="40"/>
        <v>46204</v>
      </c>
      <c r="N1315">
        <f t="shared" ca="1" si="41"/>
        <v>1</v>
      </c>
    </row>
    <row r="1316" spans="1:14" x14ac:dyDescent="0.3">
      <c r="A1316" t="s">
        <v>3932</v>
      </c>
      <c r="B1316" t="s">
        <v>3933</v>
      </c>
      <c r="C1316" t="s">
        <v>15</v>
      </c>
      <c r="D1316" t="s">
        <v>40</v>
      </c>
      <c r="E1316" t="s">
        <v>24</v>
      </c>
      <c r="F1316">
        <v>12.09</v>
      </c>
      <c r="G1316" s="1">
        <v>45947</v>
      </c>
      <c r="H1316" s="1">
        <v>44979</v>
      </c>
      <c r="I1316" t="s">
        <v>3934</v>
      </c>
      <c r="J1316" t="s">
        <v>26</v>
      </c>
      <c r="K1316">
        <v>4</v>
      </c>
      <c r="L1316" t="s">
        <v>27</v>
      </c>
      <c r="M1316" s="1">
        <f t="shared" ca="1" si="40"/>
        <v>46204</v>
      </c>
      <c r="N1316">
        <f t="shared" ca="1" si="41"/>
        <v>1</v>
      </c>
    </row>
    <row r="1317" spans="1:14" x14ac:dyDescent="0.3">
      <c r="A1317" t="s">
        <v>3935</v>
      </c>
      <c r="B1317" t="s">
        <v>3936</v>
      </c>
      <c r="C1317" t="s">
        <v>64</v>
      </c>
      <c r="D1317" t="s">
        <v>35</v>
      </c>
      <c r="E1317" t="s">
        <v>52</v>
      </c>
      <c r="F1317">
        <v>22.61</v>
      </c>
      <c r="G1317" s="1">
        <v>45946</v>
      </c>
      <c r="H1317" s="1">
        <v>45492</v>
      </c>
      <c r="I1317" t="s">
        <v>3937</v>
      </c>
      <c r="J1317" t="s">
        <v>94</v>
      </c>
      <c r="K1317">
        <v>5</v>
      </c>
      <c r="L1317" t="s">
        <v>20</v>
      </c>
      <c r="M1317" s="1">
        <f t="shared" ca="1" si="40"/>
        <v>46204</v>
      </c>
      <c r="N1317">
        <f t="shared" ca="1" si="41"/>
        <v>1</v>
      </c>
    </row>
    <row r="1318" spans="1:14" x14ac:dyDescent="0.3">
      <c r="A1318" t="s">
        <v>3938</v>
      </c>
      <c r="B1318" t="s">
        <v>3939</v>
      </c>
      <c r="C1318" t="s">
        <v>23</v>
      </c>
      <c r="D1318" t="s">
        <v>56</v>
      </c>
      <c r="E1318" t="s">
        <v>52</v>
      </c>
      <c r="F1318">
        <v>26.85</v>
      </c>
      <c r="G1318" s="1">
        <v>45888</v>
      </c>
      <c r="H1318" s="1">
        <v>44796</v>
      </c>
      <c r="I1318" t="s">
        <v>3940</v>
      </c>
      <c r="J1318" t="s">
        <v>49</v>
      </c>
      <c r="K1318">
        <v>2</v>
      </c>
      <c r="L1318" t="s">
        <v>27</v>
      </c>
      <c r="M1318" s="1">
        <f t="shared" ca="1" si="40"/>
        <v>46204</v>
      </c>
      <c r="N1318">
        <f t="shared" ca="1" si="41"/>
        <v>1</v>
      </c>
    </row>
    <row r="1319" spans="1:14" x14ac:dyDescent="0.3">
      <c r="A1319" t="s">
        <v>3941</v>
      </c>
      <c r="B1319" t="s">
        <v>3942</v>
      </c>
      <c r="C1319" t="s">
        <v>23</v>
      </c>
      <c r="D1319" t="s">
        <v>40</v>
      </c>
      <c r="E1319" t="s">
        <v>17</v>
      </c>
      <c r="F1319">
        <v>39.24</v>
      </c>
      <c r="G1319" s="1">
        <v>45830</v>
      </c>
      <c r="H1319" s="1">
        <v>43234</v>
      </c>
      <c r="I1319" t="s">
        <v>3943</v>
      </c>
      <c r="J1319" t="s">
        <v>94</v>
      </c>
      <c r="K1319">
        <v>5</v>
      </c>
      <c r="L1319" t="s">
        <v>20</v>
      </c>
      <c r="M1319" s="1">
        <f t="shared" ca="1" si="40"/>
        <v>46204</v>
      </c>
      <c r="N1319">
        <f t="shared" ca="1" si="41"/>
        <v>1</v>
      </c>
    </row>
    <row r="1320" spans="1:14" x14ac:dyDescent="0.3">
      <c r="A1320" t="s">
        <v>3944</v>
      </c>
      <c r="B1320" t="s">
        <v>3945</v>
      </c>
      <c r="C1320" t="s">
        <v>60</v>
      </c>
      <c r="D1320" t="s">
        <v>73</v>
      </c>
      <c r="E1320" t="s">
        <v>52</v>
      </c>
      <c r="F1320">
        <v>33.33</v>
      </c>
      <c r="G1320" s="1">
        <v>45719</v>
      </c>
      <c r="H1320" s="1">
        <v>44359</v>
      </c>
      <c r="I1320" t="s">
        <v>3946</v>
      </c>
      <c r="J1320" t="s">
        <v>19</v>
      </c>
      <c r="K1320">
        <v>3</v>
      </c>
      <c r="L1320" t="s">
        <v>20</v>
      </c>
      <c r="M1320" s="1">
        <f t="shared" ca="1" si="40"/>
        <v>46204</v>
      </c>
      <c r="N1320">
        <f t="shared" ca="1" si="41"/>
        <v>1</v>
      </c>
    </row>
    <row r="1321" spans="1:14" x14ac:dyDescent="0.3">
      <c r="A1321" t="s">
        <v>3947</v>
      </c>
      <c r="B1321" t="s">
        <v>3948</v>
      </c>
      <c r="C1321" t="s">
        <v>60</v>
      </c>
      <c r="D1321" t="s">
        <v>69</v>
      </c>
      <c r="E1321" t="s">
        <v>52</v>
      </c>
      <c r="F1321">
        <v>25.37</v>
      </c>
      <c r="G1321" s="1">
        <v>45817</v>
      </c>
      <c r="H1321" s="1">
        <v>45373</v>
      </c>
      <c r="I1321" t="s">
        <v>3949</v>
      </c>
      <c r="J1321" t="s">
        <v>66</v>
      </c>
      <c r="K1321">
        <v>2</v>
      </c>
      <c r="L1321" t="s">
        <v>27</v>
      </c>
      <c r="M1321" s="1">
        <f t="shared" ca="1" si="40"/>
        <v>46204</v>
      </c>
      <c r="N1321">
        <f t="shared" ca="1" si="41"/>
        <v>1</v>
      </c>
    </row>
    <row r="1322" spans="1:14" x14ac:dyDescent="0.3">
      <c r="A1322" t="s">
        <v>3950</v>
      </c>
      <c r="B1322" t="s">
        <v>3951</v>
      </c>
      <c r="C1322" t="s">
        <v>124</v>
      </c>
      <c r="D1322" t="s">
        <v>73</v>
      </c>
      <c r="E1322" t="s">
        <v>52</v>
      </c>
      <c r="F1322">
        <v>39.89</v>
      </c>
      <c r="G1322" s="1">
        <v>45826</v>
      </c>
      <c r="H1322" s="1">
        <v>45394</v>
      </c>
      <c r="I1322" t="s">
        <v>3952</v>
      </c>
      <c r="J1322" t="s">
        <v>75</v>
      </c>
      <c r="K1322">
        <v>2</v>
      </c>
      <c r="L1322" t="s">
        <v>20</v>
      </c>
      <c r="M1322" s="1">
        <f t="shared" ca="1" si="40"/>
        <v>46204</v>
      </c>
      <c r="N1322">
        <f t="shared" ca="1" si="41"/>
        <v>1</v>
      </c>
    </row>
    <row r="1323" spans="1:14" x14ac:dyDescent="0.3">
      <c r="A1323" t="s">
        <v>3953</v>
      </c>
      <c r="B1323" t="s">
        <v>3954</v>
      </c>
      <c r="C1323" t="s">
        <v>47</v>
      </c>
      <c r="D1323" t="s">
        <v>35</v>
      </c>
      <c r="E1323" t="s">
        <v>24</v>
      </c>
      <c r="F1323">
        <v>21.74</v>
      </c>
      <c r="G1323" s="1">
        <v>45944</v>
      </c>
      <c r="H1323" s="1">
        <v>42996</v>
      </c>
      <c r="I1323" t="s">
        <v>3955</v>
      </c>
      <c r="J1323" t="s">
        <v>26</v>
      </c>
      <c r="K1323">
        <v>2</v>
      </c>
      <c r="L1323" t="s">
        <v>27</v>
      </c>
      <c r="M1323" s="1">
        <f t="shared" ca="1" si="40"/>
        <v>46204</v>
      </c>
      <c r="N1323">
        <f t="shared" ca="1" si="41"/>
        <v>1</v>
      </c>
    </row>
    <row r="1324" spans="1:14" x14ac:dyDescent="0.3">
      <c r="A1324" t="s">
        <v>3956</v>
      </c>
      <c r="B1324" t="s">
        <v>3957</v>
      </c>
      <c r="C1324" t="s">
        <v>47</v>
      </c>
      <c r="D1324" t="s">
        <v>69</v>
      </c>
      <c r="E1324" t="s">
        <v>24</v>
      </c>
      <c r="F1324">
        <v>17.63</v>
      </c>
      <c r="G1324" s="1">
        <v>45837</v>
      </c>
      <c r="H1324" s="1">
        <v>44824</v>
      </c>
      <c r="I1324" t="s">
        <v>3958</v>
      </c>
      <c r="J1324" t="s">
        <v>94</v>
      </c>
      <c r="K1324">
        <v>3</v>
      </c>
      <c r="L1324" t="s">
        <v>27</v>
      </c>
      <c r="M1324" s="1">
        <f t="shared" ca="1" si="40"/>
        <v>46204</v>
      </c>
      <c r="N1324">
        <f t="shared" ca="1" si="41"/>
        <v>1</v>
      </c>
    </row>
    <row r="1325" spans="1:14" x14ac:dyDescent="0.3">
      <c r="A1325" t="s">
        <v>3959</v>
      </c>
      <c r="B1325" t="s">
        <v>3960</v>
      </c>
      <c r="C1325" t="s">
        <v>60</v>
      </c>
      <c r="D1325" t="s">
        <v>73</v>
      </c>
      <c r="E1325" t="s">
        <v>17</v>
      </c>
      <c r="F1325">
        <v>10.039999999999999</v>
      </c>
      <c r="G1325" s="1">
        <v>45940</v>
      </c>
      <c r="H1325" s="1">
        <v>43938</v>
      </c>
      <c r="I1325" t="s">
        <v>3961</v>
      </c>
      <c r="J1325" t="s">
        <v>19</v>
      </c>
      <c r="K1325">
        <v>5</v>
      </c>
      <c r="L1325" t="s">
        <v>27</v>
      </c>
      <c r="M1325" s="1">
        <f t="shared" ca="1" si="40"/>
        <v>46204</v>
      </c>
      <c r="N1325">
        <f t="shared" ca="1" si="41"/>
        <v>1</v>
      </c>
    </row>
    <row r="1326" spans="1:14" x14ac:dyDescent="0.3">
      <c r="A1326" t="s">
        <v>3962</v>
      </c>
      <c r="B1326" t="s">
        <v>3963</v>
      </c>
      <c r="C1326" t="s">
        <v>15</v>
      </c>
      <c r="D1326" t="s">
        <v>73</v>
      </c>
      <c r="E1326" t="s">
        <v>52</v>
      </c>
      <c r="F1326">
        <v>33.770000000000003</v>
      </c>
      <c r="G1326" s="1">
        <v>46037</v>
      </c>
      <c r="H1326" s="1">
        <v>42547</v>
      </c>
      <c r="I1326" t="s">
        <v>3964</v>
      </c>
      <c r="J1326" t="s">
        <v>94</v>
      </c>
      <c r="K1326">
        <v>2</v>
      </c>
      <c r="L1326" t="s">
        <v>20</v>
      </c>
      <c r="M1326" s="1">
        <f t="shared" ca="1" si="40"/>
        <v>46204</v>
      </c>
      <c r="N1326">
        <f t="shared" ca="1" si="41"/>
        <v>1</v>
      </c>
    </row>
    <row r="1327" spans="1:14" x14ac:dyDescent="0.3">
      <c r="A1327" t="s">
        <v>3965</v>
      </c>
      <c r="B1327" t="s">
        <v>3966</v>
      </c>
      <c r="C1327" t="s">
        <v>47</v>
      </c>
      <c r="D1327" t="s">
        <v>16</v>
      </c>
      <c r="E1327" t="s">
        <v>30</v>
      </c>
      <c r="F1327">
        <v>11.97</v>
      </c>
      <c r="G1327" s="1">
        <v>46012</v>
      </c>
      <c r="H1327" s="1">
        <v>42351</v>
      </c>
      <c r="I1327" t="s">
        <v>3967</v>
      </c>
      <c r="J1327" t="s">
        <v>75</v>
      </c>
      <c r="K1327">
        <v>1</v>
      </c>
      <c r="L1327" t="s">
        <v>20</v>
      </c>
      <c r="M1327" s="1">
        <f t="shared" ca="1" si="40"/>
        <v>46204</v>
      </c>
      <c r="N1327">
        <f t="shared" ca="1" si="41"/>
        <v>1</v>
      </c>
    </row>
    <row r="1328" spans="1:14" x14ac:dyDescent="0.3">
      <c r="A1328" t="s">
        <v>3968</v>
      </c>
      <c r="B1328" t="s">
        <v>3969</v>
      </c>
      <c r="C1328" t="s">
        <v>23</v>
      </c>
      <c r="D1328" t="s">
        <v>69</v>
      </c>
      <c r="E1328" t="s">
        <v>52</v>
      </c>
      <c r="F1328">
        <v>11.46</v>
      </c>
      <c r="G1328" s="1">
        <v>45784</v>
      </c>
      <c r="H1328" s="1">
        <v>43879</v>
      </c>
      <c r="I1328" t="s">
        <v>3970</v>
      </c>
      <c r="J1328" t="s">
        <v>37</v>
      </c>
      <c r="K1328">
        <v>5</v>
      </c>
      <c r="L1328" t="s">
        <v>27</v>
      </c>
      <c r="M1328" s="1">
        <f t="shared" ca="1" si="40"/>
        <v>46204</v>
      </c>
      <c r="N1328">
        <f t="shared" ca="1" si="41"/>
        <v>1</v>
      </c>
    </row>
    <row r="1329" spans="1:14" x14ac:dyDescent="0.3">
      <c r="A1329" t="s">
        <v>3971</v>
      </c>
      <c r="B1329" t="s">
        <v>3972</v>
      </c>
      <c r="C1329" t="s">
        <v>64</v>
      </c>
      <c r="D1329" t="s">
        <v>35</v>
      </c>
      <c r="E1329" t="s">
        <v>17</v>
      </c>
      <c r="F1329">
        <v>31.51</v>
      </c>
      <c r="G1329" s="1">
        <v>45927</v>
      </c>
      <c r="H1329" s="1">
        <v>42673</v>
      </c>
      <c r="I1329" t="s">
        <v>3973</v>
      </c>
      <c r="J1329" t="s">
        <v>37</v>
      </c>
      <c r="K1329">
        <v>5</v>
      </c>
      <c r="L1329" t="s">
        <v>27</v>
      </c>
      <c r="M1329" s="1">
        <f t="shared" ca="1" si="40"/>
        <v>46204</v>
      </c>
      <c r="N1329">
        <f t="shared" ca="1" si="41"/>
        <v>1</v>
      </c>
    </row>
    <row r="1330" spans="1:14" x14ac:dyDescent="0.3">
      <c r="A1330" t="s">
        <v>3974</v>
      </c>
      <c r="B1330" t="s">
        <v>3975</v>
      </c>
      <c r="C1330" t="s">
        <v>23</v>
      </c>
      <c r="D1330" t="s">
        <v>16</v>
      </c>
      <c r="E1330" t="s">
        <v>24</v>
      </c>
      <c r="F1330">
        <v>33.409999999999997</v>
      </c>
      <c r="G1330" s="1">
        <v>46058</v>
      </c>
      <c r="H1330" s="1">
        <v>44588</v>
      </c>
      <c r="I1330" t="s">
        <v>3976</v>
      </c>
      <c r="J1330" t="s">
        <v>26</v>
      </c>
      <c r="K1330">
        <v>4</v>
      </c>
      <c r="L1330" t="s">
        <v>20</v>
      </c>
      <c r="M1330" s="1">
        <f t="shared" ca="1" si="40"/>
        <v>46204</v>
      </c>
      <c r="N1330">
        <f t="shared" ca="1" si="41"/>
        <v>1</v>
      </c>
    </row>
    <row r="1331" spans="1:14" x14ac:dyDescent="0.3">
      <c r="A1331" t="s">
        <v>3977</v>
      </c>
      <c r="B1331" t="s">
        <v>3978</v>
      </c>
      <c r="C1331" t="s">
        <v>64</v>
      </c>
      <c r="D1331" t="s">
        <v>16</v>
      </c>
      <c r="E1331" t="s">
        <v>24</v>
      </c>
      <c r="F1331">
        <v>15.57</v>
      </c>
      <c r="G1331" s="1">
        <v>45913</v>
      </c>
      <c r="H1331" s="1">
        <v>44944</v>
      </c>
      <c r="I1331" t="s">
        <v>3979</v>
      </c>
      <c r="J1331" t="s">
        <v>66</v>
      </c>
      <c r="K1331">
        <v>4</v>
      </c>
      <c r="L1331" t="s">
        <v>20</v>
      </c>
      <c r="M1331" s="1">
        <f t="shared" ca="1" si="40"/>
        <v>46204</v>
      </c>
      <c r="N1331">
        <f t="shared" ca="1" si="41"/>
        <v>1</v>
      </c>
    </row>
    <row r="1332" spans="1:14" x14ac:dyDescent="0.3">
      <c r="A1332" t="s">
        <v>3980</v>
      </c>
      <c r="B1332" t="s">
        <v>3981</v>
      </c>
      <c r="C1332" t="s">
        <v>23</v>
      </c>
      <c r="D1332" t="s">
        <v>40</v>
      </c>
      <c r="E1332" t="s">
        <v>52</v>
      </c>
      <c r="F1332">
        <v>38.15</v>
      </c>
      <c r="G1332" s="1">
        <v>45768</v>
      </c>
      <c r="H1332" s="1">
        <v>43104</v>
      </c>
      <c r="I1332" t="s">
        <v>3982</v>
      </c>
      <c r="J1332" t="s">
        <v>37</v>
      </c>
      <c r="K1332">
        <v>3</v>
      </c>
      <c r="L1332" t="s">
        <v>27</v>
      </c>
      <c r="M1332" s="1">
        <f t="shared" ca="1" si="40"/>
        <v>46204</v>
      </c>
      <c r="N1332">
        <f t="shared" ca="1" si="41"/>
        <v>1</v>
      </c>
    </row>
    <row r="1333" spans="1:14" x14ac:dyDescent="0.3">
      <c r="A1333" t="s">
        <v>3983</v>
      </c>
      <c r="B1333" t="s">
        <v>3984</v>
      </c>
      <c r="C1333" t="s">
        <v>47</v>
      </c>
      <c r="D1333" t="s">
        <v>69</v>
      </c>
      <c r="E1333" t="s">
        <v>17</v>
      </c>
      <c r="F1333">
        <v>4.79</v>
      </c>
      <c r="G1333" s="1">
        <v>45722</v>
      </c>
      <c r="H1333" s="1">
        <v>44328</v>
      </c>
      <c r="I1333" t="s">
        <v>3985</v>
      </c>
      <c r="J1333" t="s">
        <v>75</v>
      </c>
      <c r="K1333">
        <v>2</v>
      </c>
      <c r="L1333" t="s">
        <v>20</v>
      </c>
      <c r="M1333" s="1">
        <f t="shared" ca="1" si="40"/>
        <v>46204</v>
      </c>
      <c r="N1333">
        <f t="shared" ca="1" si="41"/>
        <v>1</v>
      </c>
    </row>
    <row r="1334" spans="1:14" x14ac:dyDescent="0.3">
      <c r="A1334" t="s">
        <v>3986</v>
      </c>
      <c r="B1334" t="s">
        <v>3987</v>
      </c>
      <c r="C1334" t="s">
        <v>23</v>
      </c>
      <c r="D1334" t="s">
        <v>35</v>
      </c>
      <c r="E1334" t="s">
        <v>24</v>
      </c>
      <c r="F1334">
        <v>1.61</v>
      </c>
      <c r="G1334" s="1">
        <v>46044</v>
      </c>
      <c r="H1334" s="1">
        <v>44990</v>
      </c>
      <c r="I1334" t="s">
        <v>3988</v>
      </c>
      <c r="J1334" t="s">
        <v>26</v>
      </c>
      <c r="K1334">
        <v>5</v>
      </c>
      <c r="L1334" t="s">
        <v>27</v>
      </c>
      <c r="M1334" s="1">
        <f t="shared" ca="1" si="40"/>
        <v>46204</v>
      </c>
      <c r="N1334">
        <f t="shared" ca="1" si="41"/>
        <v>1</v>
      </c>
    </row>
    <row r="1335" spans="1:14" x14ac:dyDescent="0.3">
      <c r="A1335" t="s">
        <v>3989</v>
      </c>
      <c r="B1335" t="s">
        <v>3990</v>
      </c>
      <c r="C1335" t="s">
        <v>124</v>
      </c>
      <c r="D1335" t="s">
        <v>16</v>
      </c>
      <c r="E1335" t="s">
        <v>17</v>
      </c>
      <c r="F1335">
        <v>28.04</v>
      </c>
      <c r="G1335" s="1">
        <v>45853</v>
      </c>
      <c r="H1335" s="1">
        <v>43838</v>
      </c>
      <c r="I1335" t="s">
        <v>3991</v>
      </c>
      <c r="J1335" t="s">
        <v>37</v>
      </c>
      <c r="K1335">
        <v>2</v>
      </c>
      <c r="L1335" t="s">
        <v>20</v>
      </c>
      <c r="M1335" s="1">
        <f t="shared" ca="1" si="40"/>
        <v>46204</v>
      </c>
      <c r="N1335">
        <f t="shared" ca="1" si="41"/>
        <v>1</v>
      </c>
    </row>
    <row r="1336" spans="1:14" x14ac:dyDescent="0.3">
      <c r="A1336" t="s">
        <v>3992</v>
      </c>
      <c r="B1336" t="s">
        <v>3993</v>
      </c>
      <c r="C1336" t="s">
        <v>47</v>
      </c>
      <c r="D1336" t="s">
        <v>69</v>
      </c>
      <c r="E1336" t="s">
        <v>17</v>
      </c>
      <c r="F1336">
        <v>7.65</v>
      </c>
      <c r="G1336" s="1">
        <v>45846</v>
      </c>
      <c r="H1336" s="1">
        <v>45486</v>
      </c>
      <c r="I1336" t="s">
        <v>3994</v>
      </c>
      <c r="J1336" t="s">
        <v>26</v>
      </c>
      <c r="K1336">
        <v>1</v>
      </c>
      <c r="L1336" t="s">
        <v>20</v>
      </c>
      <c r="M1336" s="1">
        <f t="shared" ca="1" si="40"/>
        <v>46204</v>
      </c>
      <c r="N1336">
        <f t="shared" ca="1" si="41"/>
        <v>1</v>
      </c>
    </row>
    <row r="1337" spans="1:14" x14ac:dyDescent="0.3">
      <c r="A1337" t="s">
        <v>3995</v>
      </c>
      <c r="B1337" t="s">
        <v>3996</v>
      </c>
      <c r="C1337" t="s">
        <v>60</v>
      </c>
      <c r="D1337" t="s">
        <v>40</v>
      </c>
      <c r="E1337" t="s">
        <v>52</v>
      </c>
      <c r="F1337">
        <v>27.9</v>
      </c>
      <c r="G1337" s="1">
        <v>46029</v>
      </c>
      <c r="H1337" s="1">
        <v>42832</v>
      </c>
      <c r="I1337" t="s">
        <v>3997</v>
      </c>
      <c r="J1337" t="s">
        <v>94</v>
      </c>
      <c r="K1337">
        <v>5</v>
      </c>
      <c r="L1337" t="s">
        <v>20</v>
      </c>
      <c r="M1337" s="1">
        <f t="shared" ca="1" si="40"/>
        <v>46204</v>
      </c>
      <c r="N1337">
        <f t="shared" ca="1" si="41"/>
        <v>1</v>
      </c>
    </row>
    <row r="1338" spans="1:14" x14ac:dyDescent="0.3">
      <c r="A1338" t="s">
        <v>3998</v>
      </c>
      <c r="B1338" t="s">
        <v>3999</v>
      </c>
      <c r="C1338" t="s">
        <v>23</v>
      </c>
      <c r="D1338" t="s">
        <v>69</v>
      </c>
      <c r="E1338" t="s">
        <v>30</v>
      </c>
      <c r="F1338">
        <v>34.33</v>
      </c>
      <c r="G1338" s="1">
        <v>45839</v>
      </c>
      <c r="H1338" s="1">
        <v>42783</v>
      </c>
      <c r="I1338" t="s">
        <v>4000</v>
      </c>
      <c r="J1338" t="s">
        <v>94</v>
      </c>
      <c r="K1338">
        <v>4</v>
      </c>
      <c r="L1338" t="s">
        <v>20</v>
      </c>
      <c r="M1338" s="1">
        <f t="shared" ca="1" si="40"/>
        <v>46204</v>
      </c>
      <c r="N1338">
        <f t="shared" ca="1" si="41"/>
        <v>1</v>
      </c>
    </row>
    <row r="1339" spans="1:14" x14ac:dyDescent="0.3">
      <c r="A1339" t="s">
        <v>4001</v>
      </c>
      <c r="B1339" t="s">
        <v>4002</v>
      </c>
      <c r="C1339" t="s">
        <v>124</v>
      </c>
      <c r="D1339" t="s">
        <v>35</v>
      </c>
      <c r="E1339" t="s">
        <v>17</v>
      </c>
      <c r="F1339">
        <v>18.739999999999998</v>
      </c>
      <c r="G1339" s="1">
        <v>45758</v>
      </c>
      <c r="H1339" s="1">
        <v>42259</v>
      </c>
      <c r="I1339" t="s">
        <v>4003</v>
      </c>
      <c r="J1339" t="s">
        <v>49</v>
      </c>
      <c r="K1339">
        <v>3</v>
      </c>
      <c r="L1339" t="s">
        <v>20</v>
      </c>
      <c r="M1339" s="1">
        <f t="shared" ca="1" si="40"/>
        <v>46204</v>
      </c>
      <c r="N1339">
        <f t="shared" ca="1" si="41"/>
        <v>1</v>
      </c>
    </row>
    <row r="1340" spans="1:14" x14ac:dyDescent="0.3">
      <c r="A1340" t="s">
        <v>4004</v>
      </c>
      <c r="B1340" t="s">
        <v>4005</v>
      </c>
      <c r="C1340" t="s">
        <v>64</v>
      </c>
      <c r="D1340" t="s">
        <v>40</v>
      </c>
      <c r="E1340" t="s">
        <v>52</v>
      </c>
      <c r="F1340">
        <v>22.85</v>
      </c>
      <c r="G1340" s="1">
        <v>46016</v>
      </c>
      <c r="H1340" s="1">
        <v>45205</v>
      </c>
      <c r="I1340" t="s">
        <v>4006</v>
      </c>
      <c r="J1340" t="s">
        <v>49</v>
      </c>
      <c r="K1340">
        <v>5</v>
      </c>
      <c r="L1340" t="s">
        <v>27</v>
      </c>
      <c r="M1340" s="1">
        <f t="shared" ca="1" si="40"/>
        <v>46204</v>
      </c>
      <c r="N1340">
        <f t="shared" ca="1" si="41"/>
        <v>1</v>
      </c>
    </row>
    <row r="1341" spans="1:14" x14ac:dyDescent="0.3">
      <c r="A1341" t="s">
        <v>4007</v>
      </c>
      <c r="B1341" t="s">
        <v>4008</v>
      </c>
      <c r="C1341" t="s">
        <v>15</v>
      </c>
      <c r="D1341" t="s">
        <v>73</v>
      </c>
      <c r="E1341" t="s">
        <v>17</v>
      </c>
      <c r="F1341">
        <v>32.86</v>
      </c>
      <c r="G1341" s="1">
        <v>45917</v>
      </c>
      <c r="H1341" s="1">
        <v>43451</v>
      </c>
      <c r="I1341" t="s">
        <v>4009</v>
      </c>
      <c r="J1341" t="s">
        <v>26</v>
      </c>
      <c r="K1341">
        <v>5</v>
      </c>
      <c r="L1341" t="s">
        <v>27</v>
      </c>
      <c r="M1341" s="1">
        <f t="shared" ca="1" si="40"/>
        <v>46204</v>
      </c>
      <c r="N1341">
        <f t="shared" ca="1" si="41"/>
        <v>1</v>
      </c>
    </row>
    <row r="1342" spans="1:14" x14ac:dyDescent="0.3">
      <c r="A1342" t="s">
        <v>4010</v>
      </c>
      <c r="B1342" t="s">
        <v>4011</v>
      </c>
      <c r="C1342" t="s">
        <v>15</v>
      </c>
      <c r="D1342" t="s">
        <v>16</v>
      </c>
      <c r="E1342" t="s">
        <v>24</v>
      </c>
      <c r="F1342">
        <v>9.7799999999999994</v>
      </c>
      <c r="G1342" s="1">
        <v>45928</v>
      </c>
      <c r="H1342" s="1">
        <v>45294</v>
      </c>
      <c r="I1342" t="s">
        <v>4012</v>
      </c>
      <c r="J1342" t="s">
        <v>19</v>
      </c>
      <c r="K1342">
        <v>4</v>
      </c>
      <c r="L1342" t="s">
        <v>20</v>
      </c>
      <c r="M1342" s="1">
        <f t="shared" ca="1" si="40"/>
        <v>46204</v>
      </c>
      <c r="N1342">
        <f t="shared" ca="1" si="41"/>
        <v>1</v>
      </c>
    </row>
    <row r="1343" spans="1:14" x14ac:dyDescent="0.3">
      <c r="A1343" t="s">
        <v>4013</v>
      </c>
      <c r="B1343" t="s">
        <v>4014</v>
      </c>
      <c r="C1343" t="s">
        <v>124</v>
      </c>
      <c r="D1343" t="s">
        <v>35</v>
      </c>
      <c r="E1343" t="s">
        <v>52</v>
      </c>
      <c r="F1343">
        <v>11.25</v>
      </c>
      <c r="G1343" s="1">
        <v>46057</v>
      </c>
      <c r="H1343" s="1">
        <v>44750</v>
      </c>
      <c r="I1343" t="s">
        <v>4015</v>
      </c>
      <c r="J1343" t="s">
        <v>19</v>
      </c>
      <c r="K1343">
        <v>3</v>
      </c>
      <c r="L1343" t="s">
        <v>27</v>
      </c>
      <c r="M1343" s="1">
        <f t="shared" ca="1" si="40"/>
        <v>46204</v>
      </c>
      <c r="N1343">
        <f t="shared" ca="1" si="41"/>
        <v>1</v>
      </c>
    </row>
    <row r="1344" spans="1:14" x14ac:dyDescent="0.3">
      <c r="A1344" t="s">
        <v>4016</v>
      </c>
      <c r="B1344" t="s">
        <v>4017</v>
      </c>
      <c r="C1344" t="s">
        <v>23</v>
      </c>
      <c r="D1344" t="s">
        <v>56</v>
      </c>
      <c r="E1344" t="s">
        <v>24</v>
      </c>
      <c r="F1344">
        <v>2</v>
      </c>
      <c r="G1344" s="1">
        <v>45982</v>
      </c>
      <c r="H1344" s="1">
        <v>45176</v>
      </c>
      <c r="I1344" t="s">
        <v>4018</v>
      </c>
      <c r="J1344" t="s">
        <v>66</v>
      </c>
      <c r="K1344">
        <v>1</v>
      </c>
      <c r="L1344" t="s">
        <v>27</v>
      </c>
      <c r="M1344" s="1">
        <f t="shared" ca="1" si="40"/>
        <v>46204</v>
      </c>
      <c r="N1344">
        <f t="shared" ca="1" si="41"/>
        <v>1</v>
      </c>
    </row>
    <row r="1345" spans="1:14" x14ac:dyDescent="0.3">
      <c r="A1345" t="s">
        <v>4019</v>
      </c>
      <c r="B1345" t="s">
        <v>4020</v>
      </c>
      <c r="C1345" t="s">
        <v>34</v>
      </c>
      <c r="D1345" t="s">
        <v>56</v>
      </c>
      <c r="E1345" t="s">
        <v>17</v>
      </c>
      <c r="F1345">
        <v>33.47</v>
      </c>
      <c r="G1345" s="1">
        <v>45711</v>
      </c>
      <c r="H1345" s="1">
        <v>45092</v>
      </c>
      <c r="I1345" t="s">
        <v>4021</v>
      </c>
      <c r="J1345" t="s">
        <v>75</v>
      </c>
      <c r="K1345">
        <v>2</v>
      </c>
      <c r="L1345" t="s">
        <v>27</v>
      </c>
      <c r="M1345" s="1">
        <f t="shared" ca="1" si="40"/>
        <v>46204</v>
      </c>
      <c r="N1345">
        <f t="shared" ca="1" si="41"/>
        <v>1</v>
      </c>
    </row>
    <row r="1346" spans="1:14" x14ac:dyDescent="0.3">
      <c r="A1346" t="s">
        <v>4022</v>
      </c>
      <c r="B1346" t="s">
        <v>4023</v>
      </c>
      <c r="C1346" t="s">
        <v>34</v>
      </c>
      <c r="D1346" t="s">
        <v>40</v>
      </c>
      <c r="E1346" t="s">
        <v>17</v>
      </c>
      <c r="F1346">
        <v>7.62</v>
      </c>
      <c r="G1346" s="1">
        <v>45860</v>
      </c>
      <c r="H1346" s="1">
        <v>44554</v>
      </c>
      <c r="I1346" t="s">
        <v>4024</v>
      </c>
      <c r="J1346" t="s">
        <v>49</v>
      </c>
      <c r="K1346">
        <v>3</v>
      </c>
      <c r="L1346" t="s">
        <v>20</v>
      </c>
      <c r="M1346" s="1">
        <f t="shared" ca="1" si="40"/>
        <v>46204</v>
      </c>
      <c r="N1346">
        <f t="shared" ca="1" si="41"/>
        <v>1</v>
      </c>
    </row>
    <row r="1347" spans="1:14" x14ac:dyDescent="0.3">
      <c r="A1347" t="s">
        <v>4025</v>
      </c>
      <c r="B1347" t="s">
        <v>4026</v>
      </c>
      <c r="C1347" t="s">
        <v>60</v>
      </c>
      <c r="D1347" t="s">
        <v>69</v>
      </c>
      <c r="E1347" t="s">
        <v>17</v>
      </c>
      <c r="F1347">
        <v>11.83</v>
      </c>
      <c r="G1347" s="1">
        <v>45954</v>
      </c>
      <c r="H1347" s="1">
        <v>45428</v>
      </c>
      <c r="I1347" t="s">
        <v>4027</v>
      </c>
      <c r="J1347" t="s">
        <v>37</v>
      </c>
      <c r="K1347">
        <v>3</v>
      </c>
      <c r="L1347" t="s">
        <v>20</v>
      </c>
      <c r="M1347" s="1">
        <f t="shared" ref="M1347:M1410" ca="1" si="42">TODAY()</f>
        <v>46204</v>
      </c>
      <c r="N1347">
        <f t="shared" ref="N1347:N1410" ca="1" si="43">IF(G1347&lt;M1347,1,0)</f>
        <v>1</v>
      </c>
    </row>
    <row r="1348" spans="1:14" x14ac:dyDescent="0.3">
      <c r="A1348" t="s">
        <v>4028</v>
      </c>
      <c r="B1348" t="s">
        <v>4029</v>
      </c>
      <c r="C1348" t="s">
        <v>47</v>
      </c>
      <c r="D1348" t="s">
        <v>16</v>
      </c>
      <c r="E1348" t="s">
        <v>24</v>
      </c>
      <c r="F1348">
        <v>34</v>
      </c>
      <c r="G1348" s="1">
        <v>45920</v>
      </c>
      <c r="H1348" s="1">
        <v>43497</v>
      </c>
      <c r="I1348" t="s">
        <v>1860</v>
      </c>
      <c r="J1348" t="s">
        <v>37</v>
      </c>
      <c r="K1348">
        <v>3</v>
      </c>
      <c r="L1348" t="s">
        <v>20</v>
      </c>
      <c r="M1348" s="1">
        <f t="shared" ca="1" si="42"/>
        <v>46204</v>
      </c>
      <c r="N1348">
        <f t="shared" ca="1" si="43"/>
        <v>1</v>
      </c>
    </row>
    <row r="1349" spans="1:14" x14ac:dyDescent="0.3">
      <c r="A1349" t="s">
        <v>4030</v>
      </c>
      <c r="B1349" t="s">
        <v>4031</v>
      </c>
      <c r="C1349" t="s">
        <v>64</v>
      </c>
      <c r="D1349" t="s">
        <v>35</v>
      </c>
      <c r="E1349" t="s">
        <v>24</v>
      </c>
      <c r="F1349">
        <v>12.19</v>
      </c>
      <c r="G1349" s="1">
        <v>45867</v>
      </c>
      <c r="H1349" s="1">
        <v>43136</v>
      </c>
      <c r="I1349" t="s">
        <v>4032</v>
      </c>
      <c r="J1349" t="s">
        <v>37</v>
      </c>
      <c r="K1349">
        <v>2</v>
      </c>
      <c r="L1349" t="s">
        <v>27</v>
      </c>
      <c r="M1349" s="1">
        <f t="shared" ca="1" si="42"/>
        <v>46204</v>
      </c>
      <c r="N1349">
        <f t="shared" ca="1" si="43"/>
        <v>1</v>
      </c>
    </row>
    <row r="1350" spans="1:14" x14ac:dyDescent="0.3">
      <c r="A1350" t="s">
        <v>4033</v>
      </c>
      <c r="B1350" t="s">
        <v>4034</v>
      </c>
      <c r="C1350" t="s">
        <v>34</v>
      </c>
      <c r="D1350" t="s">
        <v>56</v>
      </c>
      <c r="E1350" t="s">
        <v>52</v>
      </c>
      <c r="F1350">
        <v>20.13</v>
      </c>
      <c r="G1350" s="1">
        <v>45851</v>
      </c>
      <c r="H1350" s="1">
        <v>44485</v>
      </c>
      <c r="I1350" t="s">
        <v>4035</v>
      </c>
      <c r="J1350" t="s">
        <v>37</v>
      </c>
      <c r="K1350">
        <v>3</v>
      </c>
      <c r="L1350" t="s">
        <v>20</v>
      </c>
      <c r="M1350" s="1">
        <f t="shared" ca="1" si="42"/>
        <v>46204</v>
      </c>
      <c r="N1350">
        <f t="shared" ca="1" si="43"/>
        <v>1</v>
      </c>
    </row>
    <row r="1351" spans="1:14" x14ac:dyDescent="0.3">
      <c r="A1351" t="s">
        <v>4036</v>
      </c>
      <c r="B1351" t="s">
        <v>4037</v>
      </c>
      <c r="C1351" t="s">
        <v>34</v>
      </c>
      <c r="D1351" t="s">
        <v>69</v>
      </c>
      <c r="E1351" t="s">
        <v>52</v>
      </c>
      <c r="F1351">
        <v>13.36</v>
      </c>
      <c r="G1351" s="1">
        <v>45790</v>
      </c>
      <c r="H1351" s="1">
        <v>45210</v>
      </c>
      <c r="I1351" t="s">
        <v>4038</v>
      </c>
      <c r="J1351" t="s">
        <v>49</v>
      </c>
      <c r="K1351">
        <v>2</v>
      </c>
      <c r="L1351" t="s">
        <v>27</v>
      </c>
      <c r="M1351" s="1">
        <f t="shared" ca="1" si="42"/>
        <v>46204</v>
      </c>
      <c r="N1351">
        <f t="shared" ca="1" si="43"/>
        <v>1</v>
      </c>
    </row>
    <row r="1352" spans="1:14" x14ac:dyDescent="0.3">
      <c r="A1352" t="s">
        <v>4039</v>
      </c>
      <c r="B1352" t="s">
        <v>4040</v>
      </c>
      <c r="C1352" t="s">
        <v>64</v>
      </c>
      <c r="D1352" t="s">
        <v>40</v>
      </c>
      <c r="E1352" t="s">
        <v>17</v>
      </c>
      <c r="F1352">
        <v>19.21</v>
      </c>
      <c r="G1352" s="1">
        <v>46011</v>
      </c>
      <c r="H1352" s="1">
        <v>42369</v>
      </c>
      <c r="I1352" t="s">
        <v>4041</v>
      </c>
      <c r="J1352" t="s">
        <v>26</v>
      </c>
      <c r="K1352">
        <v>5</v>
      </c>
      <c r="L1352" t="s">
        <v>27</v>
      </c>
      <c r="M1352" s="1">
        <f t="shared" ca="1" si="42"/>
        <v>46204</v>
      </c>
      <c r="N1352">
        <f t="shared" ca="1" si="43"/>
        <v>1</v>
      </c>
    </row>
    <row r="1353" spans="1:14" x14ac:dyDescent="0.3">
      <c r="A1353" t="s">
        <v>4042</v>
      </c>
      <c r="B1353" t="s">
        <v>4043</v>
      </c>
      <c r="C1353" t="s">
        <v>64</v>
      </c>
      <c r="D1353" t="s">
        <v>40</v>
      </c>
      <c r="E1353" t="s">
        <v>17</v>
      </c>
      <c r="F1353">
        <v>25.76</v>
      </c>
      <c r="G1353" s="1">
        <v>45825</v>
      </c>
      <c r="H1353" s="1">
        <v>43048</v>
      </c>
      <c r="I1353" t="s">
        <v>4044</v>
      </c>
      <c r="J1353" t="s">
        <v>49</v>
      </c>
      <c r="K1353">
        <v>5</v>
      </c>
      <c r="L1353" t="s">
        <v>20</v>
      </c>
      <c r="M1353" s="1">
        <f t="shared" ca="1" si="42"/>
        <v>46204</v>
      </c>
      <c r="N1353">
        <f t="shared" ca="1" si="43"/>
        <v>1</v>
      </c>
    </row>
    <row r="1354" spans="1:14" x14ac:dyDescent="0.3">
      <c r="A1354" t="s">
        <v>4045</v>
      </c>
      <c r="B1354" t="s">
        <v>4046</v>
      </c>
      <c r="C1354" t="s">
        <v>15</v>
      </c>
      <c r="D1354" t="s">
        <v>56</v>
      </c>
      <c r="E1354" t="s">
        <v>52</v>
      </c>
      <c r="F1354">
        <v>7.69</v>
      </c>
      <c r="G1354" s="1">
        <v>45800</v>
      </c>
      <c r="H1354" s="1">
        <v>44511</v>
      </c>
      <c r="I1354" t="s">
        <v>4047</v>
      </c>
      <c r="J1354" t="s">
        <v>94</v>
      </c>
      <c r="K1354">
        <v>3</v>
      </c>
      <c r="L1354" t="s">
        <v>20</v>
      </c>
      <c r="M1354" s="1">
        <f t="shared" ca="1" si="42"/>
        <v>46204</v>
      </c>
      <c r="N1354">
        <f t="shared" ca="1" si="43"/>
        <v>1</v>
      </c>
    </row>
    <row r="1355" spans="1:14" x14ac:dyDescent="0.3">
      <c r="A1355" t="s">
        <v>4048</v>
      </c>
      <c r="B1355" t="s">
        <v>4049</v>
      </c>
      <c r="C1355" t="s">
        <v>124</v>
      </c>
      <c r="D1355" t="s">
        <v>56</v>
      </c>
      <c r="E1355" t="s">
        <v>30</v>
      </c>
      <c r="F1355">
        <v>10.039999999999999</v>
      </c>
      <c r="G1355" s="1">
        <v>45831</v>
      </c>
      <c r="H1355" s="1">
        <v>44804</v>
      </c>
      <c r="I1355" t="s">
        <v>4050</v>
      </c>
      <c r="J1355" t="s">
        <v>75</v>
      </c>
      <c r="K1355">
        <v>1</v>
      </c>
      <c r="L1355" t="s">
        <v>27</v>
      </c>
      <c r="M1355" s="1">
        <f t="shared" ca="1" si="42"/>
        <v>46204</v>
      </c>
      <c r="N1355">
        <f t="shared" ca="1" si="43"/>
        <v>1</v>
      </c>
    </row>
    <row r="1356" spans="1:14" x14ac:dyDescent="0.3">
      <c r="A1356" t="s">
        <v>4051</v>
      </c>
      <c r="B1356" t="s">
        <v>4052</v>
      </c>
      <c r="C1356" t="s">
        <v>64</v>
      </c>
      <c r="D1356" t="s">
        <v>56</v>
      </c>
      <c r="E1356" t="s">
        <v>17</v>
      </c>
      <c r="F1356">
        <v>9.1199999999999992</v>
      </c>
      <c r="G1356" s="1">
        <v>45904</v>
      </c>
      <c r="H1356" s="1">
        <v>42250</v>
      </c>
      <c r="I1356" t="s">
        <v>4053</v>
      </c>
      <c r="J1356" t="s">
        <v>26</v>
      </c>
      <c r="K1356">
        <v>1</v>
      </c>
      <c r="L1356" t="s">
        <v>20</v>
      </c>
      <c r="M1356" s="1">
        <f t="shared" ca="1" si="42"/>
        <v>46204</v>
      </c>
      <c r="N1356">
        <f t="shared" ca="1" si="43"/>
        <v>1</v>
      </c>
    </row>
    <row r="1357" spans="1:14" x14ac:dyDescent="0.3">
      <c r="A1357" t="s">
        <v>4054</v>
      </c>
      <c r="B1357" t="s">
        <v>4055</v>
      </c>
      <c r="C1357" t="s">
        <v>64</v>
      </c>
      <c r="D1357" t="s">
        <v>69</v>
      </c>
      <c r="E1357" t="s">
        <v>52</v>
      </c>
      <c r="F1357">
        <v>18.87</v>
      </c>
      <c r="G1357" s="1">
        <v>45990</v>
      </c>
      <c r="H1357" s="1">
        <v>43066</v>
      </c>
      <c r="I1357" t="s">
        <v>4056</v>
      </c>
      <c r="J1357" t="s">
        <v>26</v>
      </c>
      <c r="K1357">
        <v>2</v>
      </c>
      <c r="L1357" t="s">
        <v>20</v>
      </c>
      <c r="M1357" s="1">
        <f t="shared" ca="1" si="42"/>
        <v>46204</v>
      </c>
      <c r="N1357">
        <f t="shared" ca="1" si="43"/>
        <v>1</v>
      </c>
    </row>
    <row r="1358" spans="1:14" x14ac:dyDescent="0.3">
      <c r="A1358" t="s">
        <v>4057</v>
      </c>
      <c r="B1358" t="s">
        <v>4058</v>
      </c>
      <c r="C1358" t="s">
        <v>15</v>
      </c>
      <c r="D1358" t="s">
        <v>73</v>
      </c>
      <c r="E1358" t="s">
        <v>30</v>
      </c>
      <c r="F1358">
        <v>25.2</v>
      </c>
      <c r="G1358" s="1">
        <v>45711</v>
      </c>
      <c r="H1358" s="1">
        <v>42511</v>
      </c>
      <c r="I1358" t="s">
        <v>4059</v>
      </c>
      <c r="J1358" t="s">
        <v>26</v>
      </c>
      <c r="K1358">
        <v>2</v>
      </c>
      <c r="L1358" t="s">
        <v>20</v>
      </c>
      <c r="M1358" s="1">
        <f t="shared" ca="1" si="42"/>
        <v>46204</v>
      </c>
      <c r="N1358">
        <f t="shared" ca="1" si="43"/>
        <v>1</v>
      </c>
    </row>
    <row r="1359" spans="1:14" x14ac:dyDescent="0.3">
      <c r="A1359" t="s">
        <v>4060</v>
      </c>
      <c r="B1359" t="s">
        <v>4061</v>
      </c>
      <c r="C1359" t="s">
        <v>124</v>
      </c>
      <c r="D1359" t="s">
        <v>56</v>
      </c>
      <c r="E1359" t="s">
        <v>30</v>
      </c>
      <c r="F1359">
        <v>23.84</v>
      </c>
      <c r="G1359" s="1">
        <v>45813</v>
      </c>
      <c r="H1359" s="1">
        <v>43139</v>
      </c>
      <c r="I1359" t="s">
        <v>4062</v>
      </c>
      <c r="J1359" t="s">
        <v>94</v>
      </c>
      <c r="K1359">
        <v>2</v>
      </c>
      <c r="L1359" t="s">
        <v>27</v>
      </c>
      <c r="M1359" s="1">
        <f t="shared" ca="1" si="42"/>
        <v>46204</v>
      </c>
      <c r="N1359">
        <f t="shared" ca="1" si="43"/>
        <v>1</v>
      </c>
    </row>
    <row r="1360" spans="1:14" x14ac:dyDescent="0.3">
      <c r="A1360" t="s">
        <v>4063</v>
      </c>
      <c r="B1360" t="s">
        <v>4064</v>
      </c>
      <c r="C1360" t="s">
        <v>34</v>
      </c>
      <c r="D1360" t="s">
        <v>69</v>
      </c>
      <c r="E1360" t="s">
        <v>17</v>
      </c>
      <c r="F1360">
        <v>33.35</v>
      </c>
      <c r="G1360" s="1">
        <v>45740</v>
      </c>
      <c r="H1360" s="1">
        <v>43125</v>
      </c>
      <c r="I1360" t="s">
        <v>4065</v>
      </c>
      <c r="J1360" t="s">
        <v>19</v>
      </c>
      <c r="K1360">
        <v>2</v>
      </c>
      <c r="L1360" t="s">
        <v>20</v>
      </c>
      <c r="M1360" s="1">
        <f t="shared" ca="1" si="42"/>
        <v>46204</v>
      </c>
      <c r="N1360">
        <f t="shared" ca="1" si="43"/>
        <v>1</v>
      </c>
    </row>
    <row r="1361" spans="1:14" x14ac:dyDescent="0.3">
      <c r="A1361" t="s">
        <v>4066</v>
      </c>
      <c r="B1361" t="s">
        <v>4067</v>
      </c>
      <c r="C1361" t="s">
        <v>60</v>
      </c>
      <c r="D1361" t="s">
        <v>69</v>
      </c>
      <c r="E1361" t="s">
        <v>30</v>
      </c>
      <c r="F1361">
        <v>10.52</v>
      </c>
      <c r="G1361" s="1">
        <v>45948</v>
      </c>
      <c r="H1361" s="1">
        <v>44287</v>
      </c>
      <c r="I1361" t="s">
        <v>4068</v>
      </c>
      <c r="J1361" t="s">
        <v>49</v>
      </c>
      <c r="K1361">
        <v>2</v>
      </c>
      <c r="L1361" t="s">
        <v>27</v>
      </c>
      <c r="M1361" s="1">
        <f t="shared" ca="1" si="42"/>
        <v>46204</v>
      </c>
      <c r="N1361">
        <f t="shared" ca="1" si="43"/>
        <v>1</v>
      </c>
    </row>
    <row r="1362" spans="1:14" x14ac:dyDescent="0.3">
      <c r="A1362" t="s">
        <v>4069</v>
      </c>
      <c r="B1362" t="s">
        <v>4070</v>
      </c>
      <c r="C1362" t="s">
        <v>64</v>
      </c>
      <c r="D1362" t="s">
        <v>35</v>
      </c>
      <c r="E1362" t="s">
        <v>52</v>
      </c>
      <c r="F1362">
        <v>35.909999999999997</v>
      </c>
      <c r="G1362" s="1">
        <v>45998</v>
      </c>
      <c r="H1362" s="1">
        <v>45119</v>
      </c>
      <c r="I1362" t="s">
        <v>4071</v>
      </c>
      <c r="J1362" t="s">
        <v>49</v>
      </c>
      <c r="K1362">
        <v>4</v>
      </c>
      <c r="L1362" t="s">
        <v>27</v>
      </c>
      <c r="M1362" s="1">
        <f t="shared" ca="1" si="42"/>
        <v>46204</v>
      </c>
      <c r="N1362">
        <f t="shared" ca="1" si="43"/>
        <v>1</v>
      </c>
    </row>
    <row r="1363" spans="1:14" x14ac:dyDescent="0.3">
      <c r="A1363" t="s">
        <v>4072</v>
      </c>
      <c r="B1363" t="s">
        <v>1484</v>
      </c>
      <c r="C1363" t="s">
        <v>47</v>
      </c>
      <c r="D1363" t="s">
        <v>73</v>
      </c>
      <c r="E1363" t="s">
        <v>30</v>
      </c>
      <c r="F1363">
        <v>10.07</v>
      </c>
      <c r="G1363" s="1">
        <v>45729</v>
      </c>
      <c r="H1363" s="1">
        <v>43484</v>
      </c>
      <c r="I1363" t="s">
        <v>4073</v>
      </c>
      <c r="J1363" t="s">
        <v>75</v>
      </c>
      <c r="K1363">
        <v>2</v>
      </c>
      <c r="L1363" t="s">
        <v>27</v>
      </c>
      <c r="M1363" s="1">
        <f t="shared" ca="1" si="42"/>
        <v>46204</v>
      </c>
      <c r="N1363">
        <f t="shared" ca="1" si="43"/>
        <v>1</v>
      </c>
    </row>
    <row r="1364" spans="1:14" x14ac:dyDescent="0.3">
      <c r="A1364" t="s">
        <v>4074</v>
      </c>
      <c r="B1364" t="s">
        <v>4075</v>
      </c>
      <c r="C1364" t="s">
        <v>34</v>
      </c>
      <c r="D1364" t="s">
        <v>56</v>
      </c>
      <c r="E1364" t="s">
        <v>52</v>
      </c>
      <c r="F1364">
        <v>15.11</v>
      </c>
      <c r="G1364" s="1">
        <v>45780</v>
      </c>
      <c r="H1364" s="1">
        <v>42845</v>
      </c>
      <c r="I1364" t="s">
        <v>4076</v>
      </c>
      <c r="J1364" t="s">
        <v>94</v>
      </c>
      <c r="K1364">
        <v>5</v>
      </c>
      <c r="L1364" t="s">
        <v>27</v>
      </c>
      <c r="M1364" s="1">
        <f t="shared" ca="1" si="42"/>
        <v>46204</v>
      </c>
      <c r="N1364">
        <f t="shared" ca="1" si="43"/>
        <v>1</v>
      </c>
    </row>
    <row r="1365" spans="1:14" x14ac:dyDescent="0.3">
      <c r="A1365" t="s">
        <v>4077</v>
      </c>
      <c r="B1365" t="s">
        <v>1144</v>
      </c>
      <c r="C1365" t="s">
        <v>23</v>
      </c>
      <c r="D1365" t="s">
        <v>73</v>
      </c>
      <c r="E1365" t="s">
        <v>52</v>
      </c>
      <c r="F1365">
        <v>33.65</v>
      </c>
      <c r="G1365" s="1">
        <v>45904</v>
      </c>
      <c r="H1365" s="1">
        <v>44534</v>
      </c>
      <c r="I1365" t="s">
        <v>4078</v>
      </c>
      <c r="J1365" t="s">
        <v>66</v>
      </c>
      <c r="K1365">
        <v>3</v>
      </c>
      <c r="L1365" t="s">
        <v>20</v>
      </c>
      <c r="M1365" s="1">
        <f t="shared" ca="1" si="42"/>
        <v>46204</v>
      </c>
      <c r="N1365">
        <f t="shared" ca="1" si="43"/>
        <v>1</v>
      </c>
    </row>
    <row r="1366" spans="1:14" x14ac:dyDescent="0.3">
      <c r="A1366" t="s">
        <v>4079</v>
      </c>
      <c r="B1366" t="s">
        <v>4080</v>
      </c>
      <c r="C1366" t="s">
        <v>23</v>
      </c>
      <c r="D1366" t="s">
        <v>40</v>
      </c>
      <c r="E1366" t="s">
        <v>30</v>
      </c>
      <c r="F1366">
        <v>25.75</v>
      </c>
      <c r="G1366" s="1">
        <v>45795</v>
      </c>
      <c r="H1366" s="1">
        <v>45144</v>
      </c>
      <c r="I1366" t="s">
        <v>4081</v>
      </c>
      <c r="J1366" t="s">
        <v>49</v>
      </c>
      <c r="K1366">
        <v>2</v>
      </c>
      <c r="L1366" t="s">
        <v>27</v>
      </c>
      <c r="M1366" s="1">
        <f t="shared" ca="1" si="42"/>
        <v>46204</v>
      </c>
      <c r="N1366">
        <f t="shared" ca="1" si="43"/>
        <v>1</v>
      </c>
    </row>
    <row r="1367" spans="1:14" x14ac:dyDescent="0.3">
      <c r="A1367" t="s">
        <v>4082</v>
      </c>
      <c r="B1367" t="s">
        <v>4083</v>
      </c>
      <c r="C1367" t="s">
        <v>15</v>
      </c>
      <c r="D1367" t="s">
        <v>56</v>
      </c>
      <c r="E1367" t="s">
        <v>17</v>
      </c>
      <c r="F1367">
        <v>25.56</v>
      </c>
      <c r="G1367" s="1">
        <v>45786</v>
      </c>
      <c r="H1367" s="1">
        <v>45060</v>
      </c>
      <c r="I1367" t="s">
        <v>1441</v>
      </c>
      <c r="J1367" t="s">
        <v>26</v>
      </c>
      <c r="K1367">
        <v>4</v>
      </c>
      <c r="L1367" t="s">
        <v>20</v>
      </c>
      <c r="M1367" s="1">
        <f t="shared" ca="1" si="42"/>
        <v>46204</v>
      </c>
      <c r="N1367">
        <f t="shared" ca="1" si="43"/>
        <v>1</v>
      </c>
    </row>
    <row r="1368" spans="1:14" x14ac:dyDescent="0.3">
      <c r="A1368" t="s">
        <v>4084</v>
      </c>
      <c r="B1368" t="s">
        <v>4085</v>
      </c>
      <c r="C1368" t="s">
        <v>47</v>
      </c>
      <c r="D1368" t="s">
        <v>73</v>
      </c>
      <c r="E1368" t="s">
        <v>52</v>
      </c>
      <c r="F1368">
        <v>22.62</v>
      </c>
      <c r="G1368" s="1">
        <v>45758</v>
      </c>
      <c r="H1368" s="1">
        <v>42347</v>
      </c>
      <c r="I1368" t="s">
        <v>4086</v>
      </c>
      <c r="J1368" t="s">
        <v>75</v>
      </c>
      <c r="K1368">
        <v>4</v>
      </c>
      <c r="L1368" t="s">
        <v>20</v>
      </c>
      <c r="M1368" s="1">
        <f t="shared" ca="1" si="42"/>
        <v>46204</v>
      </c>
      <c r="N1368">
        <f t="shared" ca="1" si="43"/>
        <v>1</v>
      </c>
    </row>
    <row r="1369" spans="1:14" x14ac:dyDescent="0.3">
      <c r="A1369" t="s">
        <v>4087</v>
      </c>
      <c r="B1369" t="s">
        <v>4088</v>
      </c>
      <c r="C1369" t="s">
        <v>34</v>
      </c>
      <c r="D1369" t="s">
        <v>73</v>
      </c>
      <c r="E1369" t="s">
        <v>17</v>
      </c>
      <c r="F1369">
        <v>15.27</v>
      </c>
      <c r="G1369" s="1">
        <v>45734</v>
      </c>
      <c r="H1369" s="1">
        <v>43897</v>
      </c>
      <c r="I1369" t="s">
        <v>4089</v>
      </c>
      <c r="J1369" t="s">
        <v>37</v>
      </c>
      <c r="K1369">
        <v>5</v>
      </c>
      <c r="L1369" t="s">
        <v>20</v>
      </c>
      <c r="M1369" s="1">
        <f t="shared" ca="1" si="42"/>
        <v>46204</v>
      </c>
      <c r="N1369">
        <f t="shared" ca="1" si="43"/>
        <v>1</v>
      </c>
    </row>
    <row r="1370" spans="1:14" x14ac:dyDescent="0.3">
      <c r="A1370" t="s">
        <v>4090</v>
      </c>
      <c r="B1370" t="s">
        <v>4091</v>
      </c>
      <c r="C1370" t="s">
        <v>15</v>
      </c>
      <c r="D1370" t="s">
        <v>73</v>
      </c>
      <c r="E1370" t="s">
        <v>30</v>
      </c>
      <c r="F1370">
        <v>32.090000000000003</v>
      </c>
      <c r="G1370" s="1">
        <v>45887</v>
      </c>
      <c r="H1370" s="1">
        <v>42860</v>
      </c>
      <c r="I1370" t="s">
        <v>4092</v>
      </c>
      <c r="J1370" t="s">
        <v>66</v>
      </c>
      <c r="K1370">
        <v>3</v>
      </c>
      <c r="L1370" t="s">
        <v>27</v>
      </c>
      <c r="M1370" s="1">
        <f t="shared" ca="1" si="42"/>
        <v>46204</v>
      </c>
      <c r="N1370">
        <f t="shared" ca="1" si="43"/>
        <v>1</v>
      </c>
    </row>
    <row r="1371" spans="1:14" x14ac:dyDescent="0.3">
      <c r="A1371" t="s">
        <v>4093</v>
      </c>
      <c r="B1371" t="s">
        <v>4094</v>
      </c>
      <c r="C1371" t="s">
        <v>64</v>
      </c>
      <c r="D1371" t="s">
        <v>69</v>
      </c>
      <c r="E1371" t="s">
        <v>17</v>
      </c>
      <c r="F1371">
        <v>8.14</v>
      </c>
      <c r="G1371" s="1">
        <v>45724</v>
      </c>
      <c r="H1371" s="1">
        <v>45445</v>
      </c>
      <c r="I1371" t="s">
        <v>4095</v>
      </c>
      <c r="J1371" t="s">
        <v>19</v>
      </c>
      <c r="K1371">
        <v>5</v>
      </c>
      <c r="L1371" t="s">
        <v>20</v>
      </c>
      <c r="M1371" s="1">
        <f t="shared" ca="1" si="42"/>
        <v>46204</v>
      </c>
      <c r="N1371">
        <f t="shared" ca="1" si="43"/>
        <v>1</v>
      </c>
    </row>
    <row r="1372" spans="1:14" x14ac:dyDescent="0.3">
      <c r="A1372" t="s">
        <v>4096</v>
      </c>
      <c r="B1372" t="s">
        <v>4097</v>
      </c>
      <c r="C1372" t="s">
        <v>64</v>
      </c>
      <c r="D1372" t="s">
        <v>73</v>
      </c>
      <c r="E1372" t="s">
        <v>30</v>
      </c>
      <c r="F1372">
        <v>9.3699999999999992</v>
      </c>
      <c r="G1372" s="1">
        <v>45802</v>
      </c>
      <c r="H1372" s="1">
        <v>42370</v>
      </c>
      <c r="I1372" t="s">
        <v>4098</v>
      </c>
      <c r="J1372" t="s">
        <v>37</v>
      </c>
      <c r="K1372">
        <v>1</v>
      </c>
      <c r="L1372" t="s">
        <v>27</v>
      </c>
      <c r="M1372" s="1">
        <f t="shared" ca="1" si="42"/>
        <v>46204</v>
      </c>
      <c r="N1372">
        <f t="shared" ca="1" si="43"/>
        <v>1</v>
      </c>
    </row>
    <row r="1373" spans="1:14" x14ac:dyDescent="0.3">
      <c r="A1373" t="s">
        <v>4099</v>
      </c>
      <c r="B1373" t="s">
        <v>4100</v>
      </c>
      <c r="C1373" t="s">
        <v>124</v>
      </c>
      <c r="D1373" t="s">
        <v>56</v>
      </c>
      <c r="E1373" t="s">
        <v>30</v>
      </c>
      <c r="F1373">
        <v>22.44</v>
      </c>
      <c r="G1373" s="1">
        <v>45784</v>
      </c>
      <c r="H1373" s="1">
        <v>45268</v>
      </c>
      <c r="I1373" t="s">
        <v>4101</v>
      </c>
      <c r="J1373" t="s">
        <v>49</v>
      </c>
      <c r="K1373">
        <v>1</v>
      </c>
      <c r="L1373" t="s">
        <v>27</v>
      </c>
      <c r="M1373" s="1">
        <f t="shared" ca="1" si="42"/>
        <v>46204</v>
      </c>
      <c r="N1373">
        <f t="shared" ca="1" si="43"/>
        <v>1</v>
      </c>
    </row>
    <row r="1374" spans="1:14" x14ac:dyDescent="0.3">
      <c r="A1374" t="s">
        <v>4102</v>
      </c>
      <c r="B1374" t="s">
        <v>4103</v>
      </c>
      <c r="C1374" t="s">
        <v>34</v>
      </c>
      <c r="D1374" t="s">
        <v>16</v>
      </c>
      <c r="E1374" t="s">
        <v>52</v>
      </c>
      <c r="F1374">
        <v>30.52</v>
      </c>
      <c r="G1374" s="1">
        <v>45845</v>
      </c>
      <c r="H1374" s="1">
        <v>43528</v>
      </c>
      <c r="I1374" t="s">
        <v>4104</v>
      </c>
      <c r="J1374" t="s">
        <v>49</v>
      </c>
      <c r="K1374">
        <v>4</v>
      </c>
      <c r="L1374" t="s">
        <v>27</v>
      </c>
      <c r="M1374" s="1">
        <f t="shared" ca="1" si="42"/>
        <v>46204</v>
      </c>
      <c r="N1374">
        <f t="shared" ca="1" si="43"/>
        <v>1</v>
      </c>
    </row>
    <row r="1375" spans="1:14" x14ac:dyDescent="0.3">
      <c r="A1375" t="s">
        <v>4105</v>
      </c>
      <c r="B1375" t="s">
        <v>4106</v>
      </c>
      <c r="C1375" t="s">
        <v>60</v>
      </c>
      <c r="D1375" t="s">
        <v>35</v>
      </c>
      <c r="E1375" t="s">
        <v>30</v>
      </c>
      <c r="F1375">
        <v>22.71</v>
      </c>
      <c r="G1375" s="1">
        <v>45755</v>
      </c>
      <c r="H1375" s="1">
        <v>43512</v>
      </c>
      <c r="I1375" t="s">
        <v>4107</v>
      </c>
      <c r="J1375" t="s">
        <v>37</v>
      </c>
      <c r="K1375">
        <v>1</v>
      </c>
      <c r="L1375" t="s">
        <v>27</v>
      </c>
      <c r="M1375" s="1">
        <f t="shared" ca="1" si="42"/>
        <v>46204</v>
      </c>
      <c r="N1375">
        <f t="shared" ca="1" si="43"/>
        <v>1</v>
      </c>
    </row>
    <row r="1376" spans="1:14" x14ac:dyDescent="0.3">
      <c r="A1376" t="s">
        <v>4108</v>
      </c>
      <c r="B1376" t="s">
        <v>4109</v>
      </c>
      <c r="C1376" t="s">
        <v>124</v>
      </c>
      <c r="D1376" t="s">
        <v>16</v>
      </c>
      <c r="E1376" t="s">
        <v>52</v>
      </c>
      <c r="F1376">
        <v>21.66</v>
      </c>
      <c r="G1376" s="1">
        <v>45832</v>
      </c>
      <c r="H1376" s="1">
        <v>43213</v>
      </c>
      <c r="I1376" t="s">
        <v>4110</v>
      </c>
      <c r="J1376" t="s">
        <v>37</v>
      </c>
      <c r="K1376">
        <v>1</v>
      </c>
      <c r="L1376" t="s">
        <v>27</v>
      </c>
      <c r="M1376" s="1">
        <f t="shared" ca="1" si="42"/>
        <v>46204</v>
      </c>
      <c r="N1376">
        <f t="shared" ca="1" si="43"/>
        <v>1</v>
      </c>
    </row>
    <row r="1377" spans="1:14" x14ac:dyDescent="0.3">
      <c r="A1377" t="s">
        <v>4111</v>
      </c>
      <c r="B1377" t="s">
        <v>4112</v>
      </c>
      <c r="C1377" t="s">
        <v>64</v>
      </c>
      <c r="D1377" t="s">
        <v>16</v>
      </c>
      <c r="E1377" t="s">
        <v>52</v>
      </c>
      <c r="F1377">
        <v>12.04</v>
      </c>
      <c r="G1377" s="1">
        <v>45874</v>
      </c>
      <c r="H1377" s="1">
        <v>44484</v>
      </c>
      <c r="I1377" t="s">
        <v>4113</v>
      </c>
      <c r="J1377" t="s">
        <v>94</v>
      </c>
      <c r="K1377">
        <v>3</v>
      </c>
      <c r="L1377" t="s">
        <v>20</v>
      </c>
      <c r="M1377" s="1">
        <f t="shared" ca="1" si="42"/>
        <v>46204</v>
      </c>
      <c r="N1377">
        <f t="shared" ca="1" si="43"/>
        <v>1</v>
      </c>
    </row>
    <row r="1378" spans="1:14" x14ac:dyDescent="0.3">
      <c r="A1378" t="s">
        <v>4114</v>
      </c>
      <c r="B1378" t="s">
        <v>4115</v>
      </c>
      <c r="C1378" t="s">
        <v>64</v>
      </c>
      <c r="D1378" t="s">
        <v>40</v>
      </c>
      <c r="E1378" t="s">
        <v>30</v>
      </c>
      <c r="F1378">
        <v>17.54</v>
      </c>
      <c r="G1378" s="1">
        <v>45887</v>
      </c>
      <c r="H1378" s="1">
        <v>43355</v>
      </c>
      <c r="I1378" t="s">
        <v>4116</v>
      </c>
      <c r="J1378" t="s">
        <v>37</v>
      </c>
      <c r="K1378">
        <v>5</v>
      </c>
      <c r="L1378" t="s">
        <v>27</v>
      </c>
      <c r="M1378" s="1">
        <f t="shared" ca="1" si="42"/>
        <v>46204</v>
      </c>
      <c r="N1378">
        <f t="shared" ca="1" si="43"/>
        <v>1</v>
      </c>
    </row>
    <row r="1379" spans="1:14" x14ac:dyDescent="0.3">
      <c r="A1379" t="s">
        <v>4117</v>
      </c>
      <c r="B1379" t="s">
        <v>4118</v>
      </c>
      <c r="C1379" t="s">
        <v>23</v>
      </c>
      <c r="D1379" t="s">
        <v>73</v>
      </c>
      <c r="E1379" t="s">
        <v>52</v>
      </c>
      <c r="F1379">
        <v>35.47</v>
      </c>
      <c r="G1379" s="1">
        <v>45873</v>
      </c>
      <c r="H1379" s="1">
        <v>44190</v>
      </c>
      <c r="I1379" t="s">
        <v>4119</v>
      </c>
      <c r="J1379" t="s">
        <v>49</v>
      </c>
      <c r="K1379">
        <v>5</v>
      </c>
      <c r="L1379" t="s">
        <v>27</v>
      </c>
      <c r="M1379" s="1">
        <f t="shared" ca="1" si="42"/>
        <v>46204</v>
      </c>
      <c r="N1379">
        <f t="shared" ca="1" si="43"/>
        <v>1</v>
      </c>
    </row>
    <row r="1380" spans="1:14" x14ac:dyDescent="0.3">
      <c r="A1380" t="s">
        <v>4120</v>
      </c>
      <c r="B1380" t="s">
        <v>4121</v>
      </c>
      <c r="C1380" t="s">
        <v>34</v>
      </c>
      <c r="D1380" t="s">
        <v>16</v>
      </c>
      <c r="E1380" t="s">
        <v>24</v>
      </c>
      <c r="F1380">
        <v>4.08</v>
      </c>
      <c r="G1380" s="1">
        <v>45942</v>
      </c>
      <c r="H1380" s="1">
        <v>45095</v>
      </c>
      <c r="I1380" t="s">
        <v>4122</v>
      </c>
      <c r="J1380" t="s">
        <v>49</v>
      </c>
      <c r="K1380">
        <v>5</v>
      </c>
      <c r="L1380" t="s">
        <v>20</v>
      </c>
      <c r="M1380" s="1">
        <f t="shared" ca="1" si="42"/>
        <v>46204</v>
      </c>
      <c r="N1380">
        <f t="shared" ca="1" si="43"/>
        <v>1</v>
      </c>
    </row>
    <row r="1381" spans="1:14" x14ac:dyDescent="0.3">
      <c r="A1381" t="s">
        <v>4123</v>
      </c>
      <c r="B1381" t="s">
        <v>4124</v>
      </c>
      <c r="C1381" t="s">
        <v>124</v>
      </c>
      <c r="D1381" t="s">
        <v>69</v>
      </c>
      <c r="E1381" t="s">
        <v>30</v>
      </c>
      <c r="F1381">
        <v>39.520000000000003</v>
      </c>
      <c r="G1381" s="1">
        <v>45860</v>
      </c>
      <c r="H1381" s="1">
        <v>44421</v>
      </c>
      <c r="I1381" t="s">
        <v>4125</v>
      </c>
      <c r="J1381" t="s">
        <v>75</v>
      </c>
      <c r="K1381">
        <v>1</v>
      </c>
      <c r="L1381" t="s">
        <v>20</v>
      </c>
      <c r="M1381" s="1">
        <f t="shared" ca="1" si="42"/>
        <v>46204</v>
      </c>
      <c r="N1381">
        <f t="shared" ca="1" si="43"/>
        <v>1</v>
      </c>
    </row>
    <row r="1382" spans="1:14" x14ac:dyDescent="0.3">
      <c r="A1382" t="s">
        <v>4126</v>
      </c>
      <c r="B1382" t="s">
        <v>4127</v>
      </c>
      <c r="C1382" t="s">
        <v>124</v>
      </c>
      <c r="D1382" t="s">
        <v>56</v>
      </c>
      <c r="E1382" t="s">
        <v>17</v>
      </c>
      <c r="F1382">
        <v>15.12</v>
      </c>
      <c r="G1382" s="1">
        <v>45821</v>
      </c>
      <c r="H1382" s="1">
        <v>43109</v>
      </c>
      <c r="I1382" t="s">
        <v>206</v>
      </c>
      <c r="J1382" t="s">
        <v>19</v>
      </c>
      <c r="K1382">
        <v>2</v>
      </c>
      <c r="L1382" t="s">
        <v>20</v>
      </c>
      <c r="M1382" s="1">
        <f t="shared" ca="1" si="42"/>
        <v>46204</v>
      </c>
      <c r="N1382">
        <f t="shared" ca="1" si="43"/>
        <v>1</v>
      </c>
    </row>
    <row r="1383" spans="1:14" x14ac:dyDescent="0.3">
      <c r="A1383" t="s">
        <v>4128</v>
      </c>
      <c r="B1383" t="s">
        <v>4129</v>
      </c>
      <c r="C1383" t="s">
        <v>47</v>
      </c>
      <c r="D1383" t="s">
        <v>40</v>
      </c>
      <c r="E1383" t="s">
        <v>24</v>
      </c>
      <c r="F1383">
        <v>32.049999999999997</v>
      </c>
      <c r="G1383" s="1">
        <v>45860</v>
      </c>
      <c r="H1383" s="1">
        <v>44926</v>
      </c>
      <c r="I1383" t="s">
        <v>4130</v>
      </c>
      <c r="J1383" t="s">
        <v>66</v>
      </c>
      <c r="K1383">
        <v>3</v>
      </c>
      <c r="L1383" t="s">
        <v>20</v>
      </c>
      <c r="M1383" s="1">
        <f t="shared" ca="1" si="42"/>
        <v>46204</v>
      </c>
      <c r="N1383">
        <f t="shared" ca="1" si="43"/>
        <v>1</v>
      </c>
    </row>
    <row r="1384" spans="1:14" x14ac:dyDescent="0.3">
      <c r="A1384" t="s">
        <v>4131</v>
      </c>
      <c r="B1384" t="s">
        <v>4132</v>
      </c>
      <c r="C1384" t="s">
        <v>64</v>
      </c>
      <c r="D1384" t="s">
        <v>40</v>
      </c>
      <c r="E1384" t="s">
        <v>17</v>
      </c>
      <c r="F1384">
        <v>34.94</v>
      </c>
      <c r="G1384" s="1">
        <v>45851</v>
      </c>
      <c r="H1384" s="1">
        <v>42433</v>
      </c>
      <c r="I1384" t="s">
        <v>4133</v>
      </c>
      <c r="J1384" t="s">
        <v>66</v>
      </c>
      <c r="K1384">
        <v>4</v>
      </c>
      <c r="L1384" t="s">
        <v>27</v>
      </c>
      <c r="M1384" s="1">
        <f t="shared" ca="1" si="42"/>
        <v>46204</v>
      </c>
      <c r="N1384">
        <f t="shared" ca="1" si="43"/>
        <v>1</v>
      </c>
    </row>
    <row r="1385" spans="1:14" x14ac:dyDescent="0.3">
      <c r="A1385" t="s">
        <v>4134</v>
      </c>
      <c r="B1385" t="s">
        <v>4135</v>
      </c>
      <c r="C1385" t="s">
        <v>23</v>
      </c>
      <c r="D1385" t="s">
        <v>16</v>
      </c>
      <c r="E1385" t="s">
        <v>52</v>
      </c>
      <c r="F1385">
        <v>8.36</v>
      </c>
      <c r="G1385" s="1">
        <v>45749</v>
      </c>
      <c r="H1385" s="1">
        <v>42607</v>
      </c>
      <c r="I1385" t="s">
        <v>4136</v>
      </c>
      <c r="J1385" t="s">
        <v>94</v>
      </c>
      <c r="K1385">
        <v>5</v>
      </c>
      <c r="L1385" t="s">
        <v>20</v>
      </c>
      <c r="M1385" s="1">
        <f t="shared" ca="1" si="42"/>
        <v>46204</v>
      </c>
      <c r="N1385">
        <f t="shared" ca="1" si="43"/>
        <v>1</v>
      </c>
    </row>
    <row r="1386" spans="1:14" x14ac:dyDescent="0.3">
      <c r="A1386" t="s">
        <v>4137</v>
      </c>
      <c r="B1386" t="s">
        <v>4138</v>
      </c>
      <c r="C1386" t="s">
        <v>15</v>
      </c>
      <c r="D1386" t="s">
        <v>40</v>
      </c>
      <c r="E1386" t="s">
        <v>52</v>
      </c>
      <c r="F1386">
        <v>35.78</v>
      </c>
      <c r="G1386" s="1">
        <v>45900</v>
      </c>
      <c r="H1386" s="1">
        <v>44755</v>
      </c>
      <c r="I1386" t="s">
        <v>4139</v>
      </c>
      <c r="J1386" t="s">
        <v>26</v>
      </c>
      <c r="K1386">
        <v>5</v>
      </c>
      <c r="L1386" t="s">
        <v>27</v>
      </c>
      <c r="M1386" s="1">
        <f t="shared" ca="1" si="42"/>
        <v>46204</v>
      </c>
      <c r="N1386">
        <f t="shared" ca="1" si="43"/>
        <v>1</v>
      </c>
    </row>
    <row r="1387" spans="1:14" x14ac:dyDescent="0.3">
      <c r="A1387" t="s">
        <v>4140</v>
      </c>
      <c r="B1387" t="s">
        <v>4141</v>
      </c>
      <c r="C1387" t="s">
        <v>47</v>
      </c>
      <c r="D1387" t="s">
        <v>16</v>
      </c>
      <c r="E1387" t="s">
        <v>30</v>
      </c>
      <c r="F1387">
        <v>38.89</v>
      </c>
      <c r="G1387" s="1">
        <v>45893</v>
      </c>
      <c r="H1387" s="1">
        <v>43623</v>
      </c>
      <c r="I1387" t="s">
        <v>4142</v>
      </c>
      <c r="J1387" t="s">
        <v>49</v>
      </c>
      <c r="K1387">
        <v>4</v>
      </c>
      <c r="L1387" t="s">
        <v>27</v>
      </c>
      <c r="M1387" s="1">
        <f t="shared" ca="1" si="42"/>
        <v>46204</v>
      </c>
      <c r="N1387">
        <f t="shared" ca="1" si="43"/>
        <v>1</v>
      </c>
    </row>
    <row r="1388" spans="1:14" x14ac:dyDescent="0.3">
      <c r="A1388" t="s">
        <v>4143</v>
      </c>
      <c r="B1388" t="s">
        <v>4144</v>
      </c>
      <c r="C1388" t="s">
        <v>47</v>
      </c>
      <c r="D1388" t="s">
        <v>56</v>
      </c>
      <c r="E1388" t="s">
        <v>52</v>
      </c>
      <c r="F1388">
        <v>11.25</v>
      </c>
      <c r="G1388" s="1">
        <v>45740</v>
      </c>
      <c r="H1388" s="1">
        <v>45453</v>
      </c>
      <c r="I1388" t="s">
        <v>4145</v>
      </c>
      <c r="J1388" t="s">
        <v>49</v>
      </c>
      <c r="K1388">
        <v>4</v>
      </c>
      <c r="L1388" t="s">
        <v>27</v>
      </c>
      <c r="M1388" s="1">
        <f t="shared" ca="1" si="42"/>
        <v>46204</v>
      </c>
      <c r="N1388">
        <f t="shared" ca="1" si="43"/>
        <v>1</v>
      </c>
    </row>
    <row r="1389" spans="1:14" x14ac:dyDescent="0.3">
      <c r="A1389" t="s">
        <v>4146</v>
      </c>
      <c r="B1389" t="s">
        <v>4147</v>
      </c>
      <c r="C1389" t="s">
        <v>124</v>
      </c>
      <c r="D1389" t="s">
        <v>56</v>
      </c>
      <c r="E1389" t="s">
        <v>17</v>
      </c>
      <c r="F1389">
        <v>26.23</v>
      </c>
      <c r="G1389" s="1">
        <v>46065</v>
      </c>
      <c r="H1389" s="1">
        <v>45466</v>
      </c>
      <c r="I1389" t="s">
        <v>4148</v>
      </c>
      <c r="J1389" t="s">
        <v>26</v>
      </c>
      <c r="K1389">
        <v>2</v>
      </c>
      <c r="L1389" t="s">
        <v>20</v>
      </c>
      <c r="M1389" s="1">
        <f t="shared" ca="1" si="42"/>
        <v>46204</v>
      </c>
      <c r="N1389">
        <f t="shared" ca="1" si="43"/>
        <v>1</v>
      </c>
    </row>
    <row r="1390" spans="1:14" x14ac:dyDescent="0.3">
      <c r="A1390" t="s">
        <v>4149</v>
      </c>
      <c r="B1390" t="s">
        <v>4150</v>
      </c>
      <c r="C1390" t="s">
        <v>15</v>
      </c>
      <c r="D1390" t="s">
        <v>69</v>
      </c>
      <c r="E1390" t="s">
        <v>30</v>
      </c>
      <c r="F1390">
        <v>21.12</v>
      </c>
      <c r="G1390" s="1">
        <v>45823</v>
      </c>
      <c r="H1390" s="1">
        <v>44142</v>
      </c>
      <c r="I1390" t="s">
        <v>4151</v>
      </c>
      <c r="J1390" t="s">
        <v>49</v>
      </c>
      <c r="K1390">
        <v>1</v>
      </c>
      <c r="L1390" t="s">
        <v>20</v>
      </c>
      <c r="M1390" s="1">
        <f t="shared" ca="1" si="42"/>
        <v>46204</v>
      </c>
      <c r="N1390">
        <f t="shared" ca="1" si="43"/>
        <v>1</v>
      </c>
    </row>
    <row r="1391" spans="1:14" x14ac:dyDescent="0.3">
      <c r="A1391" t="s">
        <v>4152</v>
      </c>
      <c r="B1391" t="s">
        <v>4153</v>
      </c>
      <c r="C1391" t="s">
        <v>34</v>
      </c>
      <c r="D1391" t="s">
        <v>40</v>
      </c>
      <c r="E1391" t="s">
        <v>17</v>
      </c>
      <c r="F1391">
        <v>31.21</v>
      </c>
      <c r="G1391" s="1">
        <v>45770</v>
      </c>
      <c r="H1391" s="1">
        <v>44329</v>
      </c>
      <c r="I1391" t="s">
        <v>4154</v>
      </c>
      <c r="J1391" t="s">
        <v>75</v>
      </c>
      <c r="K1391">
        <v>2</v>
      </c>
      <c r="L1391" t="s">
        <v>27</v>
      </c>
      <c r="M1391" s="1">
        <f t="shared" ca="1" si="42"/>
        <v>46204</v>
      </c>
      <c r="N1391">
        <f t="shared" ca="1" si="43"/>
        <v>1</v>
      </c>
    </row>
    <row r="1392" spans="1:14" x14ac:dyDescent="0.3">
      <c r="A1392" t="s">
        <v>4155</v>
      </c>
      <c r="B1392" t="s">
        <v>4156</v>
      </c>
      <c r="C1392" t="s">
        <v>64</v>
      </c>
      <c r="D1392" t="s">
        <v>35</v>
      </c>
      <c r="E1392" t="s">
        <v>52</v>
      </c>
      <c r="F1392">
        <v>20.7</v>
      </c>
      <c r="G1392" s="1">
        <v>45962</v>
      </c>
      <c r="H1392" s="1">
        <v>45444</v>
      </c>
      <c r="I1392" t="s">
        <v>4157</v>
      </c>
      <c r="J1392" t="s">
        <v>37</v>
      </c>
      <c r="K1392">
        <v>5</v>
      </c>
      <c r="L1392" t="s">
        <v>20</v>
      </c>
      <c r="M1392" s="1">
        <f t="shared" ca="1" si="42"/>
        <v>46204</v>
      </c>
      <c r="N1392">
        <f t="shared" ca="1" si="43"/>
        <v>1</v>
      </c>
    </row>
    <row r="1393" spans="1:14" x14ac:dyDescent="0.3">
      <c r="A1393" t="s">
        <v>4158</v>
      </c>
      <c r="B1393" t="s">
        <v>4159</v>
      </c>
      <c r="C1393" t="s">
        <v>60</v>
      </c>
      <c r="D1393" t="s">
        <v>40</v>
      </c>
      <c r="E1393" t="s">
        <v>30</v>
      </c>
      <c r="F1393">
        <v>27.74</v>
      </c>
      <c r="G1393" s="1">
        <v>45834</v>
      </c>
      <c r="H1393" s="1">
        <v>44084</v>
      </c>
      <c r="I1393" t="s">
        <v>4160</v>
      </c>
      <c r="J1393" t="s">
        <v>94</v>
      </c>
      <c r="K1393">
        <v>3</v>
      </c>
      <c r="L1393" t="s">
        <v>20</v>
      </c>
      <c r="M1393" s="1">
        <f t="shared" ca="1" si="42"/>
        <v>46204</v>
      </c>
      <c r="N1393">
        <f t="shared" ca="1" si="43"/>
        <v>1</v>
      </c>
    </row>
    <row r="1394" spans="1:14" x14ac:dyDescent="0.3">
      <c r="A1394" t="s">
        <v>4161</v>
      </c>
      <c r="B1394" t="s">
        <v>4162</v>
      </c>
      <c r="C1394" t="s">
        <v>34</v>
      </c>
      <c r="D1394" t="s">
        <v>69</v>
      </c>
      <c r="E1394" t="s">
        <v>24</v>
      </c>
      <c r="F1394">
        <v>12.45</v>
      </c>
      <c r="G1394" s="1">
        <v>46000</v>
      </c>
      <c r="H1394" s="1">
        <v>42256</v>
      </c>
      <c r="I1394" t="s">
        <v>4163</v>
      </c>
      <c r="J1394" t="s">
        <v>26</v>
      </c>
      <c r="K1394">
        <v>2</v>
      </c>
      <c r="L1394" t="s">
        <v>27</v>
      </c>
      <c r="M1394" s="1">
        <f t="shared" ca="1" si="42"/>
        <v>46204</v>
      </c>
      <c r="N1394">
        <f t="shared" ca="1" si="43"/>
        <v>1</v>
      </c>
    </row>
    <row r="1395" spans="1:14" x14ac:dyDescent="0.3">
      <c r="A1395" t="s">
        <v>4164</v>
      </c>
      <c r="B1395" t="s">
        <v>4165</v>
      </c>
      <c r="C1395" t="s">
        <v>23</v>
      </c>
      <c r="D1395" t="s">
        <v>56</v>
      </c>
      <c r="E1395" t="s">
        <v>52</v>
      </c>
      <c r="F1395">
        <v>2.95</v>
      </c>
      <c r="G1395" s="1">
        <v>45921</v>
      </c>
      <c r="H1395" s="1">
        <v>44734</v>
      </c>
      <c r="I1395" t="s">
        <v>4166</v>
      </c>
      <c r="J1395" t="s">
        <v>75</v>
      </c>
      <c r="K1395">
        <v>2</v>
      </c>
      <c r="L1395" t="s">
        <v>27</v>
      </c>
      <c r="M1395" s="1">
        <f t="shared" ca="1" si="42"/>
        <v>46204</v>
      </c>
      <c r="N1395">
        <f t="shared" ca="1" si="43"/>
        <v>1</v>
      </c>
    </row>
    <row r="1396" spans="1:14" x14ac:dyDescent="0.3">
      <c r="A1396" t="s">
        <v>4167</v>
      </c>
      <c r="B1396" t="s">
        <v>4168</v>
      </c>
      <c r="C1396" t="s">
        <v>34</v>
      </c>
      <c r="D1396" t="s">
        <v>16</v>
      </c>
      <c r="E1396" t="s">
        <v>17</v>
      </c>
      <c r="F1396">
        <v>38.119999999999997</v>
      </c>
      <c r="G1396" s="1">
        <v>46029</v>
      </c>
      <c r="H1396" s="1">
        <v>44159</v>
      </c>
      <c r="I1396" t="s">
        <v>4169</v>
      </c>
      <c r="J1396" t="s">
        <v>66</v>
      </c>
      <c r="K1396">
        <v>2</v>
      </c>
      <c r="L1396" t="s">
        <v>27</v>
      </c>
      <c r="M1396" s="1">
        <f t="shared" ca="1" si="42"/>
        <v>46204</v>
      </c>
      <c r="N1396">
        <f t="shared" ca="1" si="43"/>
        <v>1</v>
      </c>
    </row>
    <row r="1397" spans="1:14" x14ac:dyDescent="0.3">
      <c r="A1397" t="s">
        <v>4170</v>
      </c>
      <c r="B1397" t="s">
        <v>4171</v>
      </c>
      <c r="C1397" t="s">
        <v>23</v>
      </c>
      <c r="D1397" t="s">
        <v>40</v>
      </c>
      <c r="E1397" t="s">
        <v>24</v>
      </c>
      <c r="F1397">
        <v>15.79</v>
      </c>
      <c r="G1397" s="1">
        <v>45832</v>
      </c>
      <c r="H1397" s="1">
        <v>43752</v>
      </c>
      <c r="I1397" t="s">
        <v>4172</v>
      </c>
      <c r="J1397" t="s">
        <v>75</v>
      </c>
      <c r="K1397">
        <v>2</v>
      </c>
      <c r="L1397" t="s">
        <v>20</v>
      </c>
      <c r="M1397" s="1">
        <f t="shared" ca="1" si="42"/>
        <v>46204</v>
      </c>
      <c r="N1397">
        <f t="shared" ca="1" si="43"/>
        <v>1</v>
      </c>
    </row>
    <row r="1398" spans="1:14" x14ac:dyDescent="0.3">
      <c r="A1398" t="s">
        <v>4173</v>
      </c>
      <c r="B1398" t="s">
        <v>4174</v>
      </c>
      <c r="C1398" t="s">
        <v>34</v>
      </c>
      <c r="D1398" t="s">
        <v>35</v>
      </c>
      <c r="E1398" t="s">
        <v>24</v>
      </c>
      <c r="F1398">
        <v>18.18</v>
      </c>
      <c r="G1398" s="1">
        <v>45889</v>
      </c>
      <c r="H1398" s="1">
        <v>43830</v>
      </c>
      <c r="I1398" t="s">
        <v>4175</v>
      </c>
      <c r="J1398" t="s">
        <v>26</v>
      </c>
      <c r="K1398">
        <v>2</v>
      </c>
      <c r="L1398" t="s">
        <v>20</v>
      </c>
      <c r="M1398" s="1">
        <f t="shared" ca="1" si="42"/>
        <v>46204</v>
      </c>
      <c r="N1398">
        <f t="shared" ca="1" si="43"/>
        <v>1</v>
      </c>
    </row>
    <row r="1399" spans="1:14" x14ac:dyDescent="0.3">
      <c r="A1399" t="s">
        <v>4176</v>
      </c>
      <c r="B1399" t="s">
        <v>4177</v>
      </c>
      <c r="C1399" t="s">
        <v>15</v>
      </c>
      <c r="D1399" t="s">
        <v>40</v>
      </c>
      <c r="E1399" t="s">
        <v>30</v>
      </c>
      <c r="F1399">
        <v>9.59</v>
      </c>
      <c r="G1399" s="1">
        <v>45737</v>
      </c>
      <c r="H1399" s="1">
        <v>42419</v>
      </c>
      <c r="I1399" t="s">
        <v>4178</v>
      </c>
      <c r="J1399" t="s">
        <v>49</v>
      </c>
      <c r="K1399">
        <v>4</v>
      </c>
      <c r="L1399" t="s">
        <v>27</v>
      </c>
      <c r="M1399" s="1">
        <f t="shared" ca="1" si="42"/>
        <v>46204</v>
      </c>
      <c r="N1399">
        <f t="shared" ca="1" si="43"/>
        <v>1</v>
      </c>
    </row>
    <row r="1400" spans="1:14" x14ac:dyDescent="0.3">
      <c r="A1400" t="s">
        <v>4179</v>
      </c>
      <c r="B1400" t="s">
        <v>4180</v>
      </c>
      <c r="C1400" t="s">
        <v>47</v>
      </c>
      <c r="D1400" t="s">
        <v>35</v>
      </c>
      <c r="E1400" t="s">
        <v>30</v>
      </c>
      <c r="F1400">
        <v>1.56</v>
      </c>
      <c r="G1400" s="1">
        <v>46032</v>
      </c>
      <c r="H1400" s="1">
        <v>44426</v>
      </c>
      <c r="I1400" t="s">
        <v>2412</v>
      </c>
      <c r="J1400" t="s">
        <v>26</v>
      </c>
      <c r="K1400">
        <v>4</v>
      </c>
      <c r="L1400" t="s">
        <v>20</v>
      </c>
      <c r="M1400" s="1">
        <f t="shared" ca="1" si="42"/>
        <v>46204</v>
      </c>
      <c r="N1400">
        <f t="shared" ca="1" si="43"/>
        <v>1</v>
      </c>
    </row>
    <row r="1401" spans="1:14" x14ac:dyDescent="0.3">
      <c r="A1401" t="s">
        <v>4181</v>
      </c>
      <c r="B1401" t="s">
        <v>4182</v>
      </c>
      <c r="C1401" t="s">
        <v>47</v>
      </c>
      <c r="D1401" t="s">
        <v>35</v>
      </c>
      <c r="E1401" t="s">
        <v>24</v>
      </c>
      <c r="F1401">
        <v>36.64</v>
      </c>
      <c r="G1401" s="1">
        <v>45857</v>
      </c>
      <c r="H1401" s="1">
        <v>44874</v>
      </c>
      <c r="I1401" t="s">
        <v>1896</v>
      </c>
      <c r="J1401" t="s">
        <v>94</v>
      </c>
      <c r="K1401">
        <v>3</v>
      </c>
      <c r="L1401" t="s">
        <v>27</v>
      </c>
      <c r="M1401" s="1">
        <f t="shared" ca="1" si="42"/>
        <v>46204</v>
      </c>
      <c r="N1401">
        <f t="shared" ca="1" si="43"/>
        <v>1</v>
      </c>
    </row>
    <row r="1402" spans="1:14" x14ac:dyDescent="0.3">
      <c r="A1402" t="s">
        <v>4183</v>
      </c>
      <c r="B1402" t="s">
        <v>4184</v>
      </c>
      <c r="C1402" t="s">
        <v>15</v>
      </c>
      <c r="D1402" t="s">
        <v>69</v>
      </c>
      <c r="E1402" t="s">
        <v>24</v>
      </c>
      <c r="F1402">
        <v>39.799999999999997</v>
      </c>
      <c r="G1402" s="1">
        <v>45977</v>
      </c>
      <c r="H1402" s="1">
        <v>43264</v>
      </c>
      <c r="I1402" t="s">
        <v>4185</v>
      </c>
      <c r="J1402" t="s">
        <v>37</v>
      </c>
      <c r="K1402">
        <v>4</v>
      </c>
      <c r="L1402" t="s">
        <v>27</v>
      </c>
      <c r="M1402" s="1">
        <f t="shared" ca="1" si="42"/>
        <v>46204</v>
      </c>
      <c r="N1402">
        <f t="shared" ca="1" si="43"/>
        <v>1</v>
      </c>
    </row>
    <row r="1403" spans="1:14" x14ac:dyDescent="0.3">
      <c r="A1403" t="s">
        <v>4186</v>
      </c>
      <c r="B1403" t="s">
        <v>4187</v>
      </c>
      <c r="C1403" t="s">
        <v>15</v>
      </c>
      <c r="D1403" t="s">
        <v>56</v>
      </c>
      <c r="E1403" t="s">
        <v>17</v>
      </c>
      <c r="F1403">
        <v>8.85</v>
      </c>
      <c r="G1403" s="1">
        <v>45791</v>
      </c>
      <c r="H1403" s="1">
        <v>42645</v>
      </c>
      <c r="I1403" t="s">
        <v>4188</v>
      </c>
      <c r="J1403" t="s">
        <v>66</v>
      </c>
      <c r="K1403">
        <v>1</v>
      </c>
      <c r="L1403" t="s">
        <v>20</v>
      </c>
      <c r="M1403" s="1">
        <f t="shared" ca="1" si="42"/>
        <v>46204</v>
      </c>
      <c r="N1403">
        <f t="shared" ca="1" si="43"/>
        <v>1</v>
      </c>
    </row>
    <row r="1404" spans="1:14" x14ac:dyDescent="0.3">
      <c r="A1404" t="s">
        <v>4189</v>
      </c>
      <c r="B1404" t="s">
        <v>4190</v>
      </c>
      <c r="C1404" t="s">
        <v>60</v>
      </c>
      <c r="D1404" t="s">
        <v>69</v>
      </c>
      <c r="E1404" t="s">
        <v>17</v>
      </c>
      <c r="F1404">
        <v>15.53</v>
      </c>
      <c r="G1404" s="1">
        <v>45935</v>
      </c>
      <c r="H1404" s="1">
        <v>42509</v>
      </c>
      <c r="I1404" t="s">
        <v>4191</v>
      </c>
      <c r="J1404" t="s">
        <v>66</v>
      </c>
      <c r="K1404">
        <v>3</v>
      </c>
      <c r="L1404" t="s">
        <v>20</v>
      </c>
      <c r="M1404" s="1">
        <f t="shared" ca="1" si="42"/>
        <v>46204</v>
      </c>
      <c r="N1404">
        <f t="shared" ca="1" si="43"/>
        <v>1</v>
      </c>
    </row>
    <row r="1405" spans="1:14" x14ac:dyDescent="0.3">
      <c r="A1405" t="s">
        <v>4192</v>
      </c>
      <c r="B1405" t="s">
        <v>4193</v>
      </c>
      <c r="C1405" t="s">
        <v>23</v>
      </c>
      <c r="D1405" t="s">
        <v>56</v>
      </c>
      <c r="E1405" t="s">
        <v>24</v>
      </c>
      <c r="F1405">
        <v>17.71</v>
      </c>
      <c r="G1405" s="1">
        <v>45847</v>
      </c>
      <c r="H1405" s="1">
        <v>43424</v>
      </c>
      <c r="I1405" t="s">
        <v>4194</v>
      </c>
      <c r="J1405" t="s">
        <v>37</v>
      </c>
      <c r="K1405">
        <v>3</v>
      </c>
      <c r="L1405" t="s">
        <v>20</v>
      </c>
      <c r="M1405" s="1">
        <f t="shared" ca="1" si="42"/>
        <v>46204</v>
      </c>
      <c r="N1405">
        <f t="shared" ca="1" si="43"/>
        <v>1</v>
      </c>
    </row>
    <row r="1406" spans="1:14" x14ac:dyDescent="0.3">
      <c r="A1406" t="s">
        <v>4195</v>
      </c>
      <c r="B1406" t="s">
        <v>4196</v>
      </c>
      <c r="C1406" t="s">
        <v>64</v>
      </c>
      <c r="D1406" t="s">
        <v>40</v>
      </c>
      <c r="E1406" t="s">
        <v>30</v>
      </c>
      <c r="F1406">
        <v>5.3</v>
      </c>
      <c r="G1406" s="1">
        <v>45846</v>
      </c>
      <c r="H1406" s="1">
        <v>44703</v>
      </c>
      <c r="I1406" t="s">
        <v>4197</v>
      </c>
      <c r="J1406" t="s">
        <v>19</v>
      </c>
      <c r="K1406">
        <v>5</v>
      </c>
      <c r="L1406" t="s">
        <v>27</v>
      </c>
      <c r="M1406" s="1">
        <f t="shared" ca="1" si="42"/>
        <v>46204</v>
      </c>
      <c r="N1406">
        <f t="shared" ca="1" si="43"/>
        <v>1</v>
      </c>
    </row>
    <row r="1407" spans="1:14" x14ac:dyDescent="0.3">
      <c r="A1407" t="s">
        <v>4198</v>
      </c>
      <c r="B1407" t="s">
        <v>4199</v>
      </c>
      <c r="C1407" t="s">
        <v>124</v>
      </c>
      <c r="D1407" t="s">
        <v>56</v>
      </c>
      <c r="E1407" t="s">
        <v>17</v>
      </c>
      <c r="F1407">
        <v>35.020000000000003</v>
      </c>
      <c r="G1407" s="1">
        <v>45750</v>
      </c>
      <c r="H1407" s="1">
        <v>44116</v>
      </c>
      <c r="I1407" t="s">
        <v>4200</v>
      </c>
      <c r="J1407" t="s">
        <v>75</v>
      </c>
      <c r="K1407">
        <v>3</v>
      </c>
      <c r="L1407" t="s">
        <v>27</v>
      </c>
      <c r="M1407" s="1">
        <f t="shared" ca="1" si="42"/>
        <v>46204</v>
      </c>
      <c r="N1407">
        <f t="shared" ca="1" si="43"/>
        <v>1</v>
      </c>
    </row>
    <row r="1408" spans="1:14" x14ac:dyDescent="0.3">
      <c r="A1408" t="s">
        <v>4201</v>
      </c>
      <c r="B1408" t="s">
        <v>4202</v>
      </c>
      <c r="C1408" t="s">
        <v>60</v>
      </c>
      <c r="D1408" t="s">
        <v>40</v>
      </c>
      <c r="E1408" t="s">
        <v>17</v>
      </c>
      <c r="F1408">
        <v>15.36</v>
      </c>
      <c r="G1408" s="1">
        <v>45834</v>
      </c>
      <c r="H1408" s="1">
        <v>44203</v>
      </c>
      <c r="I1408" t="s">
        <v>4203</v>
      </c>
      <c r="J1408" t="s">
        <v>26</v>
      </c>
      <c r="K1408">
        <v>3</v>
      </c>
      <c r="L1408" t="s">
        <v>20</v>
      </c>
      <c r="M1408" s="1">
        <f t="shared" ca="1" si="42"/>
        <v>46204</v>
      </c>
      <c r="N1408">
        <f t="shared" ca="1" si="43"/>
        <v>1</v>
      </c>
    </row>
    <row r="1409" spans="1:14" x14ac:dyDescent="0.3">
      <c r="A1409" t="s">
        <v>4204</v>
      </c>
      <c r="B1409" t="s">
        <v>4205</v>
      </c>
      <c r="C1409" t="s">
        <v>23</v>
      </c>
      <c r="D1409" t="s">
        <v>16</v>
      </c>
      <c r="E1409" t="s">
        <v>24</v>
      </c>
      <c r="F1409">
        <v>16.739999999999998</v>
      </c>
      <c r="G1409" s="1">
        <v>46046</v>
      </c>
      <c r="H1409" s="1">
        <v>44267</v>
      </c>
      <c r="I1409" t="s">
        <v>4206</v>
      </c>
      <c r="J1409" t="s">
        <v>19</v>
      </c>
      <c r="K1409">
        <v>2</v>
      </c>
      <c r="L1409" t="s">
        <v>20</v>
      </c>
      <c r="M1409" s="1">
        <f t="shared" ca="1" si="42"/>
        <v>46204</v>
      </c>
      <c r="N1409">
        <f t="shared" ca="1" si="43"/>
        <v>1</v>
      </c>
    </row>
    <row r="1410" spans="1:14" x14ac:dyDescent="0.3">
      <c r="A1410" t="s">
        <v>4207</v>
      </c>
      <c r="B1410" t="s">
        <v>4208</v>
      </c>
      <c r="C1410" t="s">
        <v>23</v>
      </c>
      <c r="D1410" t="s">
        <v>35</v>
      </c>
      <c r="E1410" t="s">
        <v>52</v>
      </c>
      <c r="F1410">
        <v>7.74</v>
      </c>
      <c r="G1410" s="1">
        <v>45992</v>
      </c>
      <c r="H1410" s="1">
        <v>45496</v>
      </c>
      <c r="I1410" t="s">
        <v>4209</v>
      </c>
      <c r="J1410" t="s">
        <v>66</v>
      </c>
      <c r="K1410">
        <v>3</v>
      </c>
      <c r="L1410" t="s">
        <v>27</v>
      </c>
      <c r="M1410" s="1">
        <f t="shared" ca="1" si="42"/>
        <v>46204</v>
      </c>
      <c r="N1410">
        <f t="shared" ca="1" si="43"/>
        <v>1</v>
      </c>
    </row>
    <row r="1411" spans="1:14" x14ac:dyDescent="0.3">
      <c r="A1411" t="s">
        <v>4210</v>
      </c>
      <c r="B1411" t="s">
        <v>4211</v>
      </c>
      <c r="C1411" t="s">
        <v>15</v>
      </c>
      <c r="D1411" t="s">
        <v>73</v>
      </c>
      <c r="E1411" t="s">
        <v>24</v>
      </c>
      <c r="F1411">
        <v>18.23</v>
      </c>
      <c r="G1411" s="1">
        <v>45746</v>
      </c>
      <c r="H1411" s="1">
        <v>44922</v>
      </c>
      <c r="I1411" t="s">
        <v>4212</v>
      </c>
      <c r="J1411" t="s">
        <v>37</v>
      </c>
      <c r="K1411">
        <v>2</v>
      </c>
      <c r="L1411" t="s">
        <v>27</v>
      </c>
      <c r="M1411" s="1">
        <f t="shared" ref="M1411:M1474" ca="1" si="44">TODAY()</f>
        <v>46204</v>
      </c>
      <c r="N1411">
        <f t="shared" ref="N1411:N1474" ca="1" si="45">IF(G1411&lt;M1411,1,0)</f>
        <v>1</v>
      </c>
    </row>
    <row r="1412" spans="1:14" x14ac:dyDescent="0.3">
      <c r="A1412" t="s">
        <v>4213</v>
      </c>
      <c r="B1412" t="s">
        <v>4214</v>
      </c>
      <c r="C1412" t="s">
        <v>34</v>
      </c>
      <c r="D1412" t="s">
        <v>40</v>
      </c>
      <c r="E1412" t="s">
        <v>30</v>
      </c>
      <c r="F1412">
        <v>7.97</v>
      </c>
      <c r="G1412" s="1">
        <v>45758</v>
      </c>
      <c r="H1412" s="1">
        <v>44953</v>
      </c>
      <c r="I1412" t="s">
        <v>4215</v>
      </c>
      <c r="J1412" t="s">
        <v>66</v>
      </c>
      <c r="K1412">
        <v>5</v>
      </c>
      <c r="L1412" t="s">
        <v>20</v>
      </c>
      <c r="M1412" s="1">
        <f t="shared" ca="1" si="44"/>
        <v>46204</v>
      </c>
      <c r="N1412">
        <f t="shared" ca="1" si="45"/>
        <v>1</v>
      </c>
    </row>
    <row r="1413" spans="1:14" x14ac:dyDescent="0.3">
      <c r="A1413" t="s">
        <v>4216</v>
      </c>
      <c r="B1413" t="s">
        <v>4217</v>
      </c>
      <c r="C1413" t="s">
        <v>15</v>
      </c>
      <c r="D1413" t="s">
        <v>56</v>
      </c>
      <c r="E1413" t="s">
        <v>24</v>
      </c>
      <c r="F1413">
        <v>37.04</v>
      </c>
      <c r="G1413" s="1">
        <v>45779</v>
      </c>
      <c r="H1413" s="1">
        <v>43062</v>
      </c>
      <c r="I1413" t="s">
        <v>4218</v>
      </c>
      <c r="J1413" t="s">
        <v>75</v>
      </c>
      <c r="K1413">
        <v>2</v>
      </c>
      <c r="L1413" t="s">
        <v>20</v>
      </c>
      <c r="M1413" s="1">
        <f t="shared" ca="1" si="44"/>
        <v>46204</v>
      </c>
      <c r="N1413">
        <f t="shared" ca="1" si="45"/>
        <v>1</v>
      </c>
    </row>
    <row r="1414" spans="1:14" x14ac:dyDescent="0.3">
      <c r="A1414" t="s">
        <v>4219</v>
      </c>
      <c r="B1414" t="s">
        <v>4220</v>
      </c>
      <c r="C1414" t="s">
        <v>23</v>
      </c>
      <c r="D1414" t="s">
        <v>73</v>
      </c>
      <c r="E1414" t="s">
        <v>52</v>
      </c>
      <c r="F1414">
        <v>3.92</v>
      </c>
      <c r="G1414" s="1">
        <v>45963</v>
      </c>
      <c r="H1414" s="1">
        <v>42491</v>
      </c>
      <c r="I1414" t="s">
        <v>4221</v>
      </c>
      <c r="J1414" t="s">
        <v>75</v>
      </c>
      <c r="K1414">
        <v>2</v>
      </c>
      <c r="L1414" t="s">
        <v>20</v>
      </c>
      <c r="M1414" s="1">
        <f t="shared" ca="1" si="44"/>
        <v>46204</v>
      </c>
      <c r="N1414">
        <f t="shared" ca="1" si="45"/>
        <v>1</v>
      </c>
    </row>
    <row r="1415" spans="1:14" x14ac:dyDescent="0.3">
      <c r="A1415" t="s">
        <v>4222</v>
      </c>
      <c r="B1415" t="s">
        <v>4223</v>
      </c>
      <c r="C1415" t="s">
        <v>64</v>
      </c>
      <c r="D1415" t="s">
        <v>69</v>
      </c>
      <c r="E1415" t="s">
        <v>30</v>
      </c>
      <c r="F1415">
        <v>4.3499999999999996</v>
      </c>
      <c r="G1415" s="1">
        <v>45791</v>
      </c>
      <c r="H1415" s="1">
        <v>43234</v>
      </c>
      <c r="I1415" t="s">
        <v>4224</v>
      </c>
      <c r="J1415" t="s">
        <v>26</v>
      </c>
      <c r="K1415">
        <v>4</v>
      </c>
      <c r="L1415" t="s">
        <v>27</v>
      </c>
      <c r="M1415" s="1">
        <f t="shared" ca="1" si="44"/>
        <v>46204</v>
      </c>
      <c r="N1415">
        <f t="shared" ca="1" si="45"/>
        <v>1</v>
      </c>
    </row>
    <row r="1416" spans="1:14" x14ac:dyDescent="0.3">
      <c r="A1416" t="s">
        <v>4225</v>
      </c>
      <c r="B1416" t="s">
        <v>4226</v>
      </c>
      <c r="C1416" t="s">
        <v>34</v>
      </c>
      <c r="D1416" t="s">
        <v>35</v>
      </c>
      <c r="E1416" t="s">
        <v>17</v>
      </c>
      <c r="F1416">
        <v>2.21</v>
      </c>
      <c r="G1416" s="1">
        <v>45865</v>
      </c>
      <c r="H1416" s="1">
        <v>43248</v>
      </c>
      <c r="I1416" t="s">
        <v>4227</v>
      </c>
      <c r="J1416" t="s">
        <v>37</v>
      </c>
      <c r="K1416">
        <v>2</v>
      </c>
      <c r="L1416" t="s">
        <v>27</v>
      </c>
      <c r="M1416" s="1">
        <f t="shared" ca="1" si="44"/>
        <v>46204</v>
      </c>
      <c r="N1416">
        <f t="shared" ca="1" si="45"/>
        <v>1</v>
      </c>
    </row>
    <row r="1417" spans="1:14" x14ac:dyDescent="0.3">
      <c r="A1417" t="s">
        <v>4228</v>
      </c>
      <c r="B1417" t="s">
        <v>4229</v>
      </c>
      <c r="C1417" t="s">
        <v>124</v>
      </c>
      <c r="D1417" t="s">
        <v>56</v>
      </c>
      <c r="E1417" t="s">
        <v>30</v>
      </c>
      <c r="F1417">
        <v>5.05</v>
      </c>
      <c r="G1417" s="1">
        <v>46020</v>
      </c>
      <c r="H1417" s="1">
        <v>44280</v>
      </c>
      <c r="I1417" t="s">
        <v>4230</v>
      </c>
      <c r="J1417" t="s">
        <v>66</v>
      </c>
      <c r="K1417">
        <v>2</v>
      </c>
      <c r="L1417" t="s">
        <v>20</v>
      </c>
      <c r="M1417" s="1">
        <f t="shared" ca="1" si="44"/>
        <v>46204</v>
      </c>
      <c r="N1417">
        <f t="shared" ca="1" si="45"/>
        <v>1</v>
      </c>
    </row>
    <row r="1418" spans="1:14" x14ac:dyDescent="0.3">
      <c r="A1418" t="s">
        <v>4231</v>
      </c>
      <c r="B1418" t="s">
        <v>4232</v>
      </c>
      <c r="C1418" t="s">
        <v>64</v>
      </c>
      <c r="D1418" t="s">
        <v>56</v>
      </c>
      <c r="E1418" t="s">
        <v>30</v>
      </c>
      <c r="F1418">
        <v>16.579999999999998</v>
      </c>
      <c r="G1418" s="1">
        <v>45770</v>
      </c>
      <c r="H1418" s="1">
        <v>43145</v>
      </c>
      <c r="I1418" t="s">
        <v>4233</v>
      </c>
      <c r="J1418" t="s">
        <v>26</v>
      </c>
      <c r="K1418">
        <v>2</v>
      </c>
      <c r="L1418" t="s">
        <v>27</v>
      </c>
      <c r="M1418" s="1">
        <f t="shared" ca="1" si="44"/>
        <v>46204</v>
      </c>
      <c r="N1418">
        <f t="shared" ca="1" si="45"/>
        <v>1</v>
      </c>
    </row>
    <row r="1419" spans="1:14" x14ac:dyDescent="0.3">
      <c r="A1419" t="s">
        <v>4234</v>
      </c>
      <c r="B1419" t="s">
        <v>4235</v>
      </c>
      <c r="C1419" t="s">
        <v>23</v>
      </c>
      <c r="D1419" t="s">
        <v>69</v>
      </c>
      <c r="E1419" t="s">
        <v>52</v>
      </c>
      <c r="F1419">
        <v>10.210000000000001</v>
      </c>
      <c r="G1419" s="1">
        <v>45984</v>
      </c>
      <c r="H1419" s="1">
        <v>44294</v>
      </c>
      <c r="I1419" t="s">
        <v>4236</v>
      </c>
      <c r="J1419" t="s">
        <v>94</v>
      </c>
      <c r="K1419">
        <v>3</v>
      </c>
      <c r="L1419" t="s">
        <v>20</v>
      </c>
      <c r="M1419" s="1">
        <f t="shared" ca="1" si="44"/>
        <v>46204</v>
      </c>
      <c r="N1419">
        <f t="shared" ca="1" si="45"/>
        <v>1</v>
      </c>
    </row>
    <row r="1420" spans="1:14" x14ac:dyDescent="0.3">
      <c r="A1420" t="s">
        <v>4237</v>
      </c>
      <c r="B1420" t="s">
        <v>4238</v>
      </c>
      <c r="C1420" t="s">
        <v>34</v>
      </c>
      <c r="D1420" t="s">
        <v>56</v>
      </c>
      <c r="E1420" t="s">
        <v>30</v>
      </c>
      <c r="F1420">
        <v>23.99</v>
      </c>
      <c r="G1420" s="1">
        <v>45825</v>
      </c>
      <c r="H1420" s="1">
        <v>45057</v>
      </c>
      <c r="I1420" t="s">
        <v>4239</v>
      </c>
      <c r="J1420" t="s">
        <v>94</v>
      </c>
      <c r="K1420">
        <v>3</v>
      </c>
      <c r="L1420" t="s">
        <v>20</v>
      </c>
      <c r="M1420" s="1">
        <f t="shared" ca="1" si="44"/>
        <v>46204</v>
      </c>
      <c r="N1420">
        <f t="shared" ca="1" si="45"/>
        <v>1</v>
      </c>
    </row>
    <row r="1421" spans="1:14" x14ac:dyDescent="0.3">
      <c r="A1421" t="s">
        <v>4240</v>
      </c>
      <c r="B1421" t="s">
        <v>4241</v>
      </c>
      <c r="C1421" t="s">
        <v>47</v>
      </c>
      <c r="D1421" t="s">
        <v>69</v>
      </c>
      <c r="E1421" t="s">
        <v>24</v>
      </c>
      <c r="F1421">
        <v>36.56</v>
      </c>
      <c r="G1421" s="1">
        <v>45911</v>
      </c>
      <c r="H1421" s="1">
        <v>45489</v>
      </c>
      <c r="I1421" t="s">
        <v>4242</v>
      </c>
      <c r="J1421" t="s">
        <v>66</v>
      </c>
      <c r="K1421">
        <v>3</v>
      </c>
      <c r="L1421" t="s">
        <v>27</v>
      </c>
      <c r="M1421" s="1">
        <f t="shared" ca="1" si="44"/>
        <v>46204</v>
      </c>
      <c r="N1421">
        <f t="shared" ca="1" si="45"/>
        <v>1</v>
      </c>
    </row>
    <row r="1422" spans="1:14" x14ac:dyDescent="0.3">
      <c r="A1422" t="s">
        <v>4243</v>
      </c>
      <c r="B1422" t="s">
        <v>4244</v>
      </c>
      <c r="C1422" t="s">
        <v>47</v>
      </c>
      <c r="D1422" t="s">
        <v>35</v>
      </c>
      <c r="E1422" t="s">
        <v>52</v>
      </c>
      <c r="F1422">
        <v>12.41</v>
      </c>
      <c r="G1422" s="1">
        <v>45975</v>
      </c>
      <c r="H1422" s="1">
        <v>45171</v>
      </c>
      <c r="I1422" t="s">
        <v>4245</v>
      </c>
      <c r="J1422" t="s">
        <v>19</v>
      </c>
      <c r="K1422">
        <v>2</v>
      </c>
      <c r="L1422" t="s">
        <v>27</v>
      </c>
      <c r="M1422" s="1">
        <f t="shared" ca="1" si="44"/>
        <v>46204</v>
      </c>
      <c r="N1422">
        <f t="shared" ca="1" si="45"/>
        <v>1</v>
      </c>
    </row>
    <row r="1423" spans="1:14" x14ac:dyDescent="0.3">
      <c r="A1423" t="s">
        <v>4246</v>
      </c>
      <c r="B1423" t="s">
        <v>4247</v>
      </c>
      <c r="C1423" t="s">
        <v>34</v>
      </c>
      <c r="D1423" t="s">
        <v>56</v>
      </c>
      <c r="E1423" t="s">
        <v>24</v>
      </c>
      <c r="F1423">
        <v>35.26</v>
      </c>
      <c r="G1423" s="1">
        <v>46018</v>
      </c>
      <c r="H1423" s="1">
        <v>44086</v>
      </c>
      <c r="I1423" t="s">
        <v>4248</v>
      </c>
      <c r="J1423" t="s">
        <v>75</v>
      </c>
      <c r="K1423">
        <v>4</v>
      </c>
      <c r="L1423" t="s">
        <v>27</v>
      </c>
      <c r="M1423" s="1">
        <f t="shared" ca="1" si="44"/>
        <v>46204</v>
      </c>
      <c r="N1423">
        <f t="shared" ca="1" si="45"/>
        <v>1</v>
      </c>
    </row>
    <row r="1424" spans="1:14" x14ac:dyDescent="0.3">
      <c r="A1424" t="s">
        <v>4249</v>
      </c>
      <c r="B1424" t="s">
        <v>496</v>
      </c>
      <c r="C1424" t="s">
        <v>34</v>
      </c>
      <c r="D1424" t="s">
        <v>35</v>
      </c>
      <c r="E1424" t="s">
        <v>30</v>
      </c>
      <c r="F1424">
        <v>33.630000000000003</v>
      </c>
      <c r="G1424" s="1">
        <v>45741</v>
      </c>
      <c r="H1424" s="1">
        <v>43360</v>
      </c>
      <c r="I1424" t="s">
        <v>4250</v>
      </c>
      <c r="J1424" t="s">
        <v>37</v>
      </c>
      <c r="K1424">
        <v>2</v>
      </c>
      <c r="L1424" t="s">
        <v>20</v>
      </c>
      <c r="M1424" s="1">
        <f t="shared" ca="1" si="44"/>
        <v>46204</v>
      </c>
      <c r="N1424">
        <f t="shared" ca="1" si="45"/>
        <v>1</v>
      </c>
    </row>
    <row r="1425" spans="1:14" x14ac:dyDescent="0.3">
      <c r="A1425" t="s">
        <v>4251</v>
      </c>
      <c r="B1425" t="s">
        <v>4252</v>
      </c>
      <c r="C1425" t="s">
        <v>15</v>
      </c>
      <c r="D1425" t="s">
        <v>35</v>
      </c>
      <c r="E1425" t="s">
        <v>52</v>
      </c>
      <c r="F1425">
        <v>36.42</v>
      </c>
      <c r="G1425" s="1">
        <v>45850</v>
      </c>
      <c r="H1425" s="1">
        <v>44529</v>
      </c>
      <c r="I1425" t="s">
        <v>4253</v>
      </c>
      <c r="J1425" t="s">
        <v>66</v>
      </c>
      <c r="K1425">
        <v>1</v>
      </c>
      <c r="L1425" t="s">
        <v>20</v>
      </c>
      <c r="M1425" s="1">
        <f t="shared" ca="1" si="44"/>
        <v>46204</v>
      </c>
      <c r="N1425">
        <f t="shared" ca="1" si="45"/>
        <v>1</v>
      </c>
    </row>
    <row r="1426" spans="1:14" x14ac:dyDescent="0.3">
      <c r="A1426" t="s">
        <v>4254</v>
      </c>
      <c r="B1426" t="s">
        <v>4255</v>
      </c>
      <c r="C1426" t="s">
        <v>64</v>
      </c>
      <c r="D1426" t="s">
        <v>56</v>
      </c>
      <c r="E1426" t="s">
        <v>52</v>
      </c>
      <c r="F1426">
        <v>8.23</v>
      </c>
      <c r="G1426" s="1">
        <v>45730</v>
      </c>
      <c r="H1426" s="1">
        <v>42823</v>
      </c>
      <c r="I1426" t="s">
        <v>4256</v>
      </c>
      <c r="J1426" t="s">
        <v>49</v>
      </c>
      <c r="K1426">
        <v>1</v>
      </c>
      <c r="L1426" t="s">
        <v>27</v>
      </c>
      <c r="M1426" s="1">
        <f t="shared" ca="1" si="44"/>
        <v>46204</v>
      </c>
      <c r="N1426">
        <f t="shared" ca="1" si="45"/>
        <v>1</v>
      </c>
    </row>
    <row r="1427" spans="1:14" x14ac:dyDescent="0.3">
      <c r="A1427" t="s">
        <v>4257</v>
      </c>
      <c r="B1427" t="s">
        <v>4258</v>
      </c>
      <c r="C1427" t="s">
        <v>60</v>
      </c>
      <c r="D1427" t="s">
        <v>40</v>
      </c>
      <c r="E1427" t="s">
        <v>24</v>
      </c>
      <c r="F1427">
        <v>17.12</v>
      </c>
      <c r="G1427" s="1">
        <v>45786</v>
      </c>
      <c r="H1427" s="1">
        <v>43906</v>
      </c>
      <c r="I1427" t="s">
        <v>4259</v>
      </c>
      <c r="J1427" t="s">
        <v>66</v>
      </c>
      <c r="K1427">
        <v>1</v>
      </c>
      <c r="L1427" t="s">
        <v>27</v>
      </c>
      <c r="M1427" s="1">
        <f t="shared" ca="1" si="44"/>
        <v>46204</v>
      </c>
      <c r="N1427">
        <f t="shared" ca="1" si="45"/>
        <v>1</v>
      </c>
    </row>
    <row r="1428" spans="1:14" x14ac:dyDescent="0.3">
      <c r="A1428" t="s">
        <v>4260</v>
      </c>
      <c r="B1428" t="s">
        <v>4261</v>
      </c>
      <c r="C1428" t="s">
        <v>15</v>
      </c>
      <c r="D1428" t="s">
        <v>73</v>
      </c>
      <c r="E1428" t="s">
        <v>30</v>
      </c>
      <c r="F1428">
        <v>29.64</v>
      </c>
      <c r="G1428" s="1">
        <v>45873</v>
      </c>
      <c r="H1428" s="1">
        <v>42875</v>
      </c>
      <c r="I1428" t="s">
        <v>4262</v>
      </c>
      <c r="J1428" t="s">
        <v>94</v>
      </c>
      <c r="K1428">
        <v>2</v>
      </c>
      <c r="L1428" t="s">
        <v>20</v>
      </c>
      <c r="M1428" s="1">
        <f t="shared" ca="1" si="44"/>
        <v>46204</v>
      </c>
      <c r="N1428">
        <f t="shared" ca="1" si="45"/>
        <v>1</v>
      </c>
    </row>
    <row r="1429" spans="1:14" x14ac:dyDescent="0.3">
      <c r="A1429" t="s">
        <v>4263</v>
      </c>
      <c r="B1429" t="s">
        <v>4202</v>
      </c>
      <c r="C1429" t="s">
        <v>23</v>
      </c>
      <c r="D1429" t="s">
        <v>40</v>
      </c>
      <c r="E1429" t="s">
        <v>30</v>
      </c>
      <c r="F1429">
        <v>3.25</v>
      </c>
      <c r="G1429" s="1">
        <v>46050</v>
      </c>
      <c r="H1429" s="1">
        <v>43535</v>
      </c>
      <c r="I1429" t="s">
        <v>4264</v>
      </c>
      <c r="J1429" t="s">
        <v>26</v>
      </c>
      <c r="K1429">
        <v>3</v>
      </c>
      <c r="L1429" t="s">
        <v>20</v>
      </c>
      <c r="M1429" s="1">
        <f t="shared" ca="1" si="44"/>
        <v>46204</v>
      </c>
      <c r="N1429">
        <f t="shared" ca="1" si="45"/>
        <v>1</v>
      </c>
    </row>
    <row r="1430" spans="1:14" x14ac:dyDescent="0.3">
      <c r="A1430" t="s">
        <v>4265</v>
      </c>
      <c r="B1430" t="s">
        <v>4266</v>
      </c>
      <c r="C1430" t="s">
        <v>47</v>
      </c>
      <c r="D1430" t="s">
        <v>73</v>
      </c>
      <c r="E1430" t="s">
        <v>30</v>
      </c>
      <c r="F1430">
        <v>29.26</v>
      </c>
      <c r="G1430" s="1">
        <v>45862</v>
      </c>
      <c r="H1430" s="1">
        <v>43204</v>
      </c>
      <c r="I1430" t="s">
        <v>4267</v>
      </c>
      <c r="J1430" t="s">
        <v>49</v>
      </c>
      <c r="K1430">
        <v>2</v>
      </c>
      <c r="L1430" t="s">
        <v>27</v>
      </c>
      <c r="M1430" s="1">
        <f t="shared" ca="1" si="44"/>
        <v>46204</v>
      </c>
      <c r="N1430">
        <f t="shared" ca="1" si="45"/>
        <v>1</v>
      </c>
    </row>
    <row r="1431" spans="1:14" x14ac:dyDescent="0.3">
      <c r="A1431" t="s">
        <v>4268</v>
      </c>
      <c r="B1431" t="s">
        <v>4269</v>
      </c>
      <c r="C1431" t="s">
        <v>47</v>
      </c>
      <c r="D1431" t="s">
        <v>56</v>
      </c>
      <c r="E1431" t="s">
        <v>24</v>
      </c>
      <c r="F1431">
        <v>7.07</v>
      </c>
      <c r="G1431" s="1">
        <v>45909</v>
      </c>
      <c r="H1431" s="1">
        <v>42850</v>
      </c>
      <c r="I1431" t="s">
        <v>4270</v>
      </c>
      <c r="J1431" t="s">
        <v>26</v>
      </c>
      <c r="K1431">
        <v>4</v>
      </c>
      <c r="L1431" t="s">
        <v>27</v>
      </c>
      <c r="M1431" s="1">
        <f t="shared" ca="1" si="44"/>
        <v>46204</v>
      </c>
      <c r="N1431">
        <f t="shared" ca="1" si="45"/>
        <v>1</v>
      </c>
    </row>
    <row r="1432" spans="1:14" x14ac:dyDescent="0.3">
      <c r="A1432" t="s">
        <v>4271</v>
      </c>
      <c r="B1432" t="s">
        <v>4272</v>
      </c>
      <c r="C1432" t="s">
        <v>124</v>
      </c>
      <c r="D1432" t="s">
        <v>40</v>
      </c>
      <c r="E1432" t="s">
        <v>17</v>
      </c>
      <c r="F1432">
        <v>12.22</v>
      </c>
      <c r="G1432" s="1">
        <v>45825</v>
      </c>
      <c r="H1432" s="1">
        <v>42564</v>
      </c>
      <c r="I1432" t="s">
        <v>4273</v>
      </c>
      <c r="J1432" t="s">
        <v>49</v>
      </c>
      <c r="K1432">
        <v>2</v>
      </c>
      <c r="L1432" t="s">
        <v>27</v>
      </c>
      <c r="M1432" s="1">
        <f t="shared" ca="1" si="44"/>
        <v>46204</v>
      </c>
      <c r="N1432">
        <f t="shared" ca="1" si="45"/>
        <v>1</v>
      </c>
    </row>
    <row r="1433" spans="1:14" x14ac:dyDescent="0.3">
      <c r="A1433" t="s">
        <v>4274</v>
      </c>
      <c r="B1433" t="s">
        <v>4275</v>
      </c>
      <c r="C1433" t="s">
        <v>34</v>
      </c>
      <c r="D1433" t="s">
        <v>56</v>
      </c>
      <c r="E1433" t="s">
        <v>17</v>
      </c>
      <c r="F1433">
        <v>13.63</v>
      </c>
      <c r="G1433" s="1">
        <v>45820</v>
      </c>
      <c r="H1433" s="1">
        <v>43603</v>
      </c>
      <c r="I1433" t="s">
        <v>4276</v>
      </c>
      <c r="J1433" t="s">
        <v>37</v>
      </c>
      <c r="K1433">
        <v>4</v>
      </c>
      <c r="L1433" t="s">
        <v>20</v>
      </c>
      <c r="M1433" s="1">
        <f t="shared" ca="1" si="44"/>
        <v>46204</v>
      </c>
      <c r="N1433">
        <f t="shared" ca="1" si="45"/>
        <v>1</v>
      </c>
    </row>
    <row r="1434" spans="1:14" x14ac:dyDescent="0.3">
      <c r="A1434" t="s">
        <v>4277</v>
      </c>
      <c r="B1434" t="s">
        <v>4278</v>
      </c>
      <c r="C1434" t="s">
        <v>60</v>
      </c>
      <c r="D1434" t="s">
        <v>56</v>
      </c>
      <c r="E1434" t="s">
        <v>17</v>
      </c>
      <c r="F1434">
        <v>10.46</v>
      </c>
      <c r="G1434" s="1">
        <v>46011</v>
      </c>
      <c r="H1434" s="1">
        <v>44523</v>
      </c>
      <c r="I1434" t="s">
        <v>4279</v>
      </c>
      <c r="J1434" t="s">
        <v>66</v>
      </c>
      <c r="K1434">
        <v>4</v>
      </c>
      <c r="L1434" t="s">
        <v>20</v>
      </c>
      <c r="M1434" s="1">
        <f t="shared" ca="1" si="44"/>
        <v>46204</v>
      </c>
      <c r="N1434">
        <f t="shared" ca="1" si="45"/>
        <v>1</v>
      </c>
    </row>
    <row r="1435" spans="1:14" x14ac:dyDescent="0.3">
      <c r="A1435" t="s">
        <v>4280</v>
      </c>
      <c r="B1435" t="s">
        <v>4281</v>
      </c>
      <c r="C1435" t="s">
        <v>60</v>
      </c>
      <c r="D1435" t="s">
        <v>73</v>
      </c>
      <c r="E1435" t="s">
        <v>17</v>
      </c>
      <c r="F1435">
        <v>11.47</v>
      </c>
      <c r="G1435" s="1">
        <v>45922</v>
      </c>
      <c r="H1435" s="1">
        <v>44472</v>
      </c>
      <c r="I1435" t="s">
        <v>4282</v>
      </c>
      <c r="J1435" t="s">
        <v>94</v>
      </c>
      <c r="K1435">
        <v>4</v>
      </c>
      <c r="L1435" t="s">
        <v>27</v>
      </c>
      <c r="M1435" s="1">
        <f t="shared" ca="1" si="44"/>
        <v>46204</v>
      </c>
      <c r="N1435">
        <f t="shared" ca="1" si="45"/>
        <v>1</v>
      </c>
    </row>
    <row r="1436" spans="1:14" x14ac:dyDescent="0.3">
      <c r="A1436" t="s">
        <v>4283</v>
      </c>
      <c r="B1436" t="s">
        <v>4284</v>
      </c>
      <c r="C1436" t="s">
        <v>34</v>
      </c>
      <c r="D1436" t="s">
        <v>69</v>
      </c>
      <c r="E1436" t="s">
        <v>30</v>
      </c>
      <c r="F1436">
        <v>19.89</v>
      </c>
      <c r="G1436" s="1">
        <v>45957</v>
      </c>
      <c r="H1436" s="1">
        <v>44204</v>
      </c>
      <c r="I1436" t="s">
        <v>4285</v>
      </c>
      <c r="J1436" t="s">
        <v>94</v>
      </c>
      <c r="K1436">
        <v>1</v>
      </c>
      <c r="L1436" t="s">
        <v>20</v>
      </c>
      <c r="M1436" s="1">
        <f t="shared" ca="1" si="44"/>
        <v>46204</v>
      </c>
      <c r="N1436">
        <f t="shared" ca="1" si="45"/>
        <v>1</v>
      </c>
    </row>
    <row r="1437" spans="1:14" x14ac:dyDescent="0.3">
      <c r="A1437" t="s">
        <v>4286</v>
      </c>
      <c r="B1437" t="s">
        <v>4287</v>
      </c>
      <c r="C1437" t="s">
        <v>15</v>
      </c>
      <c r="D1437" t="s">
        <v>56</v>
      </c>
      <c r="E1437" t="s">
        <v>52</v>
      </c>
      <c r="F1437">
        <v>38.770000000000003</v>
      </c>
      <c r="G1437" s="1">
        <v>45943</v>
      </c>
      <c r="H1437" s="1">
        <v>44535</v>
      </c>
      <c r="I1437" t="s">
        <v>4288</v>
      </c>
      <c r="J1437" t="s">
        <v>19</v>
      </c>
      <c r="K1437">
        <v>1</v>
      </c>
      <c r="L1437" t="s">
        <v>20</v>
      </c>
      <c r="M1437" s="1">
        <f t="shared" ca="1" si="44"/>
        <v>46204</v>
      </c>
      <c r="N1437">
        <f t="shared" ca="1" si="45"/>
        <v>1</v>
      </c>
    </row>
    <row r="1438" spans="1:14" x14ac:dyDescent="0.3">
      <c r="A1438" t="s">
        <v>4289</v>
      </c>
      <c r="B1438" t="s">
        <v>4290</v>
      </c>
      <c r="C1438" t="s">
        <v>23</v>
      </c>
      <c r="D1438" t="s">
        <v>69</v>
      </c>
      <c r="E1438" t="s">
        <v>24</v>
      </c>
      <c r="F1438">
        <v>9.39</v>
      </c>
      <c r="G1438" s="1">
        <v>45841</v>
      </c>
      <c r="H1438" s="1">
        <v>45315</v>
      </c>
      <c r="I1438" t="s">
        <v>4291</v>
      </c>
      <c r="J1438" t="s">
        <v>37</v>
      </c>
      <c r="K1438">
        <v>1</v>
      </c>
      <c r="L1438" t="s">
        <v>27</v>
      </c>
      <c r="M1438" s="1">
        <f t="shared" ca="1" si="44"/>
        <v>46204</v>
      </c>
      <c r="N1438">
        <f t="shared" ca="1" si="45"/>
        <v>1</v>
      </c>
    </row>
    <row r="1439" spans="1:14" x14ac:dyDescent="0.3">
      <c r="A1439" t="s">
        <v>4292</v>
      </c>
      <c r="B1439" t="s">
        <v>4293</v>
      </c>
      <c r="C1439" t="s">
        <v>124</v>
      </c>
      <c r="D1439" t="s">
        <v>73</v>
      </c>
      <c r="E1439" t="s">
        <v>52</v>
      </c>
      <c r="F1439">
        <v>38.07</v>
      </c>
      <c r="G1439" s="1">
        <v>45922</v>
      </c>
      <c r="H1439" s="1">
        <v>44273</v>
      </c>
      <c r="I1439" t="s">
        <v>4294</v>
      </c>
      <c r="J1439" t="s">
        <v>75</v>
      </c>
      <c r="K1439">
        <v>2</v>
      </c>
      <c r="L1439" t="s">
        <v>20</v>
      </c>
      <c r="M1439" s="1">
        <f t="shared" ca="1" si="44"/>
        <v>46204</v>
      </c>
      <c r="N1439">
        <f t="shared" ca="1" si="45"/>
        <v>1</v>
      </c>
    </row>
    <row r="1440" spans="1:14" x14ac:dyDescent="0.3">
      <c r="A1440" t="s">
        <v>4295</v>
      </c>
      <c r="B1440" t="s">
        <v>2119</v>
      </c>
      <c r="C1440" t="s">
        <v>34</v>
      </c>
      <c r="D1440" t="s">
        <v>56</v>
      </c>
      <c r="E1440" t="s">
        <v>17</v>
      </c>
      <c r="F1440">
        <v>36.770000000000003</v>
      </c>
      <c r="G1440" s="1">
        <v>45932</v>
      </c>
      <c r="H1440" s="1">
        <v>43704</v>
      </c>
      <c r="I1440" t="s">
        <v>4296</v>
      </c>
      <c r="J1440" t="s">
        <v>19</v>
      </c>
      <c r="K1440">
        <v>2</v>
      </c>
      <c r="L1440" t="s">
        <v>20</v>
      </c>
      <c r="M1440" s="1">
        <f t="shared" ca="1" si="44"/>
        <v>46204</v>
      </c>
      <c r="N1440">
        <f t="shared" ca="1" si="45"/>
        <v>1</v>
      </c>
    </row>
    <row r="1441" spans="1:14" x14ac:dyDescent="0.3">
      <c r="A1441" t="s">
        <v>4297</v>
      </c>
      <c r="B1441" t="s">
        <v>4298</v>
      </c>
      <c r="C1441" t="s">
        <v>15</v>
      </c>
      <c r="D1441" t="s">
        <v>56</v>
      </c>
      <c r="E1441" t="s">
        <v>52</v>
      </c>
      <c r="F1441">
        <v>7.01</v>
      </c>
      <c r="G1441" s="1">
        <v>45738</v>
      </c>
      <c r="H1441" s="1">
        <v>45415</v>
      </c>
      <c r="I1441" t="s">
        <v>4299</v>
      </c>
      <c r="J1441" t="s">
        <v>66</v>
      </c>
      <c r="K1441">
        <v>1</v>
      </c>
      <c r="L1441" t="s">
        <v>20</v>
      </c>
      <c r="M1441" s="1">
        <f t="shared" ca="1" si="44"/>
        <v>46204</v>
      </c>
      <c r="N1441">
        <f t="shared" ca="1" si="45"/>
        <v>1</v>
      </c>
    </row>
    <row r="1442" spans="1:14" x14ac:dyDescent="0.3">
      <c r="A1442" t="s">
        <v>4300</v>
      </c>
      <c r="B1442" t="s">
        <v>4301</v>
      </c>
      <c r="C1442" t="s">
        <v>15</v>
      </c>
      <c r="D1442" t="s">
        <v>40</v>
      </c>
      <c r="E1442" t="s">
        <v>17</v>
      </c>
      <c r="F1442">
        <v>5.17</v>
      </c>
      <c r="G1442" s="1">
        <v>45789</v>
      </c>
      <c r="H1442" s="1">
        <v>42826</v>
      </c>
      <c r="I1442" t="s">
        <v>4302</v>
      </c>
      <c r="J1442" t="s">
        <v>94</v>
      </c>
      <c r="K1442">
        <v>1</v>
      </c>
      <c r="L1442" t="s">
        <v>20</v>
      </c>
      <c r="M1442" s="1">
        <f t="shared" ca="1" si="44"/>
        <v>46204</v>
      </c>
      <c r="N1442">
        <f t="shared" ca="1" si="45"/>
        <v>1</v>
      </c>
    </row>
    <row r="1443" spans="1:14" x14ac:dyDescent="0.3">
      <c r="A1443" t="s">
        <v>4303</v>
      </c>
      <c r="B1443" t="s">
        <v>4304</v>
      </c>
      <c r="C1443" t="s">
        <v>60</v>
      </c>
      <c r="D1443" t="s">
        <v>35</v>
      </c>
      <c r="E1443" t="s">
        <v>52</v>
      </c>
      <c r="F1443">
        <v>34.24</v>
      </c>
      <c r="G1443" s="1">
        <v>45763</v>
      </c>
      <c r="H1443" s="1">
        <v>42611</v>
      </c>
      <c r="I1443" t="s">
        <v>4305</v>
      </c>
      <c r="J1443" t="s">
        <v>66</v>
      </c>
      <c r="K1443">
        <v>4</v>
      </c>
      <c r="L1443" t="s">
        <v>27</v>
      </c>
      <c r="M1443" s="1">
        <f t="shared" ca="1" si="44"/>
        <v>46204</v>
      </c>
      <c r="N1443">
        <f t="shared" ca="1" si="45"/>
        <v>1</v>
      </c>
    </row>
    <row r="1444" spans="1:14" x14ac:dyDescent="0.3">
      <c r="A1444" t="s">
        <v>4306</v>
      </c>
      <c r="B1444" t="s">
        <v>4307</v>
      </c>
      <c r="C1444" t="s">
        <v>47</v>
      </c>
      <c r="D1444" t="s">
        <v>73</v>
      </c>
      <c r="E1444" t="s">
        <v>24</v>
      </c>
      <c r="F1444">
        <v>28.49</v>
      </c>
      <c r="G1444" s="1">
        <v>45987</v>
      </c>
      <c r="H1444" s="1">
        <v>42636</v>
      </c>
      <c r="I1444" t="s">
        <v>4308</v>
      </c>
      <c r="J1444" t="s">
        <v>26</v>
      </c>
      <c r="K1444">
        <v>2</v>
      </c>
      <c r="L1444" t="s">
        <v>27</v>
      </c>
      <c r="M1444" s="1">
        <f t="shared" ca="1" si="44"/>
        <v>46204</v>
      </c>
      <c r="N1444">
        <f t="shared" ca="1" si="45"/>
        <v>1</v>
      </c>
    </row>
    <row r="1445" spans="1:14" x14ac:dyDescent="0.3">
      <c r="A1445" t="s">
        <v>4309</v>
      </c>
      <c r="B1445" t="s">
        <v>4310</v>
      </c>
      <c r="C1445" t="s">
        <v>34</v>
      </c>
      <c r="D1445" t="s">
        <v>40</v>
      </c>
      <c r="E1445" t="s">
        <v>52</v>
      </c>
      <c r="F1445">
        <v>17.97</v>
      </c>
      <c r="G1445" s="1">
        <v>46018</v>
      </c>
      <c r="H1445" s="1">
        <v>44997</v>
      </c>
      <c r="I1445" t="s">
        <v>4311</v>
      </c>
      <c r="J1445" t="s">
        <v>49</v>
      </c>
      <c r="K1445">
        <v>2</v>
      </c>
      <c r="L1445" t="s">
        <v>27</v>
      </c>
      <c r="M1445" s="1">
        <f t="shared" ca="1" si="44"/>
        <v>46204</v>
      </c>
      <c r="N1445">
        <f t="shared" ca="1" si="45"/>
        <v>1</v>
      </c>
    </row>
    <row r="1446" spans="1:14" x14ac:dyDescent="0.3">
      <c r="A1446" t="s">
        <v>4312</v>
      </c>
      <c r="B1446" t="s">
        <v>4313</v>
      </c>
      <c r="C1446" t="s">
        <v>64</v>
      </c>
      <c r="D1446" t="s">
        <v>56</v>
      </c>
      <c r="E1446" t="s">
        <v>24</v>
      </c>
      <c r="F1446">
        <v>33.36</v>
      </c>
      <c r="G1446" s="1">
        <v>45871</v>
      </c>
      <c r="H1446" s="1">
        <v>45498</v>
      </c>
      <c r="I1446" t="s">
        <v>2496</v>
      </c>
      <c r="J1446" t="s">
        <v>37</v>
      </c>
      <c r="K1446">
        <v>5</v>
      </c>
      <c r="L1446" t="s">
        <v>20</v>
      </c>
      <c r="M1446" s="1">
        <f t="shared" ca="1" si="44"/>
        <v>46204</v>
      </c>
      <c r="N1446">
        <f t="shared" ca="1" si="45"/>
        <v>1</v>
      </c>
    </row>
    <row r="1447" spans="1:14" x14ac:dyDescent="0.3">
      <c r="A1447" t="s">
        <v>4314</v>
      </c>
      <c r="B1447" t="s">
        <v>4315</v>
      </c>
      <c r="C1447" t="s">
        <v>60</v>
      </c>
      <c r="D1447" t="s">
        <v>73</v>
      </c>
      <c r="E1447" t="s">
        <v>24</v>
      </c>
      <c r="F1447">
        <v>24.43</v>
      </c>
      <c r="G1447" s="1">
        <v>45784</v>
      </c>
      <c r="H1447" s="1">
        <v>43181</v>
      </c>
      <c r="I1447" t="s">
        <v>4316</v>
      </c>
      <c r="J1447" t="s">
        <v>49</v>
      </c>
      <c r="K1447">
        <v>3</v>
      </c>
      <c r="L1447" t="s">
        <v>20</v>
      </c>
      <c r="M1447" s="1">
        <f t="shared" ca="1" si="44"/>
        <v>46204</v>
      </c>
      <c r="N1447">
        <f t="shared" ca="1" si="45"/>
        <v>1</v>
      </c>
    </row>
    <row r="1448" spans="1:14" x14ac:dyDescent="0.3">
      <c r="A1448" t="s">
        <v>4317</v>
      </c>
      <c r="B1448" t="s">
        <v>4318</v>
      </c>
      <c r="C1448" t="s">
        <v>23</v>
      </c>
      <c r="D1448" t="s">
        <v>35</v>
      </c>
      <c r="E1448" t="s">
        <v>17</v>
      </c>
      <c r="F1448">
        <v>22.5</v>
      </c>
      <c r="G1448" s="1">
        <v>45761</v>
      </c>
      <c r="H1448" s="1">
        <v>44479</v>
      </c>
      <c r="I1448" t="s">
        <v>4319</v>
      </c>
      <c r="J1448" t="s">
        <v>49</v>
      </c>
      <c r="K1448">
        <v>3</v>
      </c>
      <c r="L1448" t="s">
        <v>20</v>
      </c>
      <c r="M1448" s="1">
        <f t="shared" ca="1" si="44"/>
        <v>46204</v>
      </c>
      <c r="N1448">
        <f t="shared" ca="1" si="45"/>
        <v>1</v>
      </c>
    </row>
    <row r="1449" spans="1:14" x14ac:dyDescent="0.3">
      <c r="A1449" t="s">
        <v>4320</v>
      </c>
      <c r="B1449" t="s">
        <v>4321</v>
      </c>
      <c r="C1449" t="s">
        <v>15</v>
      </c>
      <c r="D1449" t="s">
        <v>73</v>
      </c>
      <c r="E1449" t="s">
        <v>17</v>
      </c>
      <c r="F1449">
        <v>37.19</v>
      </c>
      <c r="G1449" s="1">
        <v>46017</v>
      </c>
      <c r="H1449" s="1">
        <v>42379</v>
      </c>
      <c r="I1449" t="s">
        <v>4322</v>
      </c>
      <c r="J1449" t="s">
        <v>66</v>
      </c>
      <c r="K1449">
        <v>3</v>
      </c>
      <c r="L1449" t="s">
        <v>20</v>
      </c>
      <c r="M1449" s="1">
        <f t="shared" ca="1" si="44"/>
        <v>46204</v>
      </c>
      <c r="N1449">
        <f t="shared" ca="1" si="45"/>
        <v>1</v>
      </c>
    </row>
    <row r="1450" spans="1:14" x14ac:dyDescent="0.3">
      <c r="A1450" t="s">
        <v>4323</v>
      </c>
      <c r="B1450" t="s">
        <v>4324</v>
      </c>
      <c r="C1450" t="s">
        <v>15</v>
      </c>
      <c r="D1450" t="s">
        <v>69</v>
      </c>
      <c r="E1450" t="s">
        <v>24</v>
      </c>
      <c r="F1450">
        <v>28.15</v>
      </c>
      <c r="G1450" s="1">
        <v>45805</v>
      </c>
      <c r="H1450" s="1">
        <v>45088</v>
      </c>
      <c r="I1450" t="s">
        <v>4325</v>
      </c>
      <c r="J1450" t="s">
        <v>66</v>
      </c>
      <c r="K1450">
        <v>1</v>
      </c>
      <c r="L1450" t="s">
        <v>27</v>
      </c>
      <c r="M1450" s="1">
        <f t="shared" ca="1" si="44"/>
        <v>46204</v>
      </c>
      <c r="N1450">
        <f t="shared" ca="1" si="45"/>
        <v>1</v>
      </c>
    </row>
    <row r="1451" spans="1:14" x14ac:dyDescent="0.3">
      <c r="A1451" t="s">
        <v>4326</v>
      </c>
      <c r="B1451" t="s">
        <v>4327</v>
      </c>
      <c r="C1451" t="s">
        <v>60</v>
      </c>
      <c r="D1451" t="s">
        <v>35</v>
      </c>
      <c r="E1451" t="s">
        <v>52</v>
      </c>
      <c r="F1451">
        <v>3.82</v>
      </c>
      <c r="G1451" s="1">
        <v>46055</v>
      </c>
      <c r="H1451" s="1">
        <v>43044</v>
      </c>
      <c r="I1451" t="s">
        <v>4328</v>
      </c>
      <c r="J1451" t="s">
        <v>26</v>
      </c>
      <c r="K1451">
        <v>5</v>
      </c>
      <c r="L1451" t="s">
        <v>27</v>
      </c>
      <c r="M1451" s="1">
        <f t="shared" ca="1" si="44"/>
        <v>46204</v>
      </c>
      <c r="N1451">
        <f t="shared" ca="1" si="45"/>
        <v>1</v>
      </c>
    </row>
    <row r="1452" spans="1:14" x14ac:dyDescent="0.3">
      <c r="A1452" t="s">
        <v>4329</v>
      </c>
      <c r="B1452" t="s">
        <v>4330</v>
      </c>
      <c r="C1452" t="s">
        <v>23</v>
      </c>
      <c r="D1452" t="s">
        <v>35</v>
      </c>
      <c r="E1452" t="s">
        <v>24</v>
      </c>
      <c r="F1452">
        <v>3.34</v>
      </c>
      <c r="G1452" s="1">
        <v>45992</v>
      </c>
      <c r="H1452" s="1">
        <v>44018</v>
      </c>
      <c r="I1452" t="s">
        <v>4331</v>
      </c>
      <c r="J1452" t="s">
        <v>94</v>
      </c>
      <c r="K1452">
        <v>2</v>
      </c>
      <c r="L1452" t="s">
        <v>20</v>
      </c>
      <c r="M1452" s="1">
        <f t="shared" ca="1" si="44"/>
        <v>46204</v>
      </c>
      <c r="N1452">
        <f t="shared" ca="1" si="45"/>
        <v>1</v>
      </c>
    </row>
    <row r="1453" spans="1:14" x14ac:dyDescent="0.3">
      <c r="A1453" t="s">
        <v>4332</v>
      </c>
      <c r="B1453" t="s">
        <v>4333</v>
      </c>
      <c r="C1453" t="s">
        <v>34</v>
      </c>
      <c r="D1453" t="s">
        <v>73</v>
      </c>
      <c r="E1453" t="s">
        <v>52</v>
      </c>
      <c r="F1453">
        <v>31.57</v>
      </c>
      <c r="G1453" s="1">
        <v>45954</v>
      </c>
      <c r="H1453" s="1">
        <v>43688</v>
      </c>
      <c r="I1453" t="s">
        <v>4334</v>
      </c>
      <c r="J1453" t="s">
        <v>26</v>
      </c>
      <c r="K1453">
        <v>3</v>
      </c>
      <c r="L1453" t="s">
        <v>27</v>
      </c>
      <c r="M1453" s="1">
        <f t="shared" ca="1" si="44"/>
        <v>46204</v>
      </c>
      <c r="N1453">
        <f t="shared" ca="1" si="45"/>
        <v>1</v>
      </c>
    </row>
    <row r="1454" spans="1:14" x14ac:dyDescent="0.3">
      <c r="A1454" t="s">
        <v>4335</v>
      </c>
      <c r="B1454" t="s">
        <v>4336</v>
      </c>
      <c r="C1454" t="s">
        <v>60</v>
      </c>
      <c r="D1454" t="s">
        <v>35</v>
      </c>
      <c r="E1454" t="s">
        <v>17</v>
      </c>
      <c r="F1454">
        <v>19.22</v>
      </c>
      <c r="G1454" s="1">
        <v>45966</v>
      </c>
      <c r="H1454" s="1">
        <v>45415</v>
      </c>
      <c r="I1454" t="s">
        <v>4337</v>
      </c>
      <c r="J1454" t="s">
        <v>66</v>
      </c>
      <c r="K1454">
        <v>1</v>
      </c>
      <c r="L1454" t="s">
        <v>20</v>
      </c>
      <c r="M1454" s="1">
        <f t="shared" ca="1" si="44"/>
        <v>46204</v>
      </c>
      <c r="N1454">
        <f t="shared" ca="1" si="45"/>
        <v>1</v>
      </c>
    </row>
    <row r="1455" spans="1:14" x14ac:dyDescent="0.3">
      <c r="A1455" t="s">
        <v>4338</v>
      </c>
      <c r="B1455" t="s">
        <v>4339</v>
      </c>
      <c r="C1455" t="s">
        <v>34</v>
      </c>
      <c r="D1455" t="s">
        <v>40</v>
      </c>
      <c r="E1455" t="s">
        <v>24</v>
      </c>
      <c r="F1455">
        <v>33.950000000000003</v>
      </c>
      <c r="G1455" s="1">
        <v>46002</v>
      </c>
      <c r="H1455" s="1">
        <v>43781</v>
      </c>
      <c r="I1455" t="s">
        <v>4340</v>
      </c>
      <c r="J1455" t="s">
        <v>19</v>
      </c>
      <c r="K1455">
        <v>1</v>
      </c>
      <c r="L1455" t="s">
        <v>20</v>
      </c>
      <c r="M1455" s="1">
        <f t="shared" ca="1" si="44"/>
        <v>46204</v>
      </c>
      <c r="N1455">
        <f t="shared" ca="1" si="45"/>
        <v>1</v>
      </c>
    </row>
    <row r="1456" spans="1:14" x14ac:dyDescent="0.3">
      <c r="A1456" t="s">
        <v>4341</v>
      </c>
      <c r="B1456" t="s">
        <v>4342</v>
      </c>
      <c r="C1456" t="s">
        <v>60</v>
      </c>
      <c r="D1456" t="s">
        <v>16</v>
      </c>
      <c r="E1456" t="s">
        <v>52</v>
      </c>
      <c r="F1456">
        <v>29.34</v>
      </c>
      <c r="G1456" s="1">
        <v>45932</v>
      </c>
      <c r="H1456" s="1">
        <v>44490</v>
      </c>
      <c r="I1456" t="s">
        <v>4343</v>
      </c>
      <c r="J1456" t="s">
        <v>19</v>
      </c>
      <c r="K1456">
        <v>5</v>
      </c>
      <c r="L1456" t="s">
        <v>27</v>
      </c>
      <c r="M1456" s="1">
        <f t="shared" ca="1" si="44"/>
        <v>46204</v>
      </c>
      <c r="N1456">
        <f t="shared" ca="1" si="45"/>
        <v>1</v>
      </c>
    </row>
    <row r="1457" spans="1:14" x14ac:dyDescent="0.3">
      <c r="A1457" t="s">
        <v>4344</v>
      </c>
      <c r="B1457" t="s">
        <v>4345</v>
      </c>
      <c r="C1457" t="s">
        <v>64</v>
      </c>
      <c r="D1457" t="s">
        <v>69</v>
      </c>
      <c r="E1457" t="s">
        <v>24</v>
      </c>
      <c r="F1457">
        <v>26.71</v>
      </c>
      <c r="G1457" s="1">
        <v>46038</v>
      </c>
      <c r="H1457" s="1">
        <v>45218</v>
      </c>
      <c r="I1457" t="s">
        <v>4346</v>
      </c>
      <c r="J1457" t="s">
        <v>37</v>
      </c>
      <c r="K1457">
        <v>5</v>
      </c>
      <c r="L1457" t="s">
        <v>20</v>
      </c>
      <c r="M1457" s="1">
        <f t="shared" ca="1" si="44"/>
        <v>46204</v>
      </c>
      <c r="N1457">
        <f t="shared" ca="1" si="45"/>
        <v>1</v>
      </c>
    </row>
    <row r="1458" spans="1:14" x14ac:dyDescent="0.3">
      <c r="A1458" t="s">
        <v>4347</v>
      </c>
      <c r="B1458" t="s">
        <v>4348</v>
      </c>
      <c r="C1458" t="s">
        <v>47</v>
      </c>
      <c r="D1458" t="s">
        <v>73</v>
      </c>
      <c r="E1458" t="s">
        <v>24</v>
      </c>
      <c r="F1458">
        <v>26.37</v>
      </c>
      <c r="G1458" s="1">
        <v>46058</v>
      </c>
      <c r="H1458" s="1">
        <v>44692</v>
      </c>
      <c r="I1458" t="s">
        <v>4349</v>
      </c>
      <c r="J1458" t="s">
        <v>94</v>
      </c>
      <c r="K1458">
        <v>4</v>
      </c>
      <c r="L1458" t="s">
        <v>27</v>
      </c>
      <c r="M1458" s="1">
        <f t="shared" ca="1" si="44"/>
        <v>46204</v>
      </c>
      <c r="N1458">
        <f t="shared" ca="1" si="45"/>
        <v>1</v>
      </c>
    </row>
    <row r="1459" spans="1:14" x14ac:dyDescent="0.3">
      <c r="A1459" t="s">
        <v>4350</v>
      </c>
      <c r="B1459" t="s">
        <v>4351</v>
      </c>
      <c r="C1459" t="s">
        <v>34</v>
      </c>
      <c r="D1459" t="s">
        <v>56</v>
      </c>
      <c r="E1459" t="s">
        <v>52</v>
      </c>
      <c r="F1459">
        <v>11.84</v>
      </c>
      <c r="G1459" s="1">
        <v>45899</v>
      </c>
      <c r="H1459" s="1">
        <v>42894</v>
      </c>
      <c r="I1459" t="s">
        <v>4352</v>
      </c>
      <c r="J1459" t="s">
        <v>49</v>
      </c>
      <c r="K1459">
        <v>1</v>
      </c>
      <c r="L1459" t="s">
        <v>20</v>
      </c>
      <c r="M1459" s="1">
        <f t="shared" ca="1" si="44"/>
        <v>46204</v>
      </c>
      <c r="N1459">
        <f t="shared" ca="1" si="45"/>
        <v>1</v>
      </c>
    </row>
    <row r="1460" spans="1:14" x14ac:dyDescent="0.3">
      <c r="A1460" t="s">
        <v>4353</v>
      </c>
      <c r="B1460" t="s">
        <v>4354</v>
      </c>
      <c r="C1460" t="s">
        <v>15</v>
      </c>
      <c r="D1460" t="s">
        <v>35</v>
      </c>
      <c r="E1460" t="s">
        <v>24</v>
      </c>
      <c r="F1460">
        <v>33.15</v>
      </c>
      <c r="G1460" s="1">
        <v>45988</v>
      </c>
      <c r="H1460" s="1">
        <v>43807</v>
      </c>
      <c r="I1460" t="s">
        <v>4355</v>
      </c>
      <c r="J1460" t="s">
        <v>49</v>
      </c>
      <c r="K1460">
        <v>5</v>
      </c>
      <c r="L1460" t="s">
        <v>27</v>
      </c>
      <c r="M1460" s="1">
        <f t="shared" ca="1" si="44"/>
        <v>46204</v>
      </c>
      <c r="N1460">
        <f t="shared" ca="1" si="45"/>
        <v>1</v>
      </c>
    </row>
    <row r="1461" spans="1:14" x14ac:dyDescent="0.3">
      <c r="A1461" t="s">
        <v>4356</v>
      </c>
      <c r="B1461" t="s">
        <v>4357</v>
      </c>
      <c r="C1461" t="s">
        <v>60</v>
      </c>
      <c r="D1461" t="s">
        <v>16</v>
      </c>
      <c r="E1461" t="s">
        <v>52</v>
      </c>
      <c r="F1461">
        <v>3.34</v>
      </c>
      <c r="G1461" s="1">
        <v>45840</v>
      </c>
      <c r="H1461" s="1">
        <v>43679</v>
      </c>
      <c r="I1461" t="s">
        <v>4358</v>
      </c>
      <c r="J1461" t="s">
        <v>19</v>
      </c>
      <c r="K1461">
        <v>3</v>
      </c>
      <c r="L1461" t="s">
        <v>20</v>
      </c>
      <c r="M1461" s="1">
        <f t="shared" ca="1" si="44"/>
        <v>46204</v>
      </c>
      <c r="N1461">
        <f t="shared" ca="1" si="45"/>
        <v>1</v>
      </c>
    </row>
    <row r="1462" spans="1:14" x14ac:dyDescent="0.3">
      <c r="A1462" t="s">
        <v>4359</v>
      </c>
      <c r="B1462" t="s">
        <v>4360</v>
      </c>
      <c r="C1462" t="s">
        <v>23</v>
      </c>
      <c r="D1462" t="s">
        <v>40</v>
      </c>
      <c r="E1462" t="s">
        <v>30</v>
      </c>
      <c r="F1462">
        <v>13.1</v>
      </c>
      <c r="G1462" s="1">
        <v>45732</v>
      </c>
      <c r="H1462" s="1">
        <v>44426</v>
      </c>
      <c r="I1462" t="s">
        <v>4361</v>
      </c>
      <c r="J1462" t="s">
        <v>75</v>
      </c>
      <c r="K1462">
        <v>4</v>
      </c>
      <c r="L1462" t="s">
        <v>27</v>
      </c>
      <c r="M1462" s="1">
        <f t="shared" ca="1" si="44"/>
        <v>46204</v>
      </c>
      <c r="N1462">
        <f t="shared" ca="1" si="45"/>
        <v>1</v>
      </c>
    </row>
    <row r="1463" spans="1:14" x14ac:dyDescent="0.3">
      <c r="A1463" t="s">
        <v>4362</v>
      </c>
      <c r="B1463" t="s">
        <v>4363</v>
      </c>
      <c r="C1463" t="s">
        <v>64</v>
      </c>
      <c r="D1463" t="s">
        <v>69</v>
      </c>
      <c r="E1463" t="s">
        <v>24</v>
      </c>
      <c r="F1463">
        <v>29.09</v>
      </c>
      <c r="G1463" s="1">
        <v>45820</v>
      </c>
      <c r="H1463" s="1">
        <v>43069</v>
      </c>
      <c r="I1463" t="s">
        <v>4364</v>
      </c>
      <c r="J1463" t="s">
        <v>19</v>
      </c>
      <c r="K1463">
        <v>3</v>
      </c>
      <c r="L1463" t="s">
        <v>27</v>
      </c>
      <c r="M1463" s="1">
        <f t="shared" ca="1" si="44"/>
        <v>46204</v>
      </c>
      <c r="N1463">
        <f t="shared" ca="1" si="45"/>
        <v>1</v>
      </c>
    </row>
    <row r="1464" spans="1:14" x14ac:dyDescent="0.3">
      <c r="A1464" t="s">
        <v>4365</v>
      </c>
      <c r="B1464" t="s">
        <v>4366</v>
      </c>
      <c r="C1464" t="s">
        <v>47</v>
      </c>
      <c r="D1464" t="s">
        <v>73</v>
      </c>
      <c r="E1464" t="s">
        <v>17</v>
      </c>
      <c r="F1464">
        <v>31.03</v>
      </c>
      <c r="G1464" s="1">
        <v>45859</v>
      </c>
      <c r="H1464" s="1">
        <v>43062</v>
      </c>
      <c r="I1464" t="s">
        <v>4367</v>
      </c>
      <c r="J1464" t="s">
        <v>37</v>
      </c>
      <c r="K1464">
        <v>2</v>
      </c>
      <c r="L1464" t="s">
        <v>27</v>
      </c>
      <c r="M1464" s="1">
        <f t="shared" ca="1" si="44"/>
        <v>46204</v>
      </c>
      <c r="N1464">
        <f t="shared" ca="1" si="45"/>
        <v>1</v>
      </c>
    </row>
    <row r="1465" spans="1:14" x14ac:dyDescent="0.3">
      <c r="A1465" t="s">
        <v>4368</v>
      </c>
      <c r="B1465" t="s">
        <v>4369</v>
      </c>
      <c r="C1465" t="s">
        <v>15</v>
      </c>
      <c r="D1465" t="s">
        <v>73</v>
      </c>
      <c r="E1465" t="s">
        <v>52</v>
      </c>
      <c r="F1465">
        <v>3.82</v>
      </c>
      <c r="G1465" s="1">
        <v>45904</v>
      </c>
      <c r="H1465" s="1">
        <v>43189</v>
      </c>
      <c r="I1465" t="s">
        <v>4370</v>
      </c>
      <c r="J1465" t="s">
        <v>19</v>
      </c>
      <c r="K1465">
        <v>2</v>
      </c>
      <c r="L1465" t="s">
        <v>20</v>
      </c>
      <c r="M1465" s="1">
        <f t="shared" ca="1" si="44"/>
        <v>46204</v>
      </c>
      <c r="N1465">
        <f t="shared" ca="1" si="45"/>
        <v>1</v>
      </c>
    </row>
    <row r="1466" spans="1:14" x14ac:dyDescent="0.3">
      <c r="A1466" t="s">
        <v>4371</v>
      </c>
      <c r="B1466" t="s">
        <v>4372</v>
      </c>
      <c r="C1466" t="s">
        <v>47</v>
      </c>
      <c r="D1466" t="s">
        <v>40</v>
      </c>
      <c r="E1466" t="s">
        <v>52</v>
      </c>
      <c r="F1466">
        <v>31.63</v>
      </c>
      <c r="G1466" s="1">
        <v>46022</v>
      </c>
      <c r="H1466" s="1">
        <v>45155</v>
      </c>
      <c r="I1466" t="s">
        <v>4373</v>
      </c>
      <c r="J1466" t="s">
        <v>19</v>
      </c>
      <c r="K1466">
        <v>1</v>
      </c>
      <c r="L1466" t="s">
        <v>27</v>
      </c>
      <c r="M1466" s="1">
        <f t="shared" ca="1" si="44"/>
        <v>46204</v>
      </c>
      <c r="N1466">
        <f t="shared" ca="1" si="45"/>
        <v>1</v>
      </c>
    </row>
    <row r="1467" spans="1:14" x14ac:dyDescent="0.3">
      <c r="A1467" t="s">
        <v>4374</v>
      </c>
      <c r="B1467" t="s">
        <v>4375</v>
      </c>
      <c r="C1467" t="s">
        <v>15</v>
      </c>
      <c r="D1467" t="s">
        <v>73</v>
      </c>
      <c r="E1467" t="s">
        <v>30</v>
      </c>
      <c r="F1467">
        <v>14.81</v>
      </c>
      <c r="G1467" s="1">
        <v>45940</v>
      </c>
      <c r="H1467" s="1">
        <v>44423</v>
      </c>
      <c r="I1467" t="s">
        <v>2949</v>
      </c>
      <c r="J1467" t="s">
        <v>26</v>
      </c>
      <c r="K1467">
        <v>4</v>
      </c>
      <c r="L1467" t="s">
        <v>27</v>
      </c>
      <c r="M1467" s="1">
        <f t="shared" ca="1" si="44"/>
        <v>46204</v>
      </c>
      <c r="N1467">
        <f t="shared" ca="1" si="45"/>
        <v>1</v>
      </c>
    </row>
    <row r="1468" spans="1:14" x14ac:dyDescent="0.3">
      <c r="A1468" t="s">
        <v>4376</v>
      </c>
      <c r="B1468" t="s">
        <v>4377</v>
      </c>
      <c r="C1468" t="s">
        <v>124</v>
      </c>
      <c r="D1468" t="s">
        <v>16</v>
      </c>
      <c r="E1468" t="s">
        <v>30</v>
      </c>
      <c r="F1468">
        <v>31.06</v>
      </c>
      <c r="G1468" s="1">
        <v>45977</v>
      </c>
      <c r="H1468" s="1">
        <v>42923</v>
      </c>
      <c r="I1468" t="s">
        <v>1162</v>
      </c>
      <c r="J1468" t="s">
        <v>37</v>
      </c>
      <c r="K1468">
        <v>1</v>
      </c>
      <c r="L1468" t="s">
        <v>27</v>
      </c>
      <c r="M1468" s="1">
        <f t="shared" ca="1" si="44"/>
        <v>46204</v>
      </c>
      <c r="N1468">
        <f t="shared" ca="1" si="45"/>
        <v>1</v>
      </c>
    </row>
    <row r="1469" spans="1:14" x14ac:dyDescent="0.3">
      <c r="A1469" t="s">
        <v>4378</v>
      </c>
      <c r="B1469" t="s">
        <v>3741</v>
      </c>
      <c r="C1469" t="s">
        <v>34</v>
      </c>
      <c r="D1469" t="s">
        <v>56</v>
      </c>
      <c r="E1469" t="s">
        <v>52</v>
      </c>
      <c r="F1469">
        <v>21.59</v>
      </c>
      <c r="G1469" s="1">
        <v>45888</v>
      </c>
      <c r="H1469" s="1">
        <v>44408</v>
      </c>
      <c r="I1469" t="s">
        <v>4379</v>
      </c>
      <c r="J1469" t="s">
        <v>37</v>
      </c>
      <c r="K1469">
        <v>5</v>
      </c>
      <c r="L1469" t="s">
        <v>27</v>
      </c>
      <c r="M1469" s="1">
        <f t="shared" ca="1" si="44"/>
        <v>46204</v>
      </c>
      <c r="N1469">
        <f t="shared" ca="1" si="45"/>
        <v>1</v>
      </c>
    </row>
    <row r="1470" spans="1:14" x14ac:dyDescent="0.3">
      <c r="A1470" t="s">
        <v>4380</v>
      </c>
      <c r="B1470" t="s">
        <v>4381</v>
      </c>
      <c r="C1470" t="s">
        <v>64</v>
      </c>
      <c r="D1470" t="s">
        <v>40</v>
      </c>
      <c r="E1470" t="s">
        <v>52</v>
      </c>
      <c r="F1470">
        <v>7.05</v>
      </c>
      <c r="G1470" s="1">
        <v>45974</v>
      </c>
      <c r="H1470" s="1">
        <v>44980</v>
      </c>
      <c r="I1470" t="s">
        <v>4382</v>
      </c>
      <c r="J1470" t="s">
        <v>94</v>
      </c>
      <c r="K1470">
        <v>1</v>
      </c>
      <c r="L1470" t="s">
        <v>27</v>
      </c>
      <c r="M1470" s="1">
        <f t="shared" ca="1" si="44"/>
        <v>46204</v>
      </c>
      <c r="N1470">
        <f t="shared" ca="1" si="45"/>
        <v>1</v>
      </c>
    </row>
    <row r="1471" spans="1:14" x14ac:dyDescent="0.3">
      <c r="A1471" t="s">
        <v>4383</v>
      </c>
      <c r="B1471" t="s">
        <v>4384</v>
      </c>
      <c r="C1471" t="s">
        <v>34</v>
      </c>
      <c r="D1471" t="s">
        <v>16</v>
      </c>
      <c r="E1471" t="s">
        <v>30</v>
      </c>
      <c r="F1471">
        <v>9.5500000000000007</v>
      </c>
      <c r="G1471" s="1">
        <v>45859</v>
      </c>
      <c r="H1471" s="1">
        <v>44412</v>
      </c>
      <c r="I1471" t="s">
        <v>4385</v>
      </c>
      <c r="J1471" t="s">
        <v>49</v>
      </c>
      <c r="K1471">
        <v>1</v>
      </c>
      <c r="L1471" t="s">
        <v>27</v>
      </c>
      <c r="M1471" s="1">
        <f t="shared" ca="1" si="44"/>
        <v>46204</v>
      </c>
      <c r="N1471">
        <f t="shared" ca="1" si="45"/>
        <v>1</v>
      </c>
    </row>
    <row r="1472" spans="1:14" x14ac:dyDescent="0.3">
      <c r="A1472" t="s">
        <v>4386</v>
      </c>
      <c r="B1472" t="s">
        <v>4387</v>
      </c>
      <c r="C1472" t="s">
        <v>124</v>
      </c>
      <c r="D1472" t="s">
        <v>35</v>
      </c>
      <c r="E1472" t="s">
        <v>30</v>
      </c>
      <c r="F1472">
        <v>9.81</v>
      </c>
      <c r="G1472" s="1">
        <v>46042</v>
      </c>
      <c r="H1472" s="1">
        <v>42591</v>
      </c>
      <c r="I1472" t="s">
        <v>4388</v>
      </c>
      <c r="J1472" t="s">
        <v>66</v>
      </c>
      <c r="K1472">
        <v>2</v>
      </c>
      <c r="L1472" t="s">
        <v>20</v>
      </c>
      <c r="M1472" s="1">
        <f t="shared" ca="1" si="44"/>
        <v>46204</v>
      </c>
      <c r="N1472">
        <f t="shared" ca="1" si="45"/>
        <v>1</v>
      </c>
    </row>
    <row r="1473" spans="1:14" x14ac:dyDescent="0.3">
      <c r="A1473" t="s">
        <v>4389</v>
      </c>
      <c r="B1473" t="s">
        <v>4390</v>
      </c>
      <c r="C1473" t="s">
        <v>23</v>
      </c>
      <c r="D1473" t="s">
        <v>73</v>
      </c>
      <c r="E1473" t="s">
        <v>52</v>
      </c>
      <c r="F1473">
        <v>4.3499999999999996</v>
      </c>
      <c r="G1473" s="1">
        <v>45802</v>
      </c>
      <c r="H1473" s="1">
        <v>44823</v>
      </c>
      <c r="I1473" t="s">
        <v>4391</v>
      </c>
      <c r="J1473" t="s">
        <v>19</v>
      </c>
      <c r="K1473">
        <v>2</v>
      </c>
      <c r="L1473" t="s">
        <v>20</v>
      </c>
      <c r="M1473" s="1">
        <f t="shared" ca="1" si="44"/>
        <v>46204</v>
      </c>
      <c r="N1473">
        <f t="shared" ca="1" si="45"/>
        <v>1</v>
      </c>
    </row>
    <row r="1474" spans="1:14" x14ac:dyDescent="0.3">
      <c r="A1474" t="s">
        <v>4392</v>
      </c>
      <c r="B1474" t="s">
        <v>4393</v>
      </c>
      <c r="C1474" t="s">
        <v>34</v>
      </c>
      <c r="D1474" t="s">
        <v>40</v>
      </c>
      <c r="E1474" t="s">
        <v>30</v>
      </c>
      <c r="F1474">
        <v>16.72</v>
      </c>
      <c r="G1474" s="1">
        <v>45742</v>
      </c>
      <c r="H1474" s="1">
        <v>45490</v>
      </c>
      <c r="I1474" t="s">
        <v>4394</v>
      </c>
      <c r="J1474" t="s">
        <v>75</v>
      </c>
      <c r="K1474">
        <v>2</v>
      </c>
      <c r="L1474" t="s">
        <v>27</v>
      </c>
      <c r="M1474" s="1">
        <f t="shared" ca="1" si="44"/>
        <v>46204</v>
      </c>
      <c r="N1474">
        <f t="shared" ca="1" si="45"/>
        <v>1</v>
      </c>
    </row>
    <row r="1475" spans="1:14" x14ac:dyDescent="0.3">
      <c r="A1475" t="s">
        <v>4395</v>
      </c>
      <c r="B1475" t="s">
        <v>4396</v>
      </c>
      <c r="C1475" t="s">
        <v>60</v>
      </c>
      <c r="D1475" t="s">
        <v>73</v>
      </c>
      <c r="E1475" t="s">
        <v>30</v>
      </c>
      <c r="F1475">
        <v>24.49</v>
      </c>
      <c r="G1475" s="1">
        <v>45905</v>
      </c>
      <c r="H1475" s="1">
        <v>45439</v>
      </c>
      <c r="I1475" t="s">
        <v>4397</v>
      </c>
      <c r="J1475" t="s">
        <v>26</v>
      </c>
      <c r="K1475">
        <v>3</v>
      </c>
      <c r="L1475" t="s">
        <v>27</v>
      </c>
      <c r="M1475" s="1">
        <f t="shared" ref="M1475:M1501" ca="1" si="46">TODAY()</f>
        <v>46204</v>
      </c>
      <c r="N1475">
        <f t="shared" ref="N1475:N1501" ca="1" si="47">IF(G1475&lt;M1475,1,0)</f>
        <v>1</v>
      </c>
    </row>
    <row r="1476" spans="1:14" x14ac:dyDescent="0.3">
      <c r="A1476" t="s">
        <v>4398</v>
      </c>
      <c r="B1476" t="s">
        <v>4399</v>
      </c>
      <c r="C1476" t="s">
        <v>23</v>
      </c>
      <c r="D1476" t="s">
        <v>35</v>
      </c>
      <c r="E1476" t="s">
        <v>52</v>
      </c>
      <c r="F1476">
        <v>24.11</v>
      </c>
      <c r="G1476" s="1">
        <v>45913</v>
      </c>
      <c r="H1476" s="1">
        <v>45394</v>
      </c>
      <c r="I1476" t="s">
        <v>4400</v>
      </c>
      <c r="J1476" t="s">
        <v>19</v>
      </c>
      <c r="K1476">
        <v>1</v>
      </c>
      <c r="L1476" t="s">
        <v>27</v>
      </c>
      <c r="M1476" s="1">
        <f t="shared" ca="1" si="46"/>
        <v>46204</v>
      </c>
      <c r="N1476">
        <f t="shared" ca="1" si="47"/>
        <v>1</v>
      </c>
    </row>
    <row r="1477" spans="1:14" x14ac:dyDescent="0.3">
      <c r="A1477" t="s">
        <v>4401</v>
      </c>
      <c r="B1477" t="s">
        <v>4402</v>
      </c>
      <c r="C1477" t="s">
        <v>23</v>
      </c>
      <c r="D1477" t="s">
        <v>56</v>
      </c>
      <c r="E1477" t="s">
        <v>30</v>
      </c>
      <c r="F1477">
        <v>17.04</v>
      </c>
      <c r="G1477" s="1">
        <v>45969</v>
      </c>
      <c r="H1477" s="1">
        <v>44096</v>
      </c>
      <c r="I1477" t="s">
        <v>4403</v>
      </c>
      <c r="J1477" t="s">
        <v>37</v>
      </c>
      <c r="K1477">
        <v>5</v>
      </c>
      <c r="L1477" t="s">
        <v>27</v>
      </c>
      <c r="M1477" s="1">
        <f t="shared" ca="1" si="46"/>
        <v>46204</v>
      </c>
      <c r="N1477">
        <f t="shared" ca="1" si="47"/>
        <v>1</v>
      </c>
    </row>
    <row r="1478" spans="1:14" x14ac:dyDescent="0.3">
      <c r="A1478" t="s">
        <v>4404</v>
      </c>
      <c r="B1478" t="s">
        <v>4405</v>
      </c>
      <c r="C1478" t="s">
        <v>124</v>
      </c>
      <c r="D1478" t="s">
        <v>69</v>
      </c>
      <c r="E1478" t="s">
        <v>17</v>
      </c>
      <c r="F1478">
        <v>34.99</v>
      </c>
      <c r="G1478" s="1">
        <v>45895</v>
      </c>
      <c r="H1478" s="1">
        <v>44694</v>
      </c>
      <c r="I1478" t="s">
        <v>4406</v>
      </c>
      <c r="J1478" t="s">
        <v>94</v>
      </c>
      <c r="K1478">
        <v>3</v>
      </c>
      <c r="L1478" t="s">
        <v>20</v>
      </c>
      <c r="M1478" s="1">
        <f t="shared" ca="1" si="46"/>
        <v>46204</v>
      </c>
      <c r="N1478">
        <f t="shared" ca="1" si="47"/>
        <v>1</v>
      </c>
    </row>
    <row r="1479" spans="1:14" x14ac:dyDescent="0.3">
      <c r="A1479" t="s">
        <v>4407</v>
      </c>
      <c r="B1479" t="s">
        <v>4408</v>
      </c>
      <c r="C1479" t="s">
        <v>23</v>
      </c>
      <c r="D1479" t="s">
        <v>40</v>
      </c>
      <c r="E1479" t="s">
        <v>52</v>
      </c>
      <c r="F1479">
        <v>1.29</v>
      </c>
      <c r="G1479" s="1">
        <v>45721</v>
      </c>
      <c r="H1479" s="1">
        <v>42454</v>
      </c>
      <c r="I1479" t="s">
        <v>4409</v>
      </c>
      <c r="J1479" t="s">
        <v>19</v>
      </c>
      <c r="K1479">
        <v>2</v>
      </c>
      <c r="L1479" t="s">
        <v>27</v>
      </c>
      <c r="M1479" s="1">
        <f t="shared" ca="1" si="46"/>
        <v>46204</v>
      </c>
      <c r="N1479">
        <f t="shared" ca="1" si="47"/>
        <v>1</v>
      </c>
    </row>
    <row r="1480" spans="1:14" x14ac:dyDescent="0.3">
      <c r="A1480" t="s">
        <v>4410</v>
      </c>
      <c r="B1480" t="s">
        <v>4411</v>
      </c>
      <c r="C1480" t="s">
        <v>124</v>
      </c>
      <c r="D1480" t="s">
        <v>69</v>
      </c>
      <c r="E1480" t="s">
        <v>52</v>
      </c>
      <c r="F1480">
        <v>25.85</v>
      </c>
      <c r="G1480" s="1">
        <v>45935</v>
      </c>
      <c r="H1480" s="1">
        <v>44169</v>
      </c>
      <c r="I1480" t="s">
        <v>4412</v>
      </c>
      <c r="J1480" t="s">
        <v>19</v>
      </c>
      <c r="K1480">
        <v>4</v>
      </c>
      <c r="L1480" t="s">
        <v>20</v>
      </c>
      <c r="M1480" s="1">
        <f t="shared" ca="1" si="46"/>
        <v>46204</v>
      </c>
      <c r="N1480">
        <f t="shared" ca="1" si="47"/>
        <v>1</v>
      </c>
    </row>
    <row r="1481" spans="1:14" x14ac:dyDescent="0.3">
      <c r="A1481" t="s">
        <v>4413</v>
      </c>
      <c r="B1481" t="s">
        <v>4414</v>
      </c>
      <c r="C1481" t="s">
        <v>124</v>
      </c>
      <c r="D1481" t="s">
        <v>73</v>
      </c>
      <c r="E1481" t="s">
        <v>17</v>
      </c>
      <c r="F1481">
        <v>14.79</v>
      </c>
      <c r="G1481" s="1">
        <v>46004</v>
      </c>
      <c r="H1481" s="1">
        <v>43712</v>
      </c>
      <c r="I1481" t="s">
        <v>4415</v>
      </c>
      <c r="J1481" t="s">
        <v>75</v>
      </c>
      <c r="K1481">
        <v>5</v>
      </c>
      <c r="L1481" t="s">
        <v>20</v>
      </c>
      <c r="M1481" s="1">
        <f t="shared" ca="1" si="46"/>
        <v>46204</v>
      </c>
      <c r="N1481">
        <f t="shared" ca="1" si="47"/>
        <v>1</v>
      </c>
    </row>
    <row r="1482" spans="1:14" x14ac:dyDescent="0.3">
      <c r="A1482" t="s">
        <v>4416</v>
      </c>
      <c r="B1482" t="s">
        <v>4417</v>
      </c>
      <c r="C1482" t="s">
        <v>64</v>
      </c>
      <c r="D1482" t="s">
        <v>35</v>
      </c>
      <c r="E1482" t="s">
        <v>24</v>
      </c>
      <c r="F1482">
        <v>19.84</v>
      </c>
      <c r="G1482" s="1">
        <v>45813</v>
      </c>
      <c r="H1482" s="1">
        <v>44265</v>
      </c>
      <c r="I1482" t="s">
        <v>4418</v>
      </c>
      <c r="J1482" t="s">
        <v>37</v>
      </c>
      <c r="K1482">
        <v>4</v>
      </c>
      <c r="L1482" t="s">
        <v>27</v>
      </c>
      <c r="M1482" s="1">
        <f t="shared" ca="1" si="46"/>
        <v>46204</v>
      </c>
      <c r="N1482">
        <f t="shared" ca="1" si="47"/>
        <v>1</v>
      </c>
    </row>
    <row r="1483" spans="1:14" x14ac:dyDescent="0.3">
      <c r="A1483" t="s">
        <v>4419</v>
      </c>
      <c r="B1483" t="s">
        <v>4420</v>
      </c>
      <c r="C1483" t="s">
        <v>60</v>
      </c>
      <c r="D1483" t="s">
        <v>40</v>
      </c>
      <c r="E1483" t="s">
        <v>17</v>
      </c>
      <c r="F1483">
        <v>6.76</v>
      </c>
      <c r="G1483" s="1">
        <v>45787</v>
      </c>
      <c r="H1483" s="1">
        <v>43071</v>
      </c>
      <c r="I1483" t="s">
        <v>4421</v>
      </c>
      <c r="J1483" t="s">
        <v>75</v>
      </c>
      <c r="K1483">
        <v>3</v>
      </c>
      <c r="L1483" t="s">
        <v>27</v>
      </c>
      <c r="M1483" s="1">
        <f t="shared" ca="1" si="46"/>
        <v>46204</v>
      </c>
      <c r="N1483">
        <f t="shared" ca="1" si="47"/>
        <v>1</v>
      </c>
    </row>
    <row r="1484" spans="1:14" x14ac:dyDescent="0.3">
      <c r="A1484" t="s">
        <v>4422</v>
      </c>
      <c r="B1484" t="s">
        <v>4423</v>
      </c>
      <c r="C1484" t="s">
        <v>23</v>
      </c>
      <c r="D1484" t="s">
        <v>56</v>
      </c>
      <c r="E1484" t="s">
        <v>24</v>
      </c>
      <c r="F1484">
        <v>2.84</v>
      </c>
      <c r="G1484" s="1">
        <v>45798</v>
      </c>
      <c r="H1484" s="1">
        <v>43817</v>
      </c>
      <c r="I1484" t="s">
        <v>4424</v>
      </c>
      <c r="J1484" t="s">
        <v>66</v>
      </c>
      <c r="K1484">
        <v>3</v>
      </c>
      <c r="L1484" t="s">
        <v>27</v>
      </c>
      <c r="M1484" s="1">
        <f t="shared" ca="1" si="46"/>
        <v>46204</v>
      </c>
      <c r="N1484">
        <f t="shared" ca="1" si="47"/>
        <v>1</v>
      </c>
    </row>
    <row r="1485" spans="1:14" x14ac:dyDescent="0.3">
      <c r="A1485" t="s">
        <v>4425</v>
      </c>
      <c r="B1485" t="s">
        <v>4426</v>
      </c>
      <c r="C1485" t="s">
        <v>47</v>
      </c>
      <c r="D1485" t="s">
        <v>69</v>
      </c>
      <c r="E1485" t="s">
        <v>52</v>
      </c>
      <c r="F1485">
        <v>22.13</v>
      </c>
      <c r="G1485" s="1">
        <v>46038</v>
      </c>
      <c r="H1485" s="1">
        <v>44986</v>
      </c>
      <c r="I1485" t="s">
        <v>4427</v>
      </c>
      <c r="J1485" t="s">
        <v>26</v>
      </c>
      <c r="K1485">
        <v>1</v>
      </c>
      <c r="L1485" t="s">
        <v>20</v>
      </c>
      <c r="M1485" s="1">
        <f t="shared" ca="1" si="46"/>
        <v>46204</v>
      </c>
      <c r="N1485">
        <f t="shared" ca="1" si="47"/>
        <v>1</v>
      </c>
    </row>
    <row r="1486" spans="1:14" x14ac:dyDescent="0.3">
      <c r="A1486" t="s">
        <v>4428</v>
      </c>
      <c r="B1486" t="s">
        <v>4429</v>
      </c>
      <c r="C1486" t="s">
        <v>47</v>
      </c>
      <c r="D1486" t="s">
        <v>73</v>
      </c>
      <c r="E1486" t="s">
        <v>52</v>
      </c>
      <c r="F1486">
        <v>1.1599999999999999</v>
      </c>
      <c r="G1486" s="1">
        <v>45913</v>
      </c>
      <c r="H1486" s="1">
        <v>44511</v>
      </c>
      <c r="I1486" t="s">
        <v>4430</v>
      </c>
      <c r="J1486" t="s">
        <v>37</v>
      </c>
      <c r="K1486">
        <v>2</v>
      </c>
      <c r="L1486" t="s">
        <v>20</v>
      </c>
      <c r="M1486" s="1">
        <f t="shared" ca="1" si="46"/>
        <v>46204</v>
      </c>
      <c r="N1486">
        <f t="shared" ca="1" si="47"/>
        <v>1</v>
      </c>
    </row>
    <row r="1487" spans="1:14" x14ac:dyDescent="0.3">
      <c r="A1487" t="s">
        <v>4431</v>
      </c>
      <c r="B1487" t="s">
        <v>4432</v>
      </c>
      <c r="C1487" t="s">
        <v>34</v>
      </c>
      <c r="D1487" t="s">
        <v>73</v>
      </c>
      <c r="E1487" t="s">
        <v>30</v>
      </c>
      <c r="F1487">
        <v>9.9499999999999993</v>
      </c>
      <c r="G1487" s="1">
        <v>45890</v>
      </c>
      <c r="H1487" s="1">
        <v>44662</v>
      </c>
      <c r="I1487" t="s">
        <v>4433</v>
      </c>
      <c r="J1487" t="s">
        <v>75</v>
      </c>
      <c r="K1487">
        <v>1</v>
      </c>
      <c r="L1487" t="s">
        <v>20</v>
      </c>
      <c r="M1487" s="1">
        <f t="shared" ca="1" si="46"/>
        <v>46204</v>
      </c>
      <c r="N1487">
        <f t="shared" ca="1" si="47"/>
        <v>1</v>
      </c>
    </row>
    <row r="1488" spans="1:14" x14ac:dyDescent="0.3">
      <c r="A1488" t="s">
        <v>4434</v>
      </c>
      <c r="B1488" t="s">
        <v>4435</v>
      </c>
      <c r="C1488" t="s">
        <v>23</v>
      </c>
      <c r="D1488" t="s">
        <v>56</v>
      </c>
      <c r="E1488" t="s">
        <v>17</v>
      </c>
      <c r="F1488">
        <v>29.35</v>
      </c>
      <c r="G1488" s="1">
        <v>45867</v>
      </c>
      <c r="H1488" s="1">
        <v>43500</v>
      </c>
      <c r="I1488" t="s">
        <v>4436</v>
      </c>
      <c r="J1488" t="s">
        <v>75</v>
      </c>
      <c r="K1488">
        <v>1</v>
      </c>
      <c r="L1488" t="s">
        <v>20</v>
      </c>
      <c r="M1488" s="1">
        <f t="shared" ca="1" si="46"/>
        <v>46204</v>
      </c>
      <c r="N1488">
        <f t="shared" ca="1" si="47"/>
        <v>1</v>
      </c>
    </row>
    <row r="1489" spans="1:14" x14ac:dyDescent="0.3">
      <c r="A1489" t="s">
        <v>4437</v>
      </c>
      <c r="B1489" t="s">
        <v>4438</v>
      </c>
      <c r="C1489" t="s">
        <v>64</v>
      </c>
      <c r="D1489" t="s">
        <v>35</v>
      </c>
      <c r="E1489" t="s">
        <v>24</v>
      </c>
      <c r="F1489">
        <v>22.11</v>
      </c>
      <c r="G1489" s="1">
        <v>45815</v>
      </c>
      <c r="H1489" s="1">
        <v>42545</v>
      </c>
      <c r="I1489" t="s">
        <v>4439</v>
      </c>
      <c r="J1489" t="s">
        <v>94</v>
      </c>
      <c r="K1489">
        <v>1</v>
      </c>
      <c r="L1489" t="s">
        <v>20</v>
      </c>
      <c r="M1489" s="1">
        <f t="shared" ca="1" si="46"/>
        <v>46204</v>
      </c>
      <c r="N1489">
        <f t="shared" ca="1" si="47"/>
        <v>1</v>
      </c>
    </row>
    <row r="1490" spans="1:14" x14ac:dyDescent="0.3">
      <c r="A1490" t="s">
        <v>4440</v>
      </c>
      <c r="B1490" t="s">
        <v>4441</v>
      </c>
      <c r="C1490" t="s">
        <v>23</v>
      </c>
      <c r="D1490" t="s">
        <v>56</v>
      </c>
      <c r="E1490" t="s">
        <v>52</v>
      </c>
      <c r="F1490">
        <v>26.18</v>
      </c>
      <c r="G1490" s="1">
        <v>45844</v>
      </c>
      <c r="H1490" s="1">
        <v>42239</v>
      </c>
      <c r="I1490" t="s">
        <v>4442</v>
      </c>
      <c r="J1490" t="s">
        <v>19</v>
      </c>
      <c r="K1490">
        <v>1</v>
      </c>
      <c r="L1490" t="s">
        <v>20</v>
      </c>
      <c r="M1490" s="1">
        <f t="shared" ca="1" si="46"/>
        <v>46204</v>
      </c>
      <c r="N1490">
        <f t="shared" ca="1" si="47"/>
        <v>1</v>
      </c>
    </row>
    <row r="1491" spans="1:14" x14ac:dyDescent="0.3">
      <c r="A1491" t="s">
        <v>4443</v>
      </c>
      <c r="B1491" t="s">
        <v>4444</v>
      </c>
      <c r="C1491" t="s">
        <v>124</v>
      </c>
      <c r="D1491" t="s">
        <v>69</v>
      </c>
      <c r="E1491" t="s">
        <v>17</v>
      </c>
      <c r="F1491">
        <v>12.96</v>
      </c>
      <c r="G1491" s="1">
        <v>46012</v>
      </c>
      <c r="H1491" s="1">
        <v>42753</v>
      </c>
      <c r="I1491" t="s">
        <v>4445</v>
      </c>
      <c r="J1491" t="s">
        <v>49</v>
      </c>
      <c r="K1491">
        <v>2</v>
      </c>
      <c r="L1491" t="s">
        <v>20</v>
      </c>
      <c r="M1491" s="1">
        <f t="shared" ca="1" si="46"/>
        <v>46204</v>
      </c>
      <c r="N1491">
        <f t="shared" ca="1" si="47"/>
        <v>1</v>
      </c>
    </row>
    <row r="1492" spans="1:14" x14ac:dyDescent="0.3">
      <c r="A1492" t="s">
        <v>4446</v>
      </c>
      <c r="B1492" t="s">
        <v>4447</v>
      </c>
      <c r="C1492" t="s">
        <v>64</v>
      </c>
      <c r="D1492" t="s">
        <v>56</v>
      </c>
      <c r="E1492" t="s">
        <v>17</v>
      </c>
      <c r="F1492">
        <v>25.07</v>
      </c>
      <c r="G1492" s="1">
        <v>46067</v>
      </c>
      <c r="H1492" s="1">
        <v>44752</v>
      </c>
      <c r="I1492" t="s">
        <v>4448</v>
      </c>
      <c r="J1492" t="s">
        <v>49</v>
      </c>
      <c r="K1492">
        <v>1</v>
      </c>
      <c r="L1492" t="s">
        <v>20</v>
      </c>
      <c r="M1492" s="1">
        <f t="shared" ca="1" si="46"/>
        <v>46204</v>
      </c>
      <c r="N1492">
        <f t="shared" ca="1" si="47"/>
        <v>1</v>
      </c>
    </row>
    <row r="1493" spans="1:14" x14ac:dyDescent="0.3">
      <c r="A1493" t="s">
        <v>4449</v>
      </c>
      <c r="B1493" t="s">
        <v>4450</v>
      </c>
      <c r="C1493" t="s">
        <v>124</v>
      </c>
      <c r="D1493" t="s">
        <v>35</v>
      </c>
      <c r="E1493" t="s">
        <v>17</v>
      </c>
      <c r="F1493">
        <v>20.239999999999998</v>
      </c>
      <c r="G1493" s="1">
        <v>45757</v>
      </c>
      <c r="H1493" s="1">
        <v>44744</v>
      </c>
      <c r="I1493" t="s">
        <v>4451</v>
      </c>
      <c r="J1493" t="s">
        <v>75</v>
      </c>
      <c r="K1493">
        <v>2</v>
      </c>
      <c r="L1493" t="s">
        <v>20</v>
      </c>
      <c r="M1493" s="1">
        <f t="shared" ca="1" si="46"/>
        <v>46204</v>
      </c>
      <c r="N1493">
        <f t="shared" ca="1" si="47"/>
        <v>1</v>
      </c>
    </row>
    <row r="1494" spans="1:14" x14ac:dyDescent="0.3">
      <c r="A1494" t="s">
        <v>4452</v>
      </c>
      <c r="B1494" t="s">
        <v>4453</v>
      </c>
      <c r="C1494" t="s">
        <v>15</v>
      </c>
      <c r="D1494" t="s">
        <v>35</v>
      </c>
      <c r="E1494" t="s">
        <v>30</v>
      </c>
      <c r="F1494">
        <v>36.47</v>
      </c>
      <c r="G1494" s="1">
        <v>45922</v>
      </c>
      <c r="H1494" s="1">
        <v>43590</v>
      </c>
      <c r="I1494" t="s">
        <v>4454</v>
      </c>
      <c r="J1494" t="s">
        <v>75</v>
      </c>
      <c r="K1494">
        <v>5</v>
      </c>
      <c r="L1494" t="s">
        <v>27</v>
      </c>
      <c r="M1494" s="1">
        <f t="shared" ca="1" si="46"/>
        <v>46204</v>
      </c>
      <c r="N1494">
        <f t="shared" ca="1" si="47"/>
        <v>1</v>
      </c>
    </row>
    <row r="1495" spans="1:14" x14ac:dyDescent="0.3">
      <c r="A1495" t="s">
        <v>4455</v>
      </c>
      <c r="B1495" t="s">
        <v>4456</v>
      </c>
      <c r="C1495" t="s">
        <v>34</v>
      </c>
      <c r="D1495" t="s">
        <v>73</v>
      </c>
      <c r="E1495" t="s">
        <v>24</v>
      </c>
      <c r="F1495">
        <v>31.3</v>
      </c>
      <c r="G1495" s="1">
        <v>45832</v>
      </c>
      <c r="H1495" s="1">
        <v>44581</v>
      </c>
      <c r="I1495" t="s">
        <v>4457</v>
      </c>
      <c r="J1495" t="s">
        <v>49</v>
      </c>
      <c r="K1495">
        <v>3</v>
      </c>
      <c r="L1495" t="s">
        <v>20</v>
      </c>
      <c r="M1495" s="1">
        <f t="shared" ca="1" si="46"/>
        <v>46204</v>
      </c>
      <c r="N1495">
        <f t="shared" ca="1" si="47"/>
        <v>1</v>
      </c>
    </row>
    <row r="1496" spans="1:14" x14ac:dyDescent="0.3">
      <c r="A1496" t="s">
        <v>4458</v>
      </c>
      <c r="B1496" t="s">
        <v>4459</v>
      </c>
      <c r="C1496" t="s">
        <v>47</v>
      </c>
      <c r="D1496" t="s">
        <v>16</v>
      </c>
      <c r="E1496" t="s">
        <v>17</v>
      </c>
      <c r="F1496">
        <v>7.02</v>
      </c>
      <c r="G1496" s="1">
        <v>45873</v>
      </c>
      <c r="H1496" s="1">
        <v>45238</v>
      </c>
      <c r="I1496" t="s">
        <v>4460</v>
      </c>
      <c r="J1496" t="s">
        <v>37</v>
      </c>
      <c r="K1496">
        <v>3</v>
      </c>
      <c r="L1496" t="s">
        <v>27</v>
      </c>
      <c r="M1496" s="1">
        <f t="shared" ca="1" si="46"/>
        <v>46204</v>
      </c>
      <c r="N1496">
        <f t="shared" ca="1" si="47"/>
        <v>1</v>
      </c>
    </row>
    <row r="1497" spans="1:14" x14ac:dyDescent="0.3">
      <c r="A1497" t="s">
        <v>4461</v>
      </c>
      <c r="B1497" t="s">
        <v>347</v>
      </c>
      <c r="C1497" t="s">
        <v>23</v>
      </c>
      <c r="D1497" t="s">
        <v>16</v>
      </c>
      <c r="E1497" t="s">
        <v>52</v>
      </c>
      <c r="F1497">
        <v>30.15</v>
      </c>
      <c r="G1497" s="1">
        <v>45752</v>
      </c>
      <c r="H1497" s="1">
        <v>45283</v>
      </c>
      <c r="I1497" t="s">
        <v>4462</v>
      </c>
      <c r="J1497" t="s">
        <v>37</v>
      </c>
      <c r="K1497">
        <v>3</v>
      </c>
      <c r="L1497" t="s">
        <v>20</v>
      </c>
      <c r="M1497" s="1">
        <f t="shared" ca="1" si="46"/>
        <v>46204</v>
      </c>
      <c r="N1497">
        <f t="shared" ca="1" si="47"/>
        <v>1</v>
      </c>
    </row>
    <row r="1498" spans="1:14" x14ac:dyDescent="0.3">
      <c r="A1498" t="s">
        <v>4463</v>
      </c>
      <c r="B1498" t="s">
        <v>4464</v>
      </c>
      <c r="C1498" t="s">
        <v>23</v>
      </c>
      <c r="D1498" t="s">
        <v>35</v>
      </c>
      <c r="E1498" t="s">
        <v>24</v>
      </c>
      <c r="F1498">
        <v>21.47</v>
      </c>
      <c r="G1498" s="1">
        <v>45750</v>
      </c>
      <c r="H1498" s="1">
        <v>43977</v>
      </c>
      <c r="I1498" t="s">
        <v>4465</v>
      </c>
      <c r="J1498" t="s">
        <v>75</v>
      </c>
      <c r="K1498">
        <v>3</v>
      </c>
      <c r="L1498" t="s">
        <v>20</v>
      </c>
      <c r="M1498" s="1">
        <f t="shared" ca="1" si="46"/>
        <v>46204</v>
      </c>
      <c r="N1498">
        <f t="shared" ca="1" si="47"/>
        <v>1</v>
      </c>
    </row>
    <row r="1499" spans="1:14" x14ac:dyDescent="0.3">
      <c r="A1499" t="s">
        <v>4466</v>
      </c>
      <c r="B1499" t="s">
        <v>4467</v>
      </c>
      <c r="C1499" t="s">
        <v>15</v>
      </c>
      <c r="D1499" t="s">
        <v>69</v>
      </c>
      <c r="E1499" t="s">
        <v>30</v>
      </c>
      <c r="F1499">
        <v>17.2</v>
      </c>
      <c r="G1499" s="1">
        <v>46002</v>
      </c>
      <c r="H1499" s="1">
        <v>43371</v>
      </c>
      <c r="I1499" t="s">
        <v>4468</v>
      </c>
      <c r="J1499" t="s">
        <v>94</v>
      </c>
      <c r="K1499">
        <v>2</v>
      </c>
      <c r="L1499" t="s">
        <v>27</v>
      </c>
      <c r="M1499" s="1">
        <f t="shared" ca="1" si="46"/>
        <v>46204</v>
      </c>
      <c r="N1499">
        <f t="shared" ca="1" si="47"/>
        <v>1</v>
      </c>
    </row>
    <row r="1500" spans="1:14" x14ac:dyDescent="0.3">
      <c r="A1500" t="s">
        <v>4469</v>
      </c>
      <c r="B1500" t="s">
        <v>4470</v>
      </c>
      <c r="C1500" t="s">
        <v>124</v>
      </c>
      <c r="D1500" t="s">
        <v>69</v>
      </c>
      <c r="E1500" t="s">
        <v>52</v>
      </c>
      <c r="F1500">
        <v>30.35</v>
      </c>
      <c r="G1500" s="1">
        <v>45722</v>
      </c>
      <c r="H1500" s="1">
        <v>43379</v>
      </c>
      <c r="I1500" t="s">
        <v>4471</v>
      </c>
      <c r="J1500" t="s">
        <v>49</v>
      </c>
      <c r="K1500">
        <v>3</v>
      </c>
      <c r="L1500" t="s">
        <v>20</v>
      </c>
      <c r="M1500" s="1">
        <f t="shared" ca="1" si="46"/>
        <v>46204</v>
      </c>
      <c r="N1500">
        <f t="shared" ca="1" si="47"/>
        <v>1</v>
      </c>
    </row>
    <row r="1501" spans="1:14" x14ac:dyDescent="0.3">
      <c r="A1501" t="s">
        <v>4472</v>
      </c>
      <c r="B1501" t="s">
        <v>4473</v>
      </c>
      <c r="C1501" t="s">
        <v>124</v>
      </c>
      <c r="D1501" t="s">
        <v>40</v>
      </c>
      <c r="E1501" t="s">
        <v>52</v>
      </c>
      <c r="F1501">
        <v>14.23</v>
      </c>
      <c r="G1501" s="1">
        <v>45805</v>
      </c>
      <c r="H1501" s="1">
        <v>44896</v>
      </c>
      <c r="I1501" t="s">
        <v>4474</v>
      </c>
      <c r="J1501" t="s">
        <v>66</v>
      </c>
      <c r="K1501">
        <v>4</v>
      </c>
      <c r="L1501" t="s">
        <v>20</v>
      </c>
      <c r="M1501" s="1">
        <f t="shared" ca="1" si="46"/>
        <v>46204</v>
      </c>
      <c r="N1501">
        <f t="shared" ca="1" si="4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daseboard</vt:lpstr>
      <vt:lpstr>Sheet15</vt:lpstr>
      <vt:lpstr>Sheet16</vt:lpstr>
      <vt:lpstr>Sheet17</vt:lpstr>
      <vt:lpstr>Sheet3</vt:lpstr>
      <vt:lpstr>Sheet4</vt:lpstr>
      <vt:lpstr>Sheet5</vt:lpstr>
      <vt:lpstr>Sheet6</vt:lpstr>
      <vt:lpstr>Sheet7</vt:lpstr>
      <vt:lpstr>Sheet8</vt:lpstr>
      <vt:lpstr>Sheet9</vt:lpstr>
      <vt:lpstr>Sheet10</vt:lpstr>
      <vt:lpstr>sheet11</vt:lpstr>
      <vt:lpstr>Sheet14</vt:lpstr>
      <vt:lpstr>Sheet18</vt:lpstr>
      <vt:lpstr>Sheet22</vt:lpstr>
      <vt:lpstr>Sheet23</vt:lpstr>
      <vt:lpstr>Sheet25</vt:lpstr>
      <vt:lpstr>Sheet26</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Pratiksha Sahu</dc:creator>
  <cp:lastModifiedBy>Pratiksha Sahu</cp:lastModifiedBy>
  <cp:lastPrinted>2026-03-13T07:51:30Z</cp:lastPrinted>
  <dcterms:created xsi:type="dcterms:W3CDTF">2026-02-26T11:41:10Z</dcterms:created>
  <dcterms:modified xsi:type="dcterms:W3CDTF">2026-07-01T11:57:56Z</dcterms:modified>
</cp:coreProperties>
</file>